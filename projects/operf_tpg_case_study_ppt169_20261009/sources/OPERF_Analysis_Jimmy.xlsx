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puts" sheetId="2" state="visible" r:id="rId4"/>
    <sheet name="Summary" sheetId="3" state="visible" r:id="rId5"/>
    <sheet name="Q1-Q2 Context" sheetId="4" state="visible" r:id="rId6"/>
    <sheet name="Q3 Base case" sheetId="5" state="visible" r:id="rId7"/>
    <sheet name="Q3 Analysis" sheetId="6" state="visible" r:id="rId8"/>
    <sheet name="Q4 Fee cut" sheetId="7" state="visible" r:id="rId9"/>
    <sheet name="Q4 Analysis" sheetId="8" state="visible" r:id="rId10"/>
    <sheet name="Q5a Hard hurdle" sheetId="9" state="visible" r:id="rId11"/>
    <sheet name="Q5b Soft hurdle" sheetId="10" state="visible" r:id="rId12"/>
    <sheet name="Q5c Lower carry" sheetId="11" state="visible" r:id="rId13"/>
    <sheet name="Q5 Analysis" sheetId="12" state="visible" r:id="rId14"/>
    <sheet name="Q6 OPERF decision" sheetId="13" state="visible" r:id="rId15"/>
    <sheet name="Sensitivity" sheetId="14" state="visible" r:id="rId16"/>
    <sheet name="Engine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<sst xmlns="http://schemas.openxmlformats.org/spreadsheetml/2006/main" count="1508" uniqueCount="643">
  <si>
    <t xml:space="preserve">OPERF / TPG PARTNERS VI — GP/LP COMPENSATION MODEL</t>
  </si>
  <si>
    <t xml:space="preserve">Case: "Oregon Public Employees Retirement Fund: Push and Pull Over GP/LP Compensation" (Darden UV5622). Preparation Questions 3–6.</t>
  </si>
  <si>
    <t xml:space="preserve">Built on the layout of the Template sheet in the supplementary spreadsheet (UV5624-XLS-ENG.xlsx). $ millions unless stated.</t>
  </si>
  <si>
    <t xml:space="preserve">Model status</t>
  </si>
  <si>
    <t xml:space="preserve">Integrity checks</t>
  </si>
  <si>
    <t xml:space="preserve">Base-case LP net IRR</t>
  </si>
  <si>
    <t xml:space="preserve">LP IRR with TPG offer</t>
  </si>
  <si>
    <t xml:space="preserve">Sheet map</t>
  </si>
  <si>
    <t xml:space="preserve">Sheet</t>
  </si>
  <si>
    <t xml:space="preserve">Prep question</t>
  </si>
  <si>
    <t xml:space="preserve">What it shows</t>
  </si>
  <si>
    <t xml:space="preserve">Presenter</t>
  </si>
  <si>
    <t xml:space="preserve">Inputs</t>
  </si>
  <si>
    <t xml:space="preserve">All</t>
  </si>
  <si>
    <t xml:space="preserve">Every assumption in one place (blue cells). Change here only.</t>
  </si>
  <si>
    <t xml:space="preserve">Shared</t>
  </si>
  <si>
    <t xml:space="preserve">Summary</t>
  </si>
  <si>
    <t xml:space="preserve">Q3–Q5</t>
  </si>
  <si>
    <t xml:space="preserve">All scenarios side by side for LPs, TPG and OPERF, plus two charts and auto-updating talking points.</t>
  </si>
  <si>
    <t xml:space="preserve">Q1-Q2 Context</t>
  </si>
  <si>
    <t xml:space="preserve">Q1–Q2</t>
  </si>
  <si>
    <t xml:space="preserve">Case facts for the motivation and fee-vs-carry slides: what the offer costs TPG, fundraising and IPO data, LP sentiment, pay mix.</t>
  </si>
  <si>
    <t xml:space="preserve">Li (Parts 2–3)</t>
  </si>
  <si>
    <t xml:space="preserve">Q3 Base case</t>
  </si>
  <si>
    <t xml:space="preserve">Q3</t>
  </si>
  <si>
    <t xml:space="preserve">Template model: current terms (1.50% fee, 20% carry). Year-by-year assets, waterfall, cash flows, IRR/NPV.</t>
  </si>
  <si>
    <t xml:space="preserve">Alex (Part 4)</t>
  </si>
  <si>
    <t xml:space="preserve">Q3 Analysis</t>
  </si>
  <si>
    <t xml:space="preserve">Gross-to-net bridge, who captures the value, fixed vs performance pay, fee growth with fund size.</t>
  </si>
  <si>
    <t xml:space="preserve">Q4 Fee cut</t>
  </si>
  <si>
    <t xml:space="preserve">Q4</t>
  </si>
  <si>
    <t xml:space="preserve">Template model with the 1.35% fee.</t>
  </si>
  <si>
    <t xml:space="preserve">Q4 Analysis</t>
  </si>
  <si>
    <t xml:space="preserve">Fee cut vs current terms for the fund and for OPERF; fee saving vs extra carry; gain across outcomes.</t>
  </si>
  <si>
    <t xml:space="preserve">Q5a Hard hurdle</t>
  </si>
  <si>
    <t xml:space="preserve">Q5</t>
  </si>
  <si>
    <t xml:space="preserve">Template model: TPG offer + 8% preferred return, no catch-up.</t>
  </si>
  <si>
    <t xml:space="preserve">Jimmy (Part 5)</t>
  </si>
  <si>
    <t xml:space="preserve">Q5b Soft hurdle</t>
  </si>
  <si>
    <t xml:space="preserve">Template model: TPG offer + 8% preferred return with 100% GP catch-up.</t>
  </si>
  <si>
    <t xml:space="preserve">Q5c Lower carry</t>
  </si>
  <si>
    <t xml:space="preserve">Template model: TPG offer + 15% carry.</t>
  </si>
  <si>
    <t xml:space="preserve">Q5 Analysis</t>
  </si>
  <si>
    <t xml:space="preserve">Hurdle vs carry cut: base-case value, fee-equivalent, downside protection, carry earned in weak outcomes.</t>
  </si>
  <si>
    <t xml:space="preserve">Q6 OPERF decision</t>
  </si>
  <si>
    <t xml:space="preserve">Q6</t>
  </si>
  <si>
    <t xml:space="preserve">Keep $750m vs cut to $675m: economics, cash flows, break-even return, NPV grid, track record, allocation.</t>
  </si>
  <si>
    <t xml:space="preserve">Sensitivity</t>
  </si>
  <si>
    <t xml:space="preserve">Q3–Q6</t>
  </si>
  <si>
    <t xml:space="preserve">LP IRR / NPV for five fee structures at 0–30% asset growth; break-even growth; GP pay mix.</t>
  </si>
  <si>
    <t xml:space="preserve">Engine</t>
  </si>
  <si>
    <t xml:space="preserve">—</t>
  </si>
  <si>
    <t xml:space="preserve">Same model in one row per scenario (feeds the sensitivity tables). Reconciled to the template sheets.</t>
  </si>
  <si>
    <t xml:space="preserve">Modelling conventions</t>
  </si>
  <si>
    <t xml:space="preserve">1.</t>
  </si>
  <si>
    <t xml:space="preserve">Fund: $20bn committed, drawn in five equal 20% instalments at the start of Years 1–5 (Prep Q3).</t>
  </si>
  <si>
    <t xml:space="preserve">2.</t>
  </si>
  <si>
    <t xml:space="preserve">Management fee = fee rate × committed capital, paid at the start of every year (Years 1–10) out of drawn capital / fund assets, exactly as the template does: Assets + Takedown − Fee = Invested capital.</t>
  </si>
  <si>
    <t xml:space="preserve">3.</t>
  </si>
  <si>
    <t xml:space="preserve">Invested capital grows 20% during the year. From the end of Year 5, 20% of NAV is distributed each year; everything left is liquidated at the end of Year 10.</t>
  </si>
  <si>
    <t xml:space="preserve">4.</t>
  </si>
  <si>
    <t xml:space="preserve">Whole-fund waterfall: (1) LPs get back all contributed capital, including the part used for fees; (2) preferred return, if any; (3) GP catch-up, soft hurdle only; (4) the rest split 80/20 (or 85/15).</t>
  </si>
  <si>
    <t xml:space="preserve">5.</t>
  </si>
  <si>
    <t xml:space="preserve">Hurdle = 8% a year compounded on unreturned capital and unpaid preferred return, i.e. LPs must earn an 8% IRR before carry. Hard: carry only on profits above that. Soft: the GP takes 100% of distributions after the hurdle until it has 20% of all profits.</t>
  </si>
  <si>
    <t xml:space="preserve">6.</t>
  </si>
  <si>
    <t xml:space="preserve">Timing: in the cash-flow rows each column is a point in time t; the start of Year n is t = n − 1. IRR and NPV use LP net cash flows; GP PV uses fees (start of year) and carry (end of year), all at 15%.</t>
  </si>
  <si>
    <t xml:space="preserve">7.</t>
  </si>
  <si>
    <t xml:space="preserve">TPG's own ~$500m commitment is ignored (all capital is treated as LP capital). OPERF gets 750 ÷ 20,000 = 3.75% of LP cash flows.</t>
  </si>
  <si>
    <t xml:space="preserve">8.</t>
  </si>
  <si>
    <t xml:space="preserve">TPG's 30% cap on 2009 capital calls is not binding in this model (draws are 20% a year).</t>
  </si>
  <si>
    <t xml:space="preserve">Colour code</t>
  </si>
  <si>
    <t xml:space="preserve">Input</t>
  </si>
  <si>
    <t xml:space="preserve">Blue text = hardcoded input (yellow fill = key lever)</t>
  </si>
  <si>
    <t xml:space="preserve">Formula</t>
  </si>
  <si>
    <t xml:space="preserve">Black text = calculation on the same sheet</t>
  </si>
  <si>
    <t xml:space="preserve">Link</t>
  </si>
  <si>
    <t xml:space="preserve">Green text = pulled from another sheet</t>
  </si>
  <si>
    <t xml:space="preserve">Section header</t>
  </si>
  <si>
    <t xml:space="preserve">Red bold italic = section header (template style)</t>
  </si>
  <si>
    <t xml:space="preserve">MODEL INPUTS — OPERF / TPG PARTNERS VI</t>
  </si>
  <si>
    <t xml:space="preserve">Change blue cells here; every scenario sheet, table and chart updates. Yellow = the key levers for Q3–Q6.</t>
  </si>
  <si>
    <t xml:space="preserve">Colour code:  blue = input   ·   black = formula   ·   green = linked from another sheet   ·   red italic = section header (as in the Darden template)</t>
  </si>
  <si>
    <t xml:space="preserve">Fund assumptions (Preparation Question 3)</t>
  </si>
  <si>
    <t xml:space="preserve">Committed capital ($ millions)</t>
  </si>
  <si>
    <t xml:space="preserve">Prep Q3 assumption (case: TPG VI final close was $19.8bn)</t>
  </si>
  <si>
    <t xml:space="preserve">Fund life (years)</t>
  </si>
  <si>
    <t xml:space="preserve">Model is built for a 10-year life (fee charged in each year)</t>
  </si>
  <si>
    <t xml:space="preserve">Annual growth rate of invested assets</t>
  </si>
  <si>
    <t xml:space="preserve">Prep Q3 assumption</t>
  </si>
  <si>
    <t xml:space="preserve">Discount rate for fund cash flows</t>
  </si>
  <si>
    <t xml:space="preserve">Drawdown and distribution schedule</t>
  </si>
  <si>
    <t xml:space="preserve">Year</t>
  </si>
  <si>
    <t xml:space="preserve">% of committed capital drawn (start of year)</t>
  </si>
  <si>
    <t xml:space="preserve">Distribution rate (% of NAV, end of year)</t>
  </si>
  <si>
    <t xml:space="preserve">Check: total drawn (must be 100%)</t>
  </si>
  <si>
    <t xml:space="preserve">Prep Q3: five equal draws at the start of Years 1–5; 20% of the portfolio liquidated from end of Year 5; all remaining assets at end of Year 10</t>
  </si>
  <si>
    <t xml:space="preserve">GP compensation terms</t>
  </si>
  <si>
    <t xml:space="preserve">Current management fee (% of committed capital, paid annually in advance)</t>
  </si>
  <si>
    <t xml:space="preserve">Prep Q3; case p.1</t>
  </si>
  <si>
    <t xml:space="preserve">TPG proposed management fee</t>
  </si>
  <si>
    <t xml:space="preserve">TPG letter, Dec 2008 (case p.1)</t>
  </si>
  <si>
    <t xml:space="preserve">Carried interest — current (GP share of profits)</t>
  </si>
  <si>
    <t xml:space="preserve">Standard 80/20 split (case p.4)</t>
  </si>
  <si>
    <t xml:space="preserve">Carried interest — OPERF counter-proposal</t>
  </si>
  <si>
    <t xml:space="preserve">Prep Q5</t>
  </si>
  <si>
    <t xml:space="preserve">Hurdle (preferred return) — OPERF counter-proposal</t>
  </si>
  <si>
    <t xml:space="preserve">GP catch-up in the soft-hurdle variant (1 = 100% catch-up, 0 = none)</t>
  </si>
  <si>
    <t xml:space="preserve">Modelling choice: typical buyout-fund term; the hard-hurdle variant uses no catch-up</t>
  </si>
  <si>
    <t xml:space="preserve">OPERF position (case data)</t>
  </si>
  <si>
    <t xml:space="preserve">OPERF commitment to TPG VI ($ millions)</t>
  </si>
  <si>
    <t xml:space="preserve">Case p.1 and p.5; Exhibit 7</t>
  </si>
  <si>
    <t xml:space="preserve">Commitment reduction offered by TPG</t>
  </si>
  <si>
    <t xml:space="preserve">Case p.1 ($75m for OPERF)</t>
  </si>
  <si>
    <t xml:space="preserve">TPG VI capital contributed by OPERF to date ($ millions)</t>
  </si>
  <si>
    <t xml:space="preserve">Exhibit 7</t>
  </si>
  <si>
    <t xml:space="preserve">TPG VI distributions to OPERF to date ($ millions)</t>
  </si>
  <si>
    <t xml:space="preserve">TPG VI fair market value of OPERF stake ($ millions)</t>
  </si>
  <si>
    <t xml:space="preserve">Max share of commitment TPG may call in 2009</t>
  </si>
  <si>
    <t xml:space="preserve">Case p.1</t>
  </si>
  <si>
    <t xml:space="preserve">OPERF total fund value, Dec 2008 ($ millions)</t>
  </si>
  <si>
    <t xml:space="preserve">Case p.4</t>
  </si>
  <si>
    <t xml:space="preserve">OPERF private equity allocation, Dec 2008 ($ millions)</t>
  </si>
  <si>
    <t xml:space="preserve">Private equity actual allocation, 4Q 2008</t>
  </si>
  <si>
    <t xml:space="preserve">Case p.5; Exhibit 9</t>
  </si>
  <si>
    <t xml:space="preserve">Private equity target allocation</t>
  </si>
  <si>
    <t xml:space="preserve">Sensitivity grid (used by the Engine and Sensitivity sheets)</t>
  </si>
  <si>
    <t xml:space="preserve">Asset growth grid — start</t>
  </si>
  <si>
    <t xml:space="preserve">Asset growth grid — step</t>
  </si>
  <si>
    <t xml:space="preserve">Keep the step at 1% so the Q6 two-way table can look up growth rates such as 18% or 22%</t>
  </si>
  <si>
    <t xml:space="preserve">Asset growth grid — end (31 points, fixed)</t>
  </si>
  <si>
    <t xml:space="preserve">SCENARIO SUMMARY — what each set of terms means for LPs, TPG and OPERF</t>
  </si>
  <si>
    <t xml:space="preserve">Whole-fund figures in $ millions; LP = all limited partners together. Each column links to its template-style scenario sheet.</t>
  </si>
  <si>
    <t xml:space="preserve">Metric</t>
  </si>
  <si>
    <t xml:space="preserve">Current terms
(Q3 base case)</t>
  </si>
  <si>
    <t xml:space="preserve">TPG offer
(Q4: fee 1.35%)</t>
  </si>
  <si>
    <t xml:space="preserve">Offer + 8% hard hurdle
(Q5a)</t>
  </si>
  <si>
    <t xml:space="preserve">Offer + 8% soft hurdle
(Q5b)</t>
  </si>
  <si>
    <t xml:space="preserve">Offer + 15% carry
(Q5c)</t>
  </si>
  <si>
    <t xml:space="preserve">Management fee (% of committed capital)</t>
  </si>
  <si>
    <t xml:space="preserve">Carried interest (GP share of profit)</t>
  </si>
  <si>
    <t xml:space="preserve">Hurdle rate</t>
  </si>
  <si>
    <t xml:space="preserve">GP catch-up</t>
  </si>
  <si>
    <t xml:space="preserve">Limited partners (whole fund)</t>
  </si>
  <si>
    <t xml:space="preserve">LP net IRR</t>
  </si>
  <si>
    <t xml:space="preserve">Change vs current terms</t>
  </si>
  <si>
    <t xml:space="preserve">LP NPV at 15% ($m)</t>
  </si>
  <si>
    <t xml:space="preserve">Change vs current terms ($m)</t>
  </si>
  <si>
    <t xml:space="preserve">LP distributions, nominal ($m)</t>
  </si>
  <si>
    <t xml:space="preserve">LP multiple of contributed capital (TVPI)</t>
  </si>
  <si>
    <t xml:space="preserve">General partner — TPG</t>
  </si>
  <si>
    <t xml:space="preserve">Management fees, nominal ($m)</t>
  </si>
  <si>
    <t xml:space="preserve">Carried interest, nominal ($m)</t>
  </si>
  <si>
    <t xml:space="preserve">PV of management fees ($m)</t>
  </si>
  <si>
    <t xml:space="preserve">PV of carried interest ($m)</t>
  </si>
  <si>
    <t xml:space="preserve">PV of total GP compensation ($m)</t>
  </si>
  <si>
    <t xml:space="preserve">Fees as % of GP compensation (PV)</t>
  </si>
  <si>
    <t xml:space="preserve">First year GP receives carry</t>
  </si>
  <si>
    <t xml:space="preserve">OPERF NPV at 15% ($m)</t>
  </si>
  <si>
    <t xml:space="preserve">OPERF management fees paid, nominal ($m)</t>
  </si>
  <si>
    <t xml:space="preserve">OPERF distributions received, nominal ($m)</t>
  </si>
  <si>
    <t xml:space="preserve">Model integrity</t>
  </si>
  <si>
    <t xml:space="preserve">Scenario-sheet checks</t>
  </si>
  <si>
    <t xml:space="preserve">Difference vs Engine rows M1–M5 (0 = reconciles)</t>
  </si>
  <si>
    <t xml:space="preserve">Talking points (text updates with the model)</t>
  </si>
  <si>
    <t xml:space="preserve">Q1–Q2 — WHY IS TPG OFFERING THIS, AND WHAT DO FEES AND CARRY DO?</t>
  </si>
  <si>
    <t xml:space="preserve">Case facts for Parts 2–3 (blue = case data with source; black = calculation; green = linked to the model). $ millions unless stated.</t>
  </si>
  <si>
    <t xml:space="preserve">A. What TPG's December 2008 offer costs TPG (per year unless stated)</t>
  </si>
  <si>
    <t xml:space="preserve">TPG VI committed capital, final close Sept 2008</t>
  </si>
  <si>
    <t xml:space="preserve">Case p.1; Exhibit 1</t>
  </si>
  <si>
    <t xml:space="preserve">Management fee — current</t>
  </si>
  <si>
    <t xml:space="preserve">Management fee — offered</t>
  </si>
  <si>
    <t xml:space="preserve">Annual fee at current rate</t>
  </si>
  <si>
    <t xml:space="preserve">Annual fee at offered rate (nobody cuts)</t>
  </si>
  <si>
    <t xml:space="preserve">Cost of the fee cut to TPG per year</t>
  </si>
  <si>
    <t xml:space="preserve">Cost of the fee cut over the fund life</t>
  </si>
  <si>
    <t xml:space="preserve">Fund size if every LP takes the 10% cut</t>
  </si>
  <si>
    <t xml:space="preserve">Annual fee at offered rate on the smaller fund</t>
  </si>
  <si>
    <t xml:space="preserve">Maximum annual fee reduction (fee cut + full take-up)</t>
  </si>
  <si>
    <t xml:space="preserve">TPG firm-wide commitments under management ($m)</t>
  </si>
  <si>
    <t xml:space="preserve">Case p.2 ("approximately $50.0 billion")</t>
  </si>
  <si>
    <t xml:space="preserve">Illustrative firm-wide fee base at the current rate</t>
  </si>
  <si>
    <t xml:space="preserve">Assumes 1.50% on all funds — illustration only</t>
  </si>
  <si>
    <t xml:space="preserve">Maximum reduction as % of the illustrative firm-wide fee base</t>
  </si>
  <si>
    <t xml:space="preserve">Maximum 2009 capital calls fund-wide (30% cap)</t>
  </si>
  <si>
    <t xml:space="preserve">Case p.1 — without advisory committee approval</t>
  </si>
  <si>
    <t xml:space="preserve">Reading: the offer is cheap for TPG — a few percent of firm-wide fees — which supports the "goodwill / PR" reading; the 10% cut is small next to Permira's 60%.</t>
  </si>
  <si>
    <t xml:space="preserve">B. U.S. private equity fundraising (Exhibit 4)</t>
  </si>
  <si>
    <t xml:space="preserve">Amount raised
($bn)</t>
  </si>
  <si>
    <t xml:space="preserve">Funds
closed</t>
  </si>
  <si>
    <t xml:space="preserve">Avg fund
size ($bn)</t>
  </si>
  <si>
    <t xml:space="preserve">Change in
amount</t>
  </si>
  <si>
    <t xml:space="preserve">Change in
funds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</si>
  <si>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</si>
  <si>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</si>
  <si>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</si>
  <si>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</si>
  <si>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</si>
  <si>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Source: Exhibit 4 (PitchBook). 2008 dollars were a record — funds like TPG VI closed before Lehman — but fund count fell 20% and the case says future fundraising prospects were poor (p.5).</t>
  </si>
  <si>
    <t xml:space="preserve">C. Exit markets and TPG VI setbacks (case p.1, p.5; Exhibit 8)</t>
  </si>
  <si>
    <t xml:space="preserve">U.S. IPO proceeds, 2007 ($bn, read from Exhibit 8 chart, approx.)</t>
  </si>
  <si>
    <t xml:space="preserve">Exhibit 8</t>
  </si>
  <si>
    <t xml:space="preserve">U.S. IPO proceeds, 2008 ($bn, approx.)</t>
  </si>
  <si>
    <t xml:space="preserve">Number of U.S. IPOs, 2007 (approx.)</t>
  </si>
  <si>
    <t xml:space="preserve">Number of U.S. IPOs, 2008 (approx.)</t>
  </si>
  <si>
    <t xml:space="preserve">TPG IPO exits 2006: proceeds ($m) from six IPOs</t>
  </si>
  <si>
    <t xml:space="preserve">Case p.5</t>
  </si>
  <si>
    <t xml:space="preserve">TPG IPO exits 2008: proceeds ($m) from one IPO</t>
  </si>
  <si>
    <t xml:space="preserve">TPG investment in Washington Mutual across funds ($m)</t>
  </si>
  <si>
    <t xml:space="preserve">TPG VI's share of the WaMu investment, written off ($m)</t>
  </si>
  <si>
    <t xml:space="preserve">WaMu loss as % of TPG VI committed capital</t>
  </si>
  <si>
    <t xml:space="preserve">TPG VI write-down reported March 2009</t>
  </si>
  <si>
    <t xml:space="preserve">Case fn 11 (Reuters)</t>
  </si>
  <si>
    <t xml:space="preserve">Permira's offer to LPs: commitment cut</t>
  </si>
  <si>
    <t xml:space="preserve">TPG's offer: commitment cut</t>
  </si>
  <si>
    <t xml:space="preserve">IPO proceeds change 2007→2008</t>
  </si>
  <si>
    <t xml:space="preserve">TPG IPO proceeds change 2006→2008</t>
  </si>
  <si>
    <t xml:space="preserve">D. LP sentiment on GP alignment (Exhibit 11, Preqin)</t>
  </si>
  <si>
    <t xml:space="preserve">Satisfaction with the compensation structure</t>
  </si>
  <si>
    <t xml:space="preserve">Apr 2008</t>
  </si>
  <si>
    <t xml:space="preserve">Dec 2008</t>
  </si>
  <si>
    <t xml:space="preserve">Change (pp)</t>
  </si>
  <si>
    <t xml:space="preserve">Very satisfied</t>
  </si>
  <si>
    <t xml:space="preserve">Satisfied</t>
  </si>
  <si>
    <t xml:space="preserve">Dissatisfied</t>
  </si>
  <si>
    <t xml:space="preserve">Very dissatisfied (remainder)</t>
  </si>
  <si>
    <t xml:space="preserve">Satisfied or very satisfied</t>
  </si>
  <si>
    <t xml:space="preserve">Case p.6 quotes "satisfaction ... dropped from 76% to 56%" (the "satisfied" bar) and "strongly dissatisfied ... from 13% to 27%" (the "dissatisfied" bar) — use the case wording on the slide.</t>
  </si>
  <si>
    <t xml:space="preserve">Areas of the LPA (Dec 2008 survey)</t>
  </si>
  <si>
    <t xml:space="preserve">Requiring improvement</t>
  </si>
  <si>
    <t xml:space="preserve">Improved in last 6 months</t>
  </si>
  <si>
    <t xml:space="preserve">Management fees</t>
  </si>
  <si>
    <t xml:space="preserve">Carry structure and clawback</t>
  </si>
  <si>
    <t xml:space="preserve">Fees on uninvested capital</t>
  </si>
  <si>
    <t xml:space="preserve">Amount committed by GP</t>
  </si>
  <si>
    <t xml:space="preserve">Hurdle</t>
  </si>
  <si>
    <t xml:space="preserve">Transparency</t>
  </si>
  <si>
    <t xml:space="preserve">Fees are the #1 complaint and the #1 area GPs had already moved on; the hurdle barely registers (12%) — useful context for Q5: LPs were not pushing hard on hurdles in 2008.</t>
  </si>
  <si>
    <t xml:space="preserve">E. Fees vs carry — what each does for TPG (linked to the model, current terms)</t>
  </si>
  <si>
    <t xml:space="preserve">PV of management fees at 15%</t>
  </si>
  <si>
    <t xml:space="preserve">PV of carried interest at 15%</t>
  </si>
  <si>
    <t xml:space="preserve">Fees as share of total GP compensation (PV)</t>
  </si>
  <si>
    <t xml:space="preserve">First year TPG receives any carry</t>
  </si>
  <si>
    <t xml:space="preserve">Management fee income per year (fund-wide, model)</t>
  </si>
  <si>
    <t xml:space="preserve">Management fee income per partner per year ($m, 40 partners, TPG VI only)</t>
  </si>
  <si>
    <t xml:space="preserve">Case p.2: 40 partner-level professionals, ~150 investment professionals, 12 offices</t>
  </si>
  <si>
    <t xml:space="preserve">Pay mix across fund outcomes (current terms)</t>
  </si>
  <si>
    <t xml:space="preserve">Asset growth</t>
  </si>
  <si>
    <t xml:space="preserve">PV fees</t>
  </si>
  <si>
    <t xml:space="preserve">PV carry</t>
  </si>
  <si>
    <t xml:space="preserve">Fees % of GP pay</t>
  </si>
  <si>
    <t xml:space="preserve">Fees = fixed pay that covers salaries and offices regardless of performance (case p.3–4; ILPA, Exhibit 12). Carry = performance pay that only starts once LPs have all their capital back (whole-fund, case p.4).</t>
  </si>
  <si>
    <t xml:space="preserve">The misalignment argument (case p.6): as funds grew, fee income alone could pay "ever-larger salaries" — the "corporatization" of PE. See Q3 Analysis §E for fee income by TPG fund.</t>
  </si>
  <si>
    <t xml:space="preserve">F. Talking points (update with the model)</t>
  </si>
  <si>
    <t xml:space="preserve">OREGON PUBLIC EMPLOYEES RETIREMENT FUND</t>
  </si>
  <si>
    <t xml:space="preserve">Committed capital  ($ millions)</t>
  </si>
  <si>
    <t xml:space="preserve">Asset growth rate (%)</t>
  </si>
  <si>
    <t xml:space="preserve">Hurdle rate (%)</t>
  </si>
  <si>
    <t xml:space="preserve">Management fee (%)</t>
  </si>
  <si>
    <t xml:space="preserve">Discount rate (%)</t>
  </si>
  <si>
    <t xml:space="preserve">GP catch-up (1 = yes)</t>
  </si>
  <si>
    <t xml:space="preserve">LP share of profit (%)</t>
  </si>
  <si>
    <t xml:space="preserve">GP share of profit (%)</t>
  </si>
  <si>
    <t xml:space="preserve">OPERF ($ millions)</t>
  </si>
  <si>
    <t xml:space="preserve">Prep Q3 — base case</t>
  </si>
  <si>
    <t xml:space="preserve">Assumptions</t>
  </si>
  <si>
    <t xml:space="preserve">% Drawn of committed capital</t>
  </si>
  <si>
    <t xml:space="preserve">Distribution rate</t>
  </si>
  <si>
    <t xml:space="preserve">At the beginning of the year</t>
  </si>
  <si>
    <t xml:space="preserve">Assets</t>
  </si>
  <si>
    <t xml:space="preserve">Plus: Takedown</t>
  </si>
  <si>
    <t xml:space="preserve">Less: Management fee</t>
  </si>
  <si>
    <t xml:space="preserve">Invested capital per period</t>
  </si>
  <si>
    <t xml:space="preserve">At the end of the year</t>
  </si>
  <si>
    <t xml:space="preserve">Plus: Asset growth over year</t>
  </si>
  <si>
    <t xml:space="preserve">NAV before distributions</t>
  </si>
  <si>
    <t xml:space="preserve">Less: Distributions</t>
  </si>
  <si>
    <t xml:space="preserve">NAV after distributions </t>
  </si>
  <si>
    <t xml:space="preserve">Distribution waterfall (whole-fund carry: LPs made whole first)</t>
  </si>
  <si>
    <t xml:space="preserve">Unreturned LP capital, incl. this year's takedown</t>
  </si>
  <si>
    <t xml:space="preserve">Tier 1 – Return of capital to LPs</t>
  </si>
  <si>
    <t xml:space="preserve">Unreturned LP capital, end of year</t>
  </si>
  <si>
    <t xml:space="preserve">Preferred return due (hurdle accrual + unpaid)</t>
  </si>
  <si>
    <t xml:space="preserve">Tier 2 – Preferred return paid to LPs</t>
  </si>
  <si>
    <t xml:space="preserve">Unpaid preferred return, end of year</t>
  </si>
  <si>
    <t xml:space="preserve">Tier 3 – GP catch-up (soft hurdle only)</t>
  </si>
  <si>
    <t xml:space="preserve">Tier 4 – Remaining profit split LP/GP</t>
  </si>
  <si>
    <t xml:space="preserve">Total distributions to LPs</t>
  </si>
  <si>
    <t xml:space="preserve">Total carried interest to GP</t>
  </si>
  <si>
    <t xml:space="preserve">Cumulative LP profit received</t>
  </si>
  <si>
    <t xml:space="preserve">Cumulative GP carried interest</t>
  </si>
  <si>
    <t xml:space="preserve">Cash flows by date (column = point in time t: the start of Year n is t = n − 1; the end of Year n is t = n)</t>
  </si>
  <si>
    <t xml:space="preserve">LP: capital calls (takedowns)</t>
  </si>
  <si>
    <t xml:space="preserve">LP: distributions received</t>
  </si>
  <si>
    <t xml:space="preserve">LP: net cash flow</t>
  </si>
  <si>
    <t xml:space="preserve">GP: management fees received</t>
  </si>
  <si>
    <t xml:space="preserve">GP: carried interest received</t>
  </si>
  <si>
    <t xml:space="preserve">GP: total compensation</t>
  </si>
  <si>
    <t xml:space="preserve">OPERF: net cash flow (pro-rata share of LP)</t>
  </si>
  <si>
    <t xml:space="preserve">Results ($ millions unless stated)</t>
  </si>
  <si>
    <t xml:space="preserve">LP net IRR (after fees and carry)</t>
  </si>
  <si>
    <t xml:space="preserve">IRR of LP net cash flows (row 43)</t>
  </si>
  <si>
    <t xml:space="preserve">LP NPV at the discount rate</t>
  </si>
  <si>
    <t xml:space="preserve">Positive = beats the 15% required return</t>
  </si>
  <si>
    <t xml:space="preserve">LP total contributions</t>
  </si>
  <si>
    <t xml:space="preserve">Includes capital later used to pay fees</t>
  </si>
  <si>
    <t xml:space="preserve">LP total distributions</t>
  </si>
  <si>
    <t xml:space="preserve">GP management fees, total (nominal)</t>
  </si>
  <si>
    <t xml:space="preserve">GP carried interest, total (nominal)</t>
  </si>
  <si>
    <t xml:space="preserve">PV of management fees at the discount rate</t>
  </si>
  <si>
    <t xml:space="preserve">Fees paid at the start of each year</t>
  </si>
  <si>
    <t xml:space="preserve">PV of carried interest at the discount rate</t>
  </si>
  <si>
    <t xml:space="preserve">PV of total GP compensation</t>
  </si>
  <si>
    <t xml:space="preserve">Management fees as % of GP compensation (PV)</t>
  </si>
  <si>
    <t xml:space="preserve">Fixed pay share; the rest is performance pay</t>
  </si>
  <si>
    <t xml:space="preserve">Gross asset return less LP net IRR (fee + carry drag)</t>
  </si>
  <si>
    <t xml:space="preserve">First year the GP receives carried interest</t>
  </si>
  <si>
    <t xml:space="preserve">OPERF share of the fund's LP cash flows</t>
  </si>
  <si>
    <t xml:space="preserve">OPERF commitment ÷ committed capital</t>
  </si>
  <si>
    <t xml:space="preserve">OPERF NPV at the discount rate</t>
  </si>
  <si>
    <t xml:space="preserve">OPERF share of management fees paid (nominal)</t>
  </si>
  <si>
    <t xml:space="preserve">OPERF distributions received (nominal)</t>
  </si>
  <si>
    <t xml:space="preserve">Checks (0 = OK)</t>
  </si>
  <si>
    <t xml:space="preserve">NAV fully liquidated at end of Year 10</t>
  </si>
  <si>
    <t xml:space="preserve">Distributions = LP distributions + GP carry</t>
  </si>
  <si>
    <t xml:space="preserve">Distributions = takedowns − fees + asset growth</t>
  </si>
  <si>
    <t xml:space="preserve">All checks</t>
  </si>
  <si>
    <t xml:space="preserve">Source: Layout follows the Template sheet of the Darden supplementary spreadsheet (UV5624); waterfall, cash-flow and results rows added by the team.</t>
  </si>
  <si>
    <t xml:space="preserve">Q3 — FINANCIAL IMPLICATIONS OF THE GP/LP COMPENSATION STRUCTURE</t>
  </si>
  <si>
    <t xml:space="preserve">Base case: $20bn fund, 1.50% fee on committed capital, 20% carry, no hurdle, assets grow 20% a year, 15% discount rate (sheet "Q3 Base case").</t>
  </si>
  <si>
    <t xml:space="preserve">A. Base-case outcome ($ millions)</t>
  </si>
  <si>
    <t xml:space="preserve">vs 20% gross asset growth</t>
  </si>
  <si>
    <t xml:space="preserve">LP NPV at 15%</t>
  </si>
  <si>
    <t xml:space="preserve">LP multiple (TVPI)</t>
  </si>
  <si>
    <t xml:space="preserve">GP management fees (nominal)</t>
  </si>
  <si>
    <t xml:space="preserve">GP carried interest (nominal)</t>
  </si>
  <si>
    <t xml:space="preserve">PV of management fees</t>
  </si>
  <si>
    <t xml:space="preserve">PV of carried interest</t>
  </si>
  <si>
    <t xml:space="preserve">fees are fixed pay — collected whether or not the fund performs</t>
  </si>
  <si>
    <t xml:space="preserve">First year TPG receives carry</t>
  </si>
  <si>
    <t xml:space="preserve">carry only starts once LPs have their $20bn back</t>
  </si>
  <si>
    <t xml:space="preserve">B. Gross-to-net bridge — what fees and carry cost LPs</t>
  </si>
  <si>
    <t xml:space="preserve">LP IRR</t>
  </si>
  <si>
    <t xml:space="preserve">Drag (bps)</t>
  </si>
  <si>
    <t xml:space="preserve">Gross: asset return with no fees and no carry</t>
  </si>
  <si>
    <t xml:space="preserve">After 1.50% management fee only</t>
  </si>
  <si>
    <t xml:space="preserve">After management fee and 20% carry (LP net)</t>
  </si>
  <si>
    <t xml:space="preserve">Total drag</t>
  </si>
  <si>
    <t xml:space="preserve">C. Who captures the value created above the 15% required return (PV at 15%, $ millions)</t>
  </si>
  <si>
    <t xml:space="preserve">$ millions</t>
  </si>
  <si>
    <t xml:space="preserve">Share</t>
  </si>
  <si>
    <t xml:space="preserve">LPs: NPV of net cash flows</t>
  </si>
  <si>
    <t xml:space="preserve">LPs put up all the capital and bear the risk...</t>
  </si>
  <si>
    <t xml:space="preserve">TPG: management fees</t>
  </si>
  <si>
    <t xml:space="preserve">...but most of the value above 15% goes to the GP</t>
  </si>
  <si>
    <t xml:space="preserve">TPG: carried interest</t>
  </si>
  <si>
    <t xml:space="preserve">Total value to LPs and TPG</t>
  </si>
  <si>
    <t xml:space="preserve">Memo: NPV of the fund with no fees and no carry</t>
  </si>
  <si>
    <t xml:space="preserve">Memo: growth lost because fees leave the invested base</t>
  </si>
  <si>
    <t xml:space="preserve">fee dollars would have compounded at 20% inside the fund</t>
  </si>
  <si>
    <t xml:space="preserve">TPG's figures are before its operating costs (salaries, offices), which management fees are meant to cover (Exhibit 12).</t>
  </si>
  <si>
    <t xml:space="preserve">D. Fixed vs performance pay — TPG compensation across fund outcomes (current terms)</t>
  </si>
  <si>
    <t xml:space="preserve">LP NPV</t>
  </si>
  <si>
    <t xml:space="preserve">PV mgmt fees</t>
  </si>
  <si>
    <t xml:space="preserve">PV total GP</t>
  </si>
  <si>
    <t xml:space="preserve">Fees % of GP</t>
  </si>
  <si>
    <t xml:space="preserve">Even if the fund only returns capital (0–5% growth) and LPs lose money, TPG still collects the full fee stream.</t>
  </si>
  <si>
    <t xml:space="preserve">E. Fee income scales with fund size — TPG flagship buyout funds (Exhibit 1)</t>
  </si>
  <si>
    <t xml:space="preserve">Fund</t>
  </si>
  <si>
    <t xml:space="preserve">Vintage</t>
  </si>
  <si>
    <t xml:space="preserve">Committed ($m)</t>
  </si>
  <si>
    <t xml:space="preserve">Fee rate</t>
  </si>
  <si>
    <t xml:space="preserve">Annual fee ($m)</t>
  </si>
  <si>
    <t xml:space="preserve">10-year fees ($m)</t>
  </si>
  <si>
    <t xml:space="preserve">× Fund I</t>
  </si>
  <si>
    <t xml:space="preserve">Texas Pacific Group Partners</t>
  </si>
  <si>
    <t xml:space="preserve">1994</t>
  </si>
  <si>
    <t xml:space="preserve">Texas Pacific Group Partners II</t>
  </si>
  <si>
    <t xml:space="preserve">1997</t>
  </si>
  <si>
    <t xml:space="preserve">Texas Pacific Group Partners III</t>
  </si>
  <si>
    <t xml:space="preserve">2000</t>
  </si>
  <si>
    <t xml:space="preserve">Texas Pacific Group Partners IV</t>
  </si>
  <si>
    <t xml:space="preserve">2003</t>
  </si>
  <si>
    <t xml:space="preserve">Texas Pacific Group Partners V</t>
  </si>
  <si>
    <t xml:space="preserve">TPG Partners VI</t>
  </si>
  <si>
    <t xml:space="preserve">Fund sizes from Exhibit 1. Assumption: the case does not give historical fee rates, so the current 1.50% is applied to every fund for illustration.</t>
  </si>
  <si>
    <t xml:space="preserve">TPG today: ~$50bn of commitments run by 40 partners (case p.2) — fees, not carry, increasingly fund the firm ("corporatization", case p.6).</t>
  </si>
  <si>
    <t xml:space="preserve">Prep Q4 — fee cut to 1.35%</t>
  </si>
  <si>
    <t xml:space="preserve">Q4 — EFFECT OF TPG'S FEE CUT (1.50% → 1.35%) ON OPERF</t>
  </si>
  <si>
    <t xml:space="preserve">Compares sheet "Q3 Base case" (current terms) with sheet "Q4 Fee cut" (TPG offer). Everything else is held constant.</t>
  </si>
  <si>
    <t xml:space="preserve">A. Whole fund ($ millions)</t>
  </si>
  <si>
    <t xml:space="preserve">Current (1.50%)</t>
  </si>
  <si>
    <t xml:space="preserve">Offer (1.35%)</t>
  </si>
  <si>
    <t xml:space="preserve">Change</t>
  </si>
  <si>
    <t xml:space="preserve">LP distributions (nominal)</t>
  </si>
  <si>
    <t xml:space="preserve">fees fall by 0.15% × $20bn × 10 years</t>
  </si>
  <si>
    <t xml:space="preserve">more capital stays invested, so profits and carry rise</t>
  </si>
  <si>
    <t xml:space="preserve">B. OPERF's $750m commitment ($ millions)</t>
  </si>
  <si>
    <t xml:space="preserve">OPERF share of the fund</t>
  </si>
  <si>
    <t xml:space="preserve">Annual management fee — current terms</t>
  </si>
  <si>
    <t xml:space="preserve">Annual management fee — TPG offer</t>
  </si>
  <si>
    <t xml:space="preserve">Annual fee saving</t>
  </si>
  <si>
    <t xml:space="preserve">Fee saving over the fund life (nominal)</t>
  </si>
  <si>
    <t xml:space="preserve">PV of fee saving at 15% (memo)</t>
  </si>
  <si>
    <t xml:space="preserve">PV of extra distributions (fee dollars stay invested at 20%)</t>
  </si>
  <si>
    <t xml:space="preserve">exceeds the PV of fees saved: money left in the fund grows at 20% but is discounted at 15%</t>
  </si>
  <si>
    <t xml:space="preserve">Less: PV of extra carried interest paid to TPG</t>
  </si>
  <si>
    <t xml:space="preserve">TPG keeps 20% of the extra profit</t>
  </si>
  <si>
    <t xml:space="preserve">Net NPV gain to OPERF</t>
  </si>
  <si>
    <t xml:space="preserve">Check: equals OPERF NPV change between sheets (0 = OK)</t>
  </si>
  <si>
    <t xml:space="preserve">Net NPV gain as % of OPERF commitment</t>
  </si>
  <si>
    <t xml:space="preserve">LP IRR gain</t>
  </si>
  <si>
    <t xml:space="preserve">C. Gross-to-net bridge after the fee cut (LP IRR)</t>
  </si>
  <si>
    <t xml:space="preserve">Gross</t>
  </si>
  <si>
    <t xml:space="preserve">After fees</t>
  </si>
  <si>
    <t xml:space="preserve">Net to LPs</t>
  </si>
  <si>
    <t xml:space="preserve">Fee drag</t>
  </si>
  <si>
    <t xml:space="preserve">Carry drag</t>
  </si>
  <si>
    <t xml:space="preserve">Current terms (1.50%)</t>
  </si>
  <si>
    <t xml:space="preserve">TPG offer (1.35%)</t>
  </si>
  <si>
    <t xml:space="preserve">D. Is the gain from the fee cut the same in good and bad outcomes?</t>
  </si>
  <si>
    <t xml:space="preserve">LP IRR current</t>
  </si>
  <si>
    <t xml:space="preserve">LP IRR offer</t>
  </si>
  <si>
    <t xml:space="preserve">Gain (bps)</t>
  </si>
  <si>
    <t xml:space="preserve">OPERF NPV gain ($m)</t>
  </si>
  <si>
    <t xml:space="preserve">The gain is small and similar in every outcome: a transfer from TPG to LPs, not a change in incentives.</t>
  </si>
  <si>
    <t xml:space="preserve">E. Fee cut vs the other levers OPERF could ask for (base case, LP IRR gain vs current terms)</t>
  </si>
  <si>
    <t xml:space="preserve">TPG offer: fee 1.35%</t>
  </si>
  <si>
    <t xml:space="preserve">Offer + 8% hard hurdle</t>
  </si>
  <si>
    <t xml:space="preserve">Offer + 8% soft hurdle</t>
  </si>
  <si>
    <t xml:space="preserve">Offer + 15% carry</t>
  </si>
  <si>
    <t xml:space="preserve">Prep Q5 — 8% hurdle, no catch-up</t>
  </si>
  <si>
    <t xml:space="preserve">Prep Q5 — 8% hurdle with GP catch-up</t>
  </si>
  <si>
    <t xml:space="preserve">Prep Q5 — carry cut to 15%</t>
  </si>
  <si>
    <t xml:space="preserve">Q5 — SHOULD OPERF ASK FOR AN 8% HURDLE OR A CUT IN CARRY FROM 20% TO 15%?</t>
  </si>
  <si>
    <t xml:space="preserve">All alternatives are layered on TPG's offer (1.35% fee), which every LP gets anyway. Hard hurdle = no catch-up; soft hurdle = 100% GP catch-up after the 8% preferred return.</t>
  </si>
  <si>
    <t xml:space="preserve">A. Base-case comparison (assets grow 20% a year)</t>
  </si>
  <si>
    <t xml:space="preserve">TPG offer
(baseline)</t>
  </si>
  <si>
    <t xml:space="preserve">+ 8% hard
hurdle</t>
  </si>
  <si>
    <t xml:space="preserve">+ 8% soft
hurdle</t>
  </si>
  <si>
    <t xml:space="preserve">+ 15% carry</t>
  </si>
  <si>
    <t xml:space="preserve">+ hard hurdle
&amp; 15% carry</t>
  </si>
  <si>
    <t xml:space="preserve">+ soft hurdle
&amp; 15% carry</t>
  </si>
  <si>
    <t xml:space="preserve">Change vs TPG offer</t>
  </si>
  <si>
    <t xml:space="preserve">Change vs TPG offer ($m)</t>
  </si>
  <si>
    <t xml:space="preserve">OPERF NPV change vs TPG offer ($m)</t>
  </si>
  <si>
    <t xml:space="preserve">GP carried interest, nominal ($m)</t>
  </si>
  <si>
    <t xml:space="preserve">Change in carry vs TPG offer ($m)</t>
  </si>
  <si>
    <t xml:space="preserve">Equivalent cut in management fee (bps)</t>
  </si>
  <si>
    <t xml:space="preserve">n/a</t>
  </si>
  <si>
    <t xml:space="preserve">Memo: LP NPV gained per 1 bp of management fee ($m)</t>
  </si>
  <si>
    <t xml:space="preserve">Row 15 restates each concession as an equivalent fee cut</t>
  </si>
  <si>
    <t xml:space="preserve">B. Downside protection — LP net IRR across fund outcomes</t>
  </si>
  <si>
    <t xml:space="preserve">TPG offer</t>
  </si>
  <si>
    <t xml:space="preserve">+ hard
hurdle</t>
  </si>
  <si>
    <t xml:space="preserve">+ soft
hurdle</t>
  </si>
  <si>
    <t xml:space="preserve">+ 15%
carry</t>
  </si>
  <si>
    <t xml:space="preserve">Gain: hard
hurdle (bps)</t>
  </si>
  <si>
    <t xml:space="preserve">Gain: soft
hurdle (bps)</t>
  </si>
  <si>
    <t xml:space="preserve">Gain: 15%
carry (bps)</t>
  </si>
  <si>
    <t xml:space="preserve">C. Carried interest TPG earns across fund outcomes ($m, nominal)</t>
  </si>
  <si>
    <t xml:space="preserve">LP IRR below
hurdle?</t>
  </si>
  <si>
    <t xml:space="preserve">Without a hurdle TPG earns carry as soon as LPs get their capital back, even when LPs earn far less than 8%; with a hurdle that carry disappears.</t>
  </si>
  <si>
    <t xml:space="preserve">D. Context from the case</t>
  </si>
  <si>
    <t xml:space="preserve">•  TPG typically offered a preferred return on its funds; other OPERF GPs (e.g. KKR) had resisted including one (case p.6, fn 16).</t>
  </si>
  <si>
    <t xml:space="preserve">•  An 80/20 profit split is the industry standard (case p.4); Exhibit 5 shows carry of 20–30% of gains — 15% would be below market.</t>
  </si>
  <si>
    <t xml:space="preserve">•  LP survey, Dec 2008 (Exhibit 11): areas requiring improvement — management fees 57%, carry structure &amp; clawback 37%, hurdle 12%.</t>
  </si>
  <si>
    <t xml:space="preserve">•  LP satisfaction with the compensation structure fell from 76% to 56% (Apr–Dec 2008); strongly dissatisfied rose from 13% to 27% (case p.6, Exhibit 11).</t>
  </si>
  <si>
    <t xml:space="preserve">•  ILPA principles (Exhibit 12), endorsed by the Oregon Investment Council: the agreed profit split has "typically worked well" — the push is on fees, clawbacks and GP commitment.</t>
  </si>
  <si>
    <t xml:space="preserve">Q6 — SHOULD OPERF REDUCE ITS TPG VI COMMITMENT BY 10% ($750m → $675m)?</t>
  </si>
  <si>
    <t xml:space="preserve">Economics use TPG's offered terms (sheet "Q4 Fee cut": 1.35% fee, 20% carry, no hurdle). OPERF receives a pro-rata share of LP cash flows.</t>
  </si>
  <si>
    <t xml:space="preserve">A. Commitment position ($ millions)</t>
  </si>
  <si>
    <t xml:space="preserve">Keep $750m</t>
  </si>
  <si>
    <t xml:space="preserve">Cut 10%</t>
  </si>
  <si>
    <t xml:space="preserve">Difference</t>
  </si>
  <si>
    <t xml:space="preserve">Commitment to TPG VI</t>
  </si>
  <si>
    <t xml:space="preserve">Capital contributed to date (Exhibit 7)</t>
  </si>
  <si>
    <t xml:space="preserve">Unfunded commitment still to be called</t>
  </si>
  <si>
    <t xml:space="preserve">Maximum TPG can call in 2009 (30% cap)</t>
  </si>
  <si>
    <t xml:space="preserve">Share of the $20bn fund (model)</t>
  </si>
  <si>
    <t xml:space="preserve">B. Expected economics at the base case (assets grow 20%, 15% discount rate, $ millions)</t>
  </si>
  <si>
    <t xml:space="preserve">Capital called over the fund life</t>
  </si>
  <si>
    <t xml:space="preserve">Management fees paid to TPG (nominal)</t>
  </si>
  <si>
    <t xml:space="preserve">cutting saves ~$1m a year in fees...</t>
  </si>
  <si>
    <t xml:space="preserve">Carried interest paid to TPG (nominal)</t>
  </si>
  <si>
    <t xml:space="preserve">Distributions received</t>
  </si>
  <si>
    <t xml:space="preserve">Net profit (distributions − capital called)</t>
  </si>
  <si>
    <t xml:space="preserve">NPV at 15%</t>
  </si>
  <si>
    <t xml:space="preserve">...but gives up the NPV of the $75m tranche if TPG VI earns its base-case return</t>
  </si>
  <si>
    <t xml:space="preserve">LP net IRR (same for both — economics scale pro rata)</t>
  </si>
  <si>
    <t xml:space="preserve">Multiple of capital (TVPI)</t>
  </si>
  <si>
    <t xml:space="preserve">C. OPERF net cash flows by date ($ millions; t = 0 is the start of Year 1)</t>
  </si>
  <si>
    <t xml:space="preserve">t</t>
  </si>
  <si>
    <t xml:space="preserve">Cut to $675m</t>
  </si>
  <si>
    <t xml:space="preserve">Difference (the $75m tranche given up)</t>
  </si>
  <si>
    <t xml:space="preserve">D. How much return does TPG VI need for the $75m to be worth keeping?</t>
  </si>
  <si>
    <t xml:space="preserve">Break-even asset growth (LP net IRR = 15%) under TPG offer</t>
  </si>
  <si>
    <t xml:space="preserve">Below this growth rate the commitment destroys value at a 15% required return — cutting would then help.</t>
  </si>
  <si>
    <t xml:space="preserve">Base-case asset growth (Prep Q3)</t>
  </si>
  <si>
    <t xml:space="preserve">Cushion: base case above break-even (percentage points)</t>
  </si>
  <si>
    <t xml:space="preserve">Thin margin: a ~1 pp shortfall in annual growth wipes out the NPV.</t>
  </si>
  <si>
    <t xml:space="preserve">LP net IRR at base case less 15% required return</t>
  </si>
  <si>
    <t xml:space="preserve">OPERF: TPG V (2006) IRR to date / TPG VI multiple to date</t>
  </si>
  <si>
    <t xml:space="preserve">OPERF: TPG VI value to date vs capital contributed ($m)</t>
  </si>
  <si>
    <t xml:space="preserve">E. NPV of the $75m tranche ($m) — asset growth (rows) × required return (columns)</t>
  </si>
  <si>
    <t xml:space="preserve">Asset growth  ↓   /   Discount rate  →</t>
  </si>
  <si>
    <t xml:space="preserve">Helper: Engine row of first TPG-offer grid point</t>
  </si>
  <si>
    <t xml:space="preserve">Growth rates must lie on the 1% grid (Inputs C38:C39). Positive = keeping the $75m adds value; negative = cutting adds value.</t>
  </si>
  <si>
    <t xml:space="preserve">F. OPERF's history with TPG (Exhibit 7, $ millions)</t>
  </si>
  <si>
    <t xml:space="preserve">Partnership</t>
  </si>
  <si>
    <t xml:space="preserve">Commitment</t>
  </si>
  <si>
    <t xml:space="preserve">Contributed</t>
  </si>
  <si>
    <t xml:space="preserve">Distributed</t>
  </si>
  <si>
    <t xml:space="preserve">Fair value</t>
  </si>
  <si>
    <t xml:space="preserve">TVPI</t>
  </si>
  <si>
    <t xml:space="preserve">IRR</t>
  </si>
  <si>
    <t xml:space="preserve">TPG Partners</t>
  </si>
  <si>
    <t xml:space="preserve">TPG Partners II</t>
  </si>
  <si>
    <t xml:space="preserve">TPG Partners III</t>
  </si>
  <si>
    <t xml:space="preserve">TPG Partners IV</t>
  </si>
  <si>
    <t xml:space="preserve">TPG Partners V</t>
  </si>
  <si>
    <t xml:space="preserve">TPG STAR</t>
  </si>
  <si>
    <t xml:space="preserve">NM</t>
  </si>
  <si>
    <t xml:space="preserve">Total</t>
  </si>
  <si>
    <t xml:space="preserve">~27%</t>
  </si>
  <si>
    <t xml:space="preserve">TVPI = (distributed + fair value) ÷ contributed; IRR from Exhibit 7; cumulative IRR of about 27% from case p.5. Note TPG VI was hit by the $437m WaMu loss (case p.5).</t>
  </si>
  <si>
    <t xml:space="preserve">G. Portfolio context — the denominator effect ($ millions)</t>
  </si>
  <si>
    <t xml:space="preserve">OPERF total fund value (Dec 2008)</t>
  </si>
  <si>
    <t xml:space="preserve">Private equity allocation ($)</t>
  </si>
  <si>
    <t xml:space="preserve">Private equity actual allocation (reported)</t>
  </si>
  <si>
    <t xml:space="preserve">Private equity at target ($)</t>
  </si>
  <si>
    <t xml:space="preserve">Over-allocation to private equity ($, reported %)</t>
  </si>
  <si>
    <t xml:space="preserve">$75m cut as % of the over-allocation</t>
  </si>
  <si>
    <t xml:space="preserve">$75m cut as % of OPERF total fund</t>
  </si>
  <si>
    <t xml:space="preserve">Unfunded TPG VI commitment as % of OPERF total fund (keep)</t>
  </si>
  <si>
    <t xml:space="preserve">The cut barely dents the over-allocation, and OPERF says it can meet future capital calls (case p.5) — liquidity is not the binding constraint.</t>
  </si>
  <si>
    <t xml:space="preserve">H. Decision summary (numbers update with the model)</t>
  </si>
  <si>
    <t xml:space="preserve">SENSITIVITY — how each fee structure performs as fund returns change</t>
  </si>
  <si>
    <t xml:space="preserve">Rows = annual growth of invested assets (all other Prep Q3 assumptions unchanged). Values come from the Engine grid.</t>
  </si>
  <si>
    <t xml:space="preserve">Table 1 — LP net IRR</t>
  </si>
  <si>
    <t xml:space="preserve">Table 2 — LP NPV at the discount rate ($m)</t>
  </si>
  <si>
    <t xml:space="preserve">Current terms
1.50% / 20%</t>
  </si>
  <si>
    <t xml:space="preserve">TPG offer
1.35% / 20%</t>
  </si>
  <si>
    <t xml:space="preserve">Offer + 8%
hard hurdle</t>
  </si>
  <si>
    <t xml:space="preserve">Offer + 8%
soft hurdle</t>
  </si>
  <si>
    <t xml:space="preserve">Offer +
15% carry</t>
  </si>
  <si>
    <t xml:space="preserve">Required return</t>
  </si>
  <si>
    <t xml:space="preserve">Break-even asset growth (LP IRR = required return)</t>
  </si>
  <si>
    <t xml:space="preserve">Interpolated from Table 1; above this growth rate the commitment has positive NPV.</t>
  </si>
  <si>
    <t xml:space="preserve">Table 3 — LP IRR gain vs current terms (bps)</t>
  </si>
  <si>
    <t xml:space="preserve">Table 4 — TPG compensation under current terms (PV at discount rate, $m)</t>
  </si>
  <si>
    <t xml:space="preserve">LP IRR —
current terms</t>
  </si>
  <si>
    <t xml:space="preserve">PV carried
interest</t>
  </si>
  <si>
    <t xml:space="preserve">PV total GP
comp</t>
  </si>
  <si>
    <t xml:space="preserve">Fees as % of
GP comp</t>
  </si>
  <si>
    <t xml:space="preserve">Reading Table 3: the fee cut is a roughly constant gain; a hurdle pays off most when returns are weak (GP earns no carry below 8%); a carry cut pays off most when returns are strong.</t>
  </si>
  <si>
    <t xml:space="preserve">ENGINE — the same fund model laid out one scenario per row (feeds Summary, Sensitivity, Q3–Q6 analysis sheets)</t>
  </si>
  <si>
    <t xml:space="preserve">Each row repeats the template logic year by year (columns AT onward). Main scenarios M1–M5 must reconcile to the template-style sheets (see Summary row 36). Do not edit — change Inputs instead.</t>
  </si>
  <si>
    <t xml:space="preserve">Scenario</t>
  </si>
  <si>
    <t xml:space="preserve">Terms and assumptions</t>
  </si>
  <si>
    <t xml:space="preserve">Outputs ($ millions)</t>
  </si>
  <si>
    <t xml:space="preserve">LP net cash flows, t = 0 … 10</t>
  </si>
  <si>
    <t xml:space="preserve">GP cash flows (fees + carry), t = 0 … 10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</si>
  <si>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</si>
  <si>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</si>
  <si>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</si>
  <si>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</si>
  <si>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</si>
  <si>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</si>
  <si>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</si>
  <si>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</si>
  <si>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</si>
  <si>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</si>
  <si>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ID</t>
  </si>
  <si>
    <t xml:space="preserve">Grid step</t>
  </si>
  <si>
    <t xml:space="preserve">Committed</t>
  </si>
  <si>
    <t xml:space="preserve">Mgmt fee</t>
  </si>
  <si>
    <t xml:space="preserve">Carry</t>
  </si>
  <si>
    <t xml:space="preserve">Catch-up</t>
  </si>
  <si>
    <t xml:space="preserve">Discount rate</t>
  </si>
  <si>
    <t xml:space="preserve">LP distributions</t>
  </si>
  <si>
    <t xml:space="preserve">LP TVPI</t>
  </si>
  <si>
    <t xml:space="preserve">GP fees (nominal)</t>
  </si>
  <si>
    <t xml:space="preserve">GP carry (nominal)</t>
  </si>
  <si>
    <t xml:space="preserve">PV GP total</t>
  </si>
  <si>
    <t xml:space="preserve">Fee share of GP PV</t>
  </si>
  <si>
    <t xml:space="preserve">Check (0 = OK)</t>
  </si>
  <si>
    <t xml:space="preserve">t=0</t>
  </si>
  <si>
    <t xml:space="preserve">t=1</t>
  </si>
  <si>
    <t xml:space="preserve">t=2</t>
  </si>
  <si>
    <t xml:space="preserve">t=3</t>
  </si>
  <si>
    <t xml:space="preserve">t=4</t>
  </si>
  <si>
    <t xml:space="preserve">t=5</t>
  </si>
  <si>
    <t xml:space="preserve">t=6</t>
  </si>
  <si>
    <t xml:space="preserve">t=7</t>
  </si>
  <si>
    <t xml:space="preserve">t=8</t>
  </si>
  <si>
    <t xml:space="preserve">t=9</t>
  </si>
  <si>
    <t xml:space="preserve">t=10</t>
  </si>
  <si>
    <t xml:space="preserve">Invested capital</t>
  </si>
  <si>
    <t xml:space="preserve">NAV before dist.</t>
  </si>
  <si>
    <t xml:space="preserve">Distribution</t>
  </si>
  <si>
    <t xml:space="preserve">NAV after dist.</t>
  </si>
  <si>
    <t xml:space="preserve">Unreturned capital (open)</t>
  </si>
  <si>
    <t xml:space="preserve">Return of capital</t>
  </si>
  <si>
    <t xml:space="preserve">Unreturned capital (close)</t>
  </si>
  <si>
    <t xml:space="preserve">Pref. due</t>
  </si>
  <si>
    <t xml:space="preserve">Pref. paid</t>
  </si>
  <si>
    <t xml:space="preserve">Unpaid pref. (close)</t>
  </si>
  <si>
    <t xml:space="preserve">Profit pool split</t>
  </si>
  <si>
    <t xml:space="preserve">LP distribution</t>
  </si>
  <si>
    <t xml:space="preserve">GP carry</t>
  </si>
  <si>
    <t xml:space="preserve">Cum. LP profit</t>
  </si>
  <si>
    <t xml:space="preserve">Cum. GP carry</t>
  </si>
  <si>
    <t xml:space="preserve">M1</t>
  </si>
  <si>
    <t xml:space="preserve">Current terms (1.50% fee, 20% carry, no hurdle)</t>
  </si>
  <si>
    <t xml:space="preserve">M2</t>
  </si>
  <si>
    <t xml:space="preserve">TPG offer (1.35% fee, 20% carry, no hurdle)</t>
  </si>
  <si>
    <t xml:space="preserve">M3</t>
  </si>
  <si>
    <t xml:space="preserve">M4</t>
  </si>
  <si>
    <t xml:space="preserve">Offer + 8% soft hurdle (100% catch-up)</t>
  </si>
  <si>
    <t xml:space="preserve">M5</t>
  </si>
  <si>
    <t xml:space="preserve">M6</t>
  </si>
  <si>
    <t xml:space="preserve">Offer + 8% hard hurdle + 15% carry</t>
  </si>
  <si>
    <t xml:space="preserve">M7</t>
  </si>
  <si>
    <t xml:space="preserve">Offer + 8% soft hurdle + 15% carry</t>
  </si>
  <si>
    <t xml:space="preserve">M8</t>
  </si>
  <si>
    <t xml:space="preserve">Current fee + 8% hard hurdle</t>
  </si>
  <si>
    <t xml:space="preserve">M9</t>
  </si>
  <si>
    <t xml:space="preserve">Current fee + 15% carry</t>
  </si>
  <si>
    <t xml:space="preserve">M10</t>
  </si>
  <si>
    <t xml:space="preserve">Gross: no management fee, no carry</t>
  </si>
  <si>
    <t xml:space="preserve">M11</t>
  </si>
  <si>
    <t xml:space="preserve">Current fee (1.50%) only, no carry</t>
  </si>
  <si>
    <t xml:space="preserve">M12</t>
  </si>
  <si>
    <t xml:space="preserve">Offer fee (1.35%) only, no carry</t>
  </si>
  <si>
    <t xml:space="preserve">Growth sensitivity grid — 31 asset-growth points (Inputs C38:C40) × 5 fee structures</t>
  </si>
  <si>
    <t xml:space="preserve">S1</t>
  </si>
  <si>
    <t xml:space="preserve">Current terms (1.50% / 20%)</t>
  </si>
  <si>
    <t xml:space="preserve">S2</t>
  </si>
  <si>
    <t xml:space="preserve">TPG offer (1.35% / 20%)</t>
  </si>
  <si>
    <t xml:space="preserve">S3</t>
  </si>
  <si>
    <t xml:space="preserve">S4</t>
  </si>
  <si>
    <t xml:space="preserve">S5</t>
  </si>
  <si>
    <t xml:space="preserve">Total of check column (0 = OK)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</si>
</sst>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.00%;\(0.00%\);\-"/>
    <numFmt numFmtId="166" formatCode="#,##0;\(#,##0\);\-"/>
    <numFmt numFmtId="167" formatCode="0"/>
    <numFmt numFmtId="168" formatCode="0.0%;\(0.0%\);\-"/>
    <numFmt numFmtId="169" formatCode="0%"/>
    <numFmt numFmtId="170" formatCode="#,##0.0;\(#,##0.0\);\-"/>
    <numFmt numFmtId="171" formatCode="0.0%"/>
    <numFmt numFmtId="172" formatCode="#,##0&quot; bps&quot;;\(#,##0&quot; bps)&quot;;\-"/>
    <numFmt numFmtId="173" formatCode="0.00\x"/>
    <numFmt numFmtId="174" formatCode="#,##0"/>
    <numFmt numFmtId="175" formatCode="0.00"/>
    <numFmt numFmtId="176" formatCode="\+0;\-0"/>
    <numFmt numFmtId="177" formatCode="0.00%"/>
    <numFmt numFmtId="178" formatCode="0.0\x"/>
    <numFmt numFmtId="179" formatCode="\+0.00\x;\-0.00\x"/>
    <numFmt numFmtId="180" formatCode="#,##0.000"/>
    <numFmt numFmtId="181" formatCode="#,##0.00"/>
    <numFmt numFmtId="182" formatCode="0.000%"/>
    <numFmt numFmtId="183" formatCode="0.00%;\(0.00%\)"/>
    <numFmt numFmtId="184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4"/>
      <color rgb="FF000000"/>
      <name val="Times New Roman"/>
      <family val="0"/>
      <charset val="1"/>
    </font>
    <font>
      <i val="true"/>
      <sz val="10"/>
      <color rgb="FF595959"/>
      <name val="Times New Roman"/>
      <family val="0"/>
      <charset val="1"/>
    </font>
    <font>
      <b val="true"/>
      <i val="true"/>
      <sz val="10"/>
      <color rgb="FFFF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10"/>
      <color rgb="FF008000"/>
      <name val="Times New Roman"/>
      <family val="0"/>
      <charset val="1"/>
    </font>
    <font>
      <sz val="10"/>
      <color rgb="FF008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FF"/>
      <name val="Times New Roman"/>
      <family val="0"/>
      <charset val="1"/>
    </font>
    <font>
      <b val="true"/>
      <i val="true"/>
      <sz val="12"/>
      <color rgb="FF000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i val="true"/>
      <sz val="10"/>
      <color rgb="FF000000"/>
      <name val="Times New Roman"/>
      <family val="0"/>
      <charset val="1"/>
    </font>
    <font>
      <sz val="10"/>
      <color rgb="FFFF0000"/>
      <name val="Times New Roman"/>
      <family val="0"/>
      <charset val="1"/>
    </font>
    <font>
      <b val="true"/>
      <sz val="10"/>
      <color rgb="FF0000FF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595959"/>
      <rgbColor rgb="FF8C8B87"/>
      <rgbColor rgb="FF003366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LP net IRR gain vs current terms (bps)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Summary!$C$4:$F$4</c:f>
              <c:strCache>
                <c:ptCount val="4"/>
                <c:pt idx="0">
                  <c:v>TPG offer
(Q4: fee 1.35%)</c:v>
                </c:pt>
                <c:pt idx="1">
                  <c:v>Offer + 8% hard hurdle
(Q5a)</c:v>
                </c:pt>
                <c:pt idx="2">
                  <c:v>Offer + 8% soft hurdle
(Q5b)</c:v>
                </c:pt>
                <c:pt idx="3">
                  <c:v>Offer + 15% carry
(Q5c)</c:v>
                </c:pt>
              </c:strCache>
            </c:strRef>
          </c:cat>
          <c:val>
            <c:numRef>
              <c:f>Summary!$C$12:$F$12</c:f>
              <c:numCache>
                <c:formatCode>#,##0" bps";\(#,##0" bps)";\-</c:formatCode>
                <c:ptCount val="4"/>
                <c:pt idx="0">
                  <c:v>21.3581432453117</c:v>
                </c:pt>
                <c:pt idx="1">
                  <c:v>86.9263009407248</c:v>
                </c:pt>
                <c:pt idx="2">
                  <c:v>30.6664345961769</c:v>
                </c:pt>
                <c:pt idx="3">
                  <c:v>76.8538834730498</c:v>
                </c:pt>
              </c:numCache>
            </c:numRef>
          </c:val>
        </c:ser>
        <c:gapWidth val="80"/>
        <c:overlap val="0"/>
        <c:axId val="5139011"/>
        <c:axId val="42806218"/>
      </c:barChart>
      <c:catAx>
        <c:axId val="51390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06218"/>
        <c:crosses val="autoZero"/>
        <c:auto val="1"/>
        <c:lblAlgn val="ctr"/>
        <c:lblOffset val="100"/>
        <c:noMultiLvlLbl val="0"/>
      </c:catAx>
      <c:valAx>
        <c:axId val="428062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90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PV of TPG compensation at 15%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"Management fees"</c:f>
              <c:strCache>
                <c:ptCount val="1"/>
                <c:pt idx="0">
                  <c:v>Management fees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Summary!$B$4:$F$4</c:f>
              <c:multiLvlStrCache>
                <c:ptCount val="1"/>
                <c:lvl>
                  <c:pt idx="0">
                    <c:v>Offer + 15% carry
(Q5c)</c:v>
                  </c:pt>
                </c:lvl>
                <c:lvl>
                  <c:pt idx="0">
                    <c:v>Offer + 8% soft hurdle
(Q5b)</c:v>
                  </c:pt>
                </c:lvl>
                <c:lvl>
                  <c:pt idx="0">
                    <c:v>Offer + 8% hard hurdle
(Q5a)</c:v>
                  </c:pt>
                </c:lvl>
                <c:lvl>
                  <c:pt idx="0">
                    <c:v>TPG offer
(Q4: fee 1.35%)</c:v>
                  </c:pt>
                </c:lvl>
                <c:lvl>
                  <c:pt idx="0">
                    <c:v>Current terms
(Q3 base case)</c:v>
                  </c:pt>
                </c:lvl>
              </c:multiLvlStrCache>
            </c:multiLvlStrRef>
          </c:cat>
          <c:val>
            <c:numRef>
              <c:f>Summary!$B$21:$F$21</c:f>
              <c:numCache>
                <c:formatCode>#,##0.0;\(#,##0.0\);\-</c:formatCode>
                <c:ptCount val="5"/>
                <c:pt idx="0">
                  <c:v>1731.47517591971</c:v>
                </c:pt>
                <c:pt idx="1">
                  <c:v>1558.32765832774</c:v>
                </c:pt>
                <c:pt idx="2">
                  <c:v>1558.32765832774</c:v>
                </c:pt>
                <c:pt idx="3">
                  <c:v>1558.32765832774</c:v>
                </c:pt>
                <c:pt idx="4">
                  <c:v>1558.32765832774</c:v>
                </c:pt>
              </c:numCache>
            </c:numRef>
          </c:val>
        </c:ser>
        <c:ser>
          <c:idx val="1"/>
          <c:order val="1"/>
          <c:tx>
            <c:strRef>
              <c:f>"Carried interest"</c:f>
              <c:strCache>
                <c:ptCount val="1"/>
                <c:pt idx="0">
                  <c:v>Carried interest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Summary!$B$4:$F$4</c:f>
              <c:multiLvlStrCache>
                <c:ptCount val="1"/>
                <c:lvl>
                  <c:pt idx="0">
                    <c:v>Offer + 15% carry
(Q5c)</c:v>
                  </c:pt>
                </c:lvl>
                <c:lvl>
                  <c:pt idx="0">
                    <c:v>Offer + 8% soft hurdle
(Q5b)</c:v>
                  </c:pt>
                </c:lvl>
                <c:lvl>
                  <c:pt idx="0">
                    <c:v>Offer + 8% hard hurdle
(Q5a)</c:v>
                  </c:pt>
                </c:lvl>
                <c:lvl>
                  <c:pt idx="0">
                    <c:v>TPG offer
(Q4: fee 1.35%)</c:v>
                  </c:pt>
                </c:lvl>
                <c:lvl>
                  <c:pt idx="0">
                    <c:v>Current terms
(Q3 base case)</c:v>
                  </c:pt>
                </c:lvl>
              </c:multiLvlStrCache>
            </c:multiLvlStrRef>
          </c:cat>
          <c:val>
            <c:numRef>
              <c:f>Summary!$B$22:$F$22</c:f>
              <c:numCache>
                <c:formatCode>#,##0.0;\(#,##0.0\);\-</c:formatCode>
                <c:ptCount val="5"/>
                <c:pt idx="0">
                  <c:v>1845.49373575418</c:v>
                </c:pt>
                <c:pt idx="1">
                  <c:v>1884.57967600123</c:v>
                </c:pt>
                <c:pt idx="2">
                  <c:v>1334.0204316492</c:v>
                </c:pt>
                <c:pt idx="3">
                  <c:v>1811.89616613155</c:v>
                </c:pt>
                <c:pt idx="4">
                  <c:v>1413.43475700093</c:v>
                </c:pt>
              </c:numCache>
            </c:numRef>
          </c:val>
        </c:ser>
        <c:gapWidth val="60"/>
        <c:overlap val="100"/>
        <c:axId val="57947231"/>
        <c:axId val="30865300"/>
      </c:barChart>
      <c:catAx>
        <c:axId val="5794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65300"/>
        <c:crosses val="autoZero"/>
        <c:auto val="1"/>
        <c:lblAlgn val="ctr"/>
        <c:lblOffset val="100"/>
        <c:noMultiLvlLbl val="0"/>
      </c:catAx>
      <c:valAx>
        <c:axId val="30865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472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LPA areas LPs want improved, Dec 2008 (Exhibit 11)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"Requiring improvement"</c:f>
              <c:strCache>
                <c:ptCount val="1"/>
                <c:pt idx="0">
                  <c:v>Requiring improvement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'Q1-Q2 Context'!$A$56:$A$61</c:f>
              <c:strCache>
                <c:ptCount val="6"/>
                <c:pt idx="0">
                  <c:v>Management fees</c:v>
                </c:pt>
                <c:pt idx="1">
                  <c:v>Carry structure and clawback</c:v>
                </c:pt>
                <c:pt idx="2">
                  <c:v>Fees on uninvested capital</c:v>
                </c:pt>
                <c:pt idx="3">
                  <c:v>Amount committed by GP</c:v>
                </c:pt>
                <c:pt idx="4">
                  <c:v>Hurdle</c:v>
                </c:pt>
                <c:pt idx="5">
                  <c:v>Transparency</c:v>
                </c:pt>
              </c:strCache>
            </c:strRef>
          </c:cat>
          <c:val>
            <c:numRef>
              <c:f>'Q1-Q2 Context'!$B$56:$B$61</c:f>
              <c:numCache>
                <c:formatCode>0%</c:formatCode>
                <c:ptCount val="6"/>
                <c:pt idx="0">
                  <c:v>0.57</c:v>
                </c:pt>
                <c:pt idx="1">
                  <c:v>0.37</c:v>
                </c:pt>
                <c:pt idx="2">
                  <c:v>0.25</c:v>
                </c:pt>
                <c:pt idx="3">
                  <c:v>0.17</c:v>
                </c:pt>
                <c:pt idx="4">
                  <c:v>0.12</c:v>
                </c:pt>
                <c:pt idx="5">
                  <c:v>0.12</c:v>
                </c:pt>
              </c:numCache>
            </c:numRef>
          </c:val>
        </c:ser>
        <c:gapWidth val="60"/>
        <c:overlap val="0"/>
        <c:axId val="55427613"/>
        <c:axId val="67795708"/>
      </c:barChart>
      <c:catAx>
        <c:axId val="55427613"/>
        <c:scaling>
          <c:orientation val="maxMin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95708"/>
        <c:crosses val="autoZero"/>
        <c:auto val="1"/>
        <c:lblAlgn val="ctr"/>
        <c:lblOffset val="100"/>
        <c:noMultiLvlLbl val="0"/>
      </c:catAx>
      <c:valAx>
        <c:axId val="67795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LPs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276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PV of TPG compensation by asset growth — current terms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"Management fees"</c:f>
              <c:strCache>
                <c:ptCount val="1"/>
                <c:pt idx="0">
                  <c:v>Management fees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'Q3 Analysis'!$A$34:$A$40</c:f>
              <c:strCache>
                <c:ptCount val="7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</c:strCache>
            </c:strRef>
          </c:cat>
          <c:val>
            <c:numRef>
              <c:f>'Q3 Analysis'!$D$34:$D$40</c:f>
              <c:numCache>
                <c:formatCode>#,##0;\(#,##0\);\-</c:formatCode>
                <c:ptCount val="7"/>
                <c:pt idx="0">
                  <c:v>1731.47517591971</c:v>
                </c:pt>
                <c:pt idx="1">
                  <c:v>1731.47517591971</c:v>
                </c:pt>
                <c:pt idx="2">
                  <c:v>1731.47517591971</c:v>
                </c:pt>
                <c:pt idx="3">
                  <c:v>1731.47517591971</c:v>
                </c:pt>
                <c:pt idx="4">
                  <c:v>1731.47517591971</c:v>
                </c:pt>
                <c:pt idx="5">
                  <c:v>1731.47517591971</c:v>
                </c:pt>
                <c:pt idx="6">
                  <c:v>1731.47517591971</c:v>
                </c:pt>
              </c:numCache>
            </c:numRef>
          </c:val>
        </c:ser>
        <c:ser>
          <c:idx val="1"/>
          <c:order val="1"/>
          <c:tx>
            <c:strRef>
              <c:f>"Carried interest"</c:f>
              <c:strCache>
                <c:ptCount val="1"/>
                <c:pt idx="0">
                  <c:v>Carried interest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'Q3 Analysis'!$A$34:$A$40</c:f>
              <c:strCache>
                <c:ptCount val="7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</c:strCache>
            </c:strRef>
          </c:cat>
          <c:val>
            <c:numRef>
              <c:f>'Q3 Analysis'!$E$34:$E$40</c:f>
              <c:numCache>
                <c:formatCode>#,##0;\(#,##0\);\-</c:formatCode>
                <c:ptCount val="7"/>
                <c:pt idx="0">
                  <c:v>0</c:v>
                </c:pt>
                <c:pt idx="1">
                  <c:v>143.71311558969</c:v>
                </c:pt>
                <c:pt idx="2">
                  <c:v>533.265583504789</c:v>
                </c:pt>
                <c:pt idx="3">
                  <c:v>1078.94342289774</c:v>
                </c:pt>
                <c:pt idx="4">
                  <c:v>1845.49373575418</c:v>
                </c:pt>
                <c:pt idx="5">
                  <c:v>2871.66531141065</c:v>
                </c:pt>
                <c:pt idx="6">
                  <c:v>4215.69962553358</c:v>
                </c:pt>
              </c:numCache>
            </c:numRef>
          </c:val>
        </c:ser>
        <c:gapWidth val="60"/>
        <c:overlap val="100"/>
        <c:axId val="20862975"/>
        <c:axId val="17066380"/>
      </c:barChart>
      <c:catAx>
        <c:axId val="208629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growth of invested assets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66380"/>
        <c:crosses val="autoZero"/>
        <c:auto val="1"/>
        <c:lblAlgn val="ctr"/>
        <c:lblOffset val="100"/>
        <c:noMultiLvlLbl val="0"/>
      </c:catAx>
      <c:valAx>
        <c:axId val="17066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629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LP IRR gain from the fee cut, by asset growth (bps)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"Gain (bps)"</c:f>
              <c:strCache>
                <c:ptCount val="1"/>
                <c:pt idx="0">
                  <c:v>Gain (bps)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'Q4 Analysis'!$A$37:$A$43</c:f>
              <c:strCache>
                <c:ptCount val="7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</c:strCache>
            </c:strRef>
          </c:cat>
          <c:val>
            <c:numRef>
              <c:f>'Q4 Analysis'!$D$37:$D$43</c:f>
              <c:numCache>
                <c:formatCode>#,##0</c:formatCode>
                <c:ptCount val="7"/>
                <c:pt idx="0">
                  <c:v>31.1543419255966</c:v>
                </c:pt>
                <c:pt idx="1">
                  <c:v>23.3002641196949</c:v>
                </c:pt>
                <c:pt idx="2">
                  <c:v>22.8379896632799</c:v>
                </c:pt>
                <c:pt idx="3">
                  <c:v>21.9437581032246</c:v>
                </c:pt>
                <c:pt idx="4">
                  <c:v>21.3581432453136</c:v>
                </c:pt>
                <c:pt idx="5">
                  <c:v>20.7170418280842</c:v>
                </c:pt>
                <c:pt idx="6">
                  <c:v>20.4554077301922</c:v>
                </c:pt>
              </c:numCache>
            </c:numRef>
          </c:val>
        </c:ser>
        <c:gapWidth val="80"/>
        <c:overlap val="0"/>
        <c:axId val="54917199"/>
        <c:axId val="34007716"/>
      </c:barChart>
      <c:catAx>
        <c:axId val="549171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growth of invested assets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07716"/>
        <c:crosses val="autoZero"/>
        <c:auto val="1"/>
        <c:lblAlgn val="ctr"/>
        <c:lblOffset val="100"/>
        <c:noMultiLvlLbl val="0"/>
      </c:catAx>
      <c:valAx>
        <c:axId val="34007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17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LP IRR gain over TPG offer, by asset growth (bps)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"8% hard hurdle"</c:f>
              <c:strCache>
                <c:ptCount val="1"/>
                <c:pt idx="0">
                  <c:v>8% hard hurdle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'Q5 Analysis'!$A$22:$A$28</c:f>
              <c:strCache>
                <c:ptCount val="7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</c:strCache>
            </c:strRef>
          </c:cat>
          <c:val>
            <c:numRef>
              <c:f>'Q5 Analysis'!$F$22:$F$28</c:f>
              <c:numCache>
                <c:formatCode>#,##0;\(#,##0\);\-</c:formatCode>
                <c:ptCount val="7"/>
                <c:pt idx="0">
                  <c:v>0</c:v>
                </c:pt>
                <c:pt idx="1">
                  <c:v>48.491110144927</c:v>
                </c:pt>
                <c:pt idx="2">
                  <c:v>118.608898178776</c:v>
                </c:pt>
                <c:pt idx="3">
                  <c:v>84.9320342208276</c:v>
                </c:pt>
                <c:pt idx="4">
                  <c:v>65.568157695412</c:v>
                </c:pt>
                <c:pt idx="5">
                  <c:v>54.1670920024992</c:v>
                </c:pt>
                <c:pt idx="6">
                  <c:v>46.378806754524</c:v>
                </c:pt>
              </c:numCache>
            </c:numRef>
          </c:val>
        </c:ser>
        <c:ser>
          <c:idx val="1"/>
          <c:order val="1"/>
          <c:tx>
            <c:strRef>
              <c:f>"8% soft hurdle"</c:f>
              <c:strCache>
                <c:ptCount val="1"/>
                <c:pt idx="0">
                  <c:v>8% soft hurdle</c:v>
                </c:pt>
              </c:strCache>
            </c:strRef>
          </c:tx>
          <c:spPr>
            <a:solidFill>
              <a:srgbClr val="eda100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'Q5 Analysis'!$A$22:$A$28</c:f>
              <c:strCache>
                <c:ptCount val="7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</c:strCache>
            </c:strRef>
          </c:cat>
          <c:val>
            <c:numRef>
              <c:f>'Q5 Analysis'!$G$22:$G$28</c:f>
              <c:numCache>
                <c:formatCode>#,##0;\(#,##0\);\-</c:formatCode>
                <c:ptCount val="7"/>
                <c:pt idx="0">
                  <c:v>0</c:v>
                </c:pt>
                <c:pt idx="1">
                  <c:v>48.491110144927</c:v>
                </c:pt>
                <c:pt idx="2">
                  <c:v>118.608898178776</c:v>
                </c:pt>
                <c:pt idx="3">
                  <c:v>3.88097143987728</c:v>
                </c:pt>
                <c:pt idx="4">
                  <c:v>9.3082913508627</c:v>
                </c:pt>
                <c:pt idx="5">
                  <c:v>3.60648160640492</c:v>
                </c:pt>
                <c:pt idx="6">
                  <c:v>9.22412842738363</c:v>
                </c:pt>
              </c:numCache>
            </c:numRef>
          </c:val>
        </c:ser>
        <c:ser>
          <c:idx val="2"/>
          <c:order val="2"/>
          <c:tx>
            <c:strRef>
              <c:f>"15% carry"</c:f>
              <c:strCache>
                <c:ptCount val="1"/>
                <c:pt idx="0">
                  <c:v>15% carry</c:v>
                </c:pt>
              </c:strCache>
            </c:strRef>
          </c:tx>
          <c:spPr>
            <a:solidFill>
              <a:srgbClr val="e87ba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'Q5 Analysis'!$A$22:$A$28</c:f>
              <c:strCache>
                <c:ptCount val="7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</c:strCache>
            </c:strRef>
          </c:cat>
          <c:val>
            <c:numRef>
              <c:f>'Q5 Analysis'!$H$22:$H$28</c:f>
              <c:numCache>
                <c:formatCode>#,##0;\(#,##0\);\-</c:formatCode>
                <c:ptCount val="7"/>
                <c:pt idx="0">
                  <c:v>0</c:v>
                </c:pt>
                <c:pt idx="1">
                  <c:v>12.319505776595</c:v>
                </c:pt>
                <c:pt idx="2">
                  <c:v>30.8029769029752</c:v>
                </c:pt>
                <c:pt idx="3">
                  <c:v>44.3455625027384</c:v>
                </c:pt>
                <c:pt idx="4">
                  <c:v>55.4957402277356</c:v>
                </c:pt>
                <c:pt idx="5">
                  <c:v>65.1276946006871</c:v>
                </c:pt>
                <c:pt idx="6">
                  <c:v>73.4696827188153</c:v>
                </c:pt>
              </c:numCache>
            </c:numRef>
          </c:val>
        </c:ser>
        <c:gapWidth val="60"/>
        <c:overlap val="0"/>
        <c:axId val="39483671"/>
        <c:axId val="76498921"/>
      </c:barChart>
      <c:catAx>
        <c:axId val="394836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growth of invested assets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98921"/>
        <c:crosses val="autoZero"/>
        <c:auto val="1"/>
        <c:lblAlgn val="ctr"/>
        <c:lblOffset val="100"/>
        <c:noMultiLvlLbl val="0"/>
      </c:catAx>
      <c:valAx>
        <c:axId val="76498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836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NPV of the $75m tranche at a 15% required return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"NPV of $75m tranche"</c:f>
              <c:strCache>
                <c:ptCount val="1"/>
                <c:pt idx="0">
                  <c:v>NPV of $75m tranche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'Q6 OPERF decision'!$A$40:$A$48</c:f>
              <c:strCache>
                <c:ptCount val="9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18%</c:v>
                </c:pt>
                <c:pt idx="5">
                  <c:v>20%</c:v>
                </c:pt>
                <c:pt idx="6">
                  <c:v>22%</c:v>
                </c:pt>
                <c:pt idx="7">
                  <c:v>25%</c:v>
                </c:pt>
                <c:pt idx="8">
                  <c:v>30%</c:v>
                </c:pt>
              </c:strCache>
            </c:strRef>
          </c:cat>
          <c:val>
            <c:numRef>
              <c:f>'Q6 OPERF decision'!$D$40:$D$48</c:f>
              <c:numCache>
                <c:formatCode>#,##0.0;\(#,##0.0\);\-</c:formatCode>
                <c:ptCount val="9"/>
                <c:pt idx="0">
                  <c:v>-34.4301081578817</c:v>
                </c:pt>
                <c:pt idx="1">
                  <c:v>-27.892300757879</c:v>
                </c:pt>
                <c:pt idx="2">
                  <c:v>-20.0515735934891</c:v>
                </c:pt>
                <c:pt idx="3">
                  <c:v>-10.0061747116131</c:v>
                </c:pt>
                <c:pt idx="4">
                  <c:v>-2.70700546291887</c:v>
                </c:pt>
                <c:pt idx="5">
                  <c:v>2.82367210799786</c:v>
                </c:pt>
                <c:pt idx="6">
                  <c:v>8.93427404672344</c:v>
                </c:pt>
                <c:pt idx="7">
                  <c:v>19.2905183784049</c:v>
                </c:pt>
                <c:pt idx="8">
                  <c:v>40.4574627780695</c:v>
                </c:pt>
              </c:numCache>
            </c:numRef>
          </c:val>
        </c:ser>
        <c:gapWidth val="70"/>
        <c:overlap val="0"/>
        <c:axId val="50234778"/>
        <c:axId val="61047511"/>
      </c:barChart>
      <c:catAx>
        <c:axId val="50234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growth of invested assets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47511"/>
        <c:crosses val="autoZero"/>
        <c:auto val="1"/>
        <c:lblAlgn val="ctr"/>
        <c:lblOffset val="100"/>
        <c:noMultiLvlLbl val="0"/>
      </c:catAx>
      <c:valAx>
        <c:axId val="61047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347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TPG offer: LP net IRR vs 15% required return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Sensitivity!C5</c:f>
              <c:strCache>
                <c:ptCount val="1"/>
                <c:pt idx="0">
                  <c:v>TPG offer
1.35% / 20%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Sensitivity!$A$6:$A$36</c:f>
              <c:numCache>
                <c:formatCode>0%</c:formatCode>
                <c:ptCount val="3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</c:numCache>
            </c:numRef>
          </c:xVal>
          <c:yVal>
            <c:numRef>
              <c:f>Sensitivity!$C$6:$C$36</c:f>
              <c:numCache>
                <c:formatCode>0.00%;\(0.00%\);\-</c:formatCode>
                <c:ptCount val="31"/>
                <c:pt idx="0">
                  <c:v>-0.025625197842692</c:v>
                </c:pt>
                <c:pt idx="1">
                  <c:v>-0.0150982104544355</c:v>
                </c:pt>
                <c:pt idx="2">
                  <c:v>-0.00460606780939016</c:v>
                </c:pt>
                <c:pt idx="3">
                  <c:v>0.00470739553452383</c:v>
                </c:pt>
                <c:pt idx="4">
                  <c:v>0.0132120392593603</c:v>
                </c:pt>
                <c:pt idx="5">
                  <c:v>0.0218360808430908</c:v>
                </c:pt>
                <c:pt idx="6">
                  <c:v>0.0305713981063468</c:v>
                </c:pt>
                <c:pt idx="7">
                  <c:v>0.0394101863881467</c:v>
                </c:pt>
                <c:pt idx="8">
                  <c:v>0.0483449847091009</c:v>
                </c:pt>
                <c:pt idx="9">
                  <c:v>0.0573686938542749</c:v>
                </c:pt>
                <c:pt idx="10">
                  <c:v>0.0664745873122854</c:v>
                </c:pt>
                <c:pt idx="11">
                  <c:v>0.0756496336434207</c:v>
                </c:pt>
                <c:pt idx="12">
                  <c:v>0.0848232007292502</c:v>
                </c:pt>
                <c:pt idx="13">
                  <c:v>0.0940511245095846</c:v>
                </c:pt>
                <c:pt idx="14">
                  <c:v>0.103329604808712</c:v>
                </c:pt>
                <c:pt idx="15">
                  <c:v>0.11263957351201</c:v>
                </c:pt>
                <c:pt idx="16">
                  <c:v>0.121920448362269</c:v>
                </c:pt>
                <c:pt idx="17">
                  <c:v>0.131235034752179</c:v>
                </c:pt>
                <c:pt idx="18">
                  <c:v>0.140581309673615</c:v>
                </c:pt>
                <c:pt idx="19">
                  <c:v>0.149957366423966</c:v>
                </c:pt>
                <c:pt idx="20">
                  <c:v>0.159361408558221</c:v>
                </c:pt>
                <c:pt idx="21">
                  <c:v>0.168791744049474</c:v>
                </c:pt>
                <c:pt idx="22">
                  <c:v>0.178190814363655</c:v>
                </c:pt>
                <c:pt idx="23">
                  <c:v>0.187571162454014</c:v>
                </c:pt>
                <c:pt idx="24">
                  <c:v>0.196969469294876</c:v>
                </c:pt>
                <c:pt idx="25">
                  <c:v>0.206384877129988</c:v>
                </c:pt>
                <c:pt idx="26">
                  <c:v>0.2158165698397</c:v>
                </c:pt>
                <c:pt idx="27">
                  <c:v>0.225263770876889</c:v>
                </c:pt>
                <c:pt idx="28">
                  <c:v>0.234725741306942</c:v>
                </c:pt>
                <c:pt idx="29">
                  <c:v>0.24420177794539</c:v>
                </c:pt>
                <c:pt idx="30">
                  <c:v>0.253691211589088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Sensitivity!G5</c:f>
              <c:strCache>
                <c:ptCount val="1"/>
                <c:pt idx="0">
                  <c:v>Required return</c:v>
                </c:pt>
              </c:strCache>
            </c:strRef>
          </c:tx>
          <c:spPr>
            <a:solidFill>
              <a:srgbClr val="8c8b87"/>
            </a:solidFill>
            <a:ln w="15120">
              <a:solidFill>
                <a:srgbClr val="8c8b8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Sensitivity!$A$6:$A$36</c:f>
              <c:numCache>
                <c:formatCode>0%</c:formatCode>
                <c:ptCount val="3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</c:numCache>
            </c:numRef>
          </c:xVal>
          <c:yVal>
            <c:numRef>
              <c:f>Sensitivity!$G$6:$G$36</c:f>
              <c:numCache>
                <c:formatCode>0.0%;\(0.0%\);\-</c:formatCode>
                <c:ptCount val="31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</c:numCache>
            </c:numRef>
          </c:yVal>
          <c:smooth val="0"/>
        </c:ser>
        <c:axId val="16103131"/>
        <c:axId val="61378885"/>
      </c:scatterChart>
      <c:valAx>
        <c:axId val="16103131"/>
        <c:scaling>
          <c:orientation val="minMax"/>
          <c:max val="0.3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growth of invested assets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78885"/>
        <c:crosses val="autoZero"/>
        <c:crossBetween val="midCat"/>
        <c:majorUnit val="0.05"/>
      </c:valAx>
      <c:valAx>
        <c:axId val="613788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LP net IRR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0313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LP IRR gain vs current terms (bps)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Sensitivity!C43</c:f>
              <c:strCache>
                <c:ptCount val="1"/>
                <c:pt idx="0">
                  <c:v>TPG offer
1.35% / 20%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Sensitivity!$A$44:$A$74</c:f>
              <c:numCache>
                <c:formatCode>0%</c:formatCode>
                <c:ptCount val="3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</c:numCache>
            </c:numRef>
          </c:xVal>
          <c:yVal>
            <c:numRef>
              <c:f>Sensitivity!$C$44:$C$74</c:f>
              <c:numCache>
                <c:formatCode>#,##0;\(#,##0\);\-</c:formatCode>
                <c:ptCount val="31"/>
                <c:pt idx="0">
                  <c:v>31.1543419255966</c:v>
                </c:pt>
                <c:pt idx="1">
                  <c:v>30.4134783181468</c:v>
                </c:pt>
                <c:pt idx="2">
                  <c:v>29.7259711637266</c:v>
                </c:pt>
                <c:pt idx="3">
                  <c:v>23.451902957695</c:v>
                </c:pt>
                <c:pt idx="4">
                  <c:v>23.3797251964722</c:v>
                </c:pt>
                <c:pt idx="5">
                  <c:v>23.3002641196949</c:v>
                </c:pt>
                <c:pt idx="6">
                  <c:v>23.2148818242434</c:v>
                </c:pt>
                <c:pt idx="7">
                  <c:v>23.1248458261833</c:v>
                </c:pt>
                <c:pt idx="8">
                  <c:v>23.0313242364874</c:v>
                </c:pt>
                <c:pt idx="9">
                  <c:v>22.9353837045603</c:v>
                </c:pt>
                <c:pt idx="10">
                  <c:v>22.8379896632799</c:v>
                </c:pt>
                <c:pt idx="11">
                  <c:v>22.6731845847131</c:v>
                </c:pt>
                <c:pt idx="12">
                  <c:v>22.4401486987685</c:v>
                </c:pt>
                <c:pt idx="13">
                  <c:v>22.3213385611627</c:v>
                </c:pt>
                <c:pt idx="14">
                  <c:v>22.2075017386203</c:v>
                </c:pt>
                <c:pt idx="15">
                  <c:v>21.9437581032246</c:v>
                </c:pt>
                <c:pt idx="16">
                  <c:v>21.7705231889619</c:v>
                </c:pt>
                <c:pt idx="17">
                  <c:v>21.6566983398656</c:v>
                </c:pt>
                <c:pt idx="18">
                  <c:v>21.5501746701852</c:v>
                </c:pt>
                <c:pt idx="19">
                  <c:v>21.4507304733866</c:v>
                </c:pt>
                <c:pt idx="20">
                  <c:v>21.3581432453136</c:v>
                </c:pt>
                <c:pt idx="21">
                  <c:v>21.2721910238242</c:v>
                </c:pt>
                <c:pt idx="22">
                  <c:v>20.9492097953193</c:v>
                </c:pt>
                <c:pt idx="23">
                  <c:v>20.8648826127159</c:v>
                </c:pt>
                <c:pt idx="24">
                  <c:v>20.7875961127843</c:v>
                </c:pt>
                <c:pt idx="25">
                  <c:v>20.7170418280842</c:v>
                </c:pt>
                <c:pt idx="26">
                  <c:v>20.6529253081753</c:v>
                </c:pt>
                <c:pt idx="27">
                  <c:v>20.594965567306</c:v>
                </c:pt>
                <c:pt idx="28">
                  <c:v>20.5428945393393</c:v>
                </c:pt>
                <c:pt idx="29">
                  <c:v>20.4964565383353</c:v>
                </c:pt>
                <c:pt idx="30">
                  <c:v>20.4554077301922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Sensitivity!D43</c:f>
              <c:strCache>
                <c:ptCount val="1"/>
                <c:pt idx="0">
                  <c:v>Offer + 8%
hard hurdle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Sensitivity!$A$44:$A$74</c:f>
              <c:numCache>
                <c:formatCode>0%</c:formatCode>
                <c:ptCount val="3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</c:numCache>
            </c:numRef>
          </c:xVal>
          <c:yVal>
            <c:numRef>
              <c:f>Sensitivity!$D$44:$D$74</c:f>
              <c:numCache>
                <c:formatCode>#,##0;\(#,##0\);\-</c:formatCode>
                <c:ptCount val="31"/>
                <c:pt idx="0">
                  <c:v>31.1543419255966</c:v>
                </c:pt>
                <c:pt idx="1">
                  <c:v>30.4134783181468</c:v>
                </c:pt>
                <c:pt idx="2">
                  <c:v>29.7259711637266</c:v>
                </c:pt>
                <c:pt idx="3">
                  <c:v>34.9152271106669</c:v>
                </c:pt>
                <c:pt idx="4">
                  <c:v>54.0938755823207</c:v>
                </c:pt>
                <c:pt idx="5">
                  <c:v>71.7913742646219</c:v>
                </c:pt>
                <c:pt idx="6">
                  <c:v>88.1093501754623</c:v>
                </c:pt>
                <c:pt idx="7">
                  <c:v>103.144577432167</c:v>
                </c:pt>
                <c:pt idx="8">
                  <c:v>116.988868973257</c:v>
                </c:pt>
                <c:pt idx="9">
                  <c:v>129.729033137238</c:v>
                </c:pt>
                <c:pt idx="10">
                  <c:v>141.446887842056</c:v>
                </c:pt>
                <c:pt idx="11">
                  <c:v>135.504664051666</c:v>
                </c:pt>
                <c:pt idx="12">
                  <c:v>127.38183985193</c:v>
                </c:pt>
                <c:pt idx="13">
                  <c:v>119.978603763925</c:v>
                </c:pt>
                <c:pt idx="14">
                  <c:v>113.153860792224</c:v>
                </c:pt>
                <c:pt idx="15">
                  <c:v>106.875792324052</c:v>
                </c:pt>
                <c:pt idx="16">
                  <c:v>101.925481906798</c:v>
                </c:pt>
                <c:pt idx="17">
                  <c:v>97.5812697715855</c:v>
                </c:pt>
                <c:pt idx="18">
                  <c:v>93.7515468143085</c:v>
                </c:pt>
                <c:pt idx="19">
                  <c:v>90.3982873384385</c:v>
                </c:pt>
                <c:pt idx="20">
                  <c:v>86.9263009407256</c:v>
                </c:pt>
                <c:pt idx="21">
                  <c:v>83.5971691055876</c:v>
                </c:pt>
                <c:pt idx="22">
                  <c:v>80.8734125923677</c:v>
                </c:pt>
                <c:pt idx="23">
                  <c:v>79.0715802567293</c:v>
                </c:pt>
                <c:pt idx="24">
                  <c:v>77.0163807700797</c:v>
                </c:pt>
                <c:pt idx="25">
                  <c:v>74.8841338305833</c:v>
                </c:pt>
                <c:pt idx="26">
                  <c:v>72.9408101632556</c:v>
                </c:pt>
                <c:pt idx="27">
                  <c:v>71.1748126229817</c:v>
                </c:pt>
                <c:pt idx="28">
                  <c:v>69.5751822255994</c:v>
                </c:pt>
                <c:pt idx="29">
                  <c:v>68.1315709362951</c:v>
                </c:pt>
                <c:pt idx="30">
                  <c:v>66.8342144847162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Sensitivity!E43</c:f>
              <c:strCache>
                <c:ptCount val="1"/>
                <c:pt idx="0">
                  <c:v>Offer + 8%
soft hurdle</c:v>
                </c:pt>
              </c:strCache>
            </c:strRef>
          </c:tx>
          <c:spPr>
            <a:solidFill>
              <a:srgbClr val="eda100"/>
            </a:solidFill>
            <a:ln w="21960">
              <a:solidFill>
                <a:srgbClr val="eda1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Sensitivity!$A$44:$A$74</c:f>
              <c:numCache>
                <c:formatCode>0%</c:formatCode>
                <c:ptCount val="3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</c:numCache>
            </c:numRef>
          </c:xVal>
          <c:yVal>
            <c:numRef>
              <c:f>Sensitivity!$E$44:$E$74</c:f>
              <c:numCache>
                <c:formatCode>#,##0;\(#,##0\);\-</c:formatCode>
                <c:ptCount val="31"/>
                <c:pt idx="0">
                  <c:v>31.1543419255966</c:v>
                </c:pt>
                <c:pt idx="1">
                  <c:v>30.4134783181468</c:v>
                </c:pt>
                <c:pt idx="2">
                  <c:v>29.7259711637266</c:v>
                </c:pt>
                <c:pt idx="3">
                  <c:v>34.9152271106669</c:v>
                </c:pt>
                <c:pt idx="4">
                  <c:v>54.0938755823207</c:v>
                </c:pt>
                <c:pt idx="5">
                  <c:v>71.7913742646219</c:v>
                </c:pt>
                <c:pt idx="6">
                  <c:v>88.1093501754623</c:v>
                </c:pt>
                <c:pt idx="7">
                  <c:v>103.144577432167</c:v>
                </c:pt>
                <c:pt idx="8">
                  <c:v>116.988868973257</c:v>
                </c:pt>
                <c:pt idx="9">
                  <c:v>129.729033137238</c:v>
                </c:pt>
                <c:pt idx="10">
                  <c:v>141.446887842056</c:v>
                </c:pt>
                <c:pt idx="11">
                  <c:v>66.1768481505061</c:v>
                </c:pt>
                <c:pt idx="12">
                  <c:v>23.287220614563</c:v>
                </c:pt>
                <c:pt idx="13">
                  <c:v>24.0477237039732</c:v>
                </c:pt>
                <c:pt idx="14">
                  <c:v>24.8979049879998</c:v>
                </c:pt>
                <c:pt idx="15">
                  <c:v>25.8247295431019</c:v>
                </c:pt>
                <c:pt idx="16">
                  <c:v>27.6289930650124</c:v>
                </c:pt>
                <c:pt idx="17">
                  <c:v>29.6093461740651</c:v>
                </c:pt>
                <c:pt idx="18">
                  <c:v>31.6948005833725</c:v>
                </c:pt>
                <c:pt idx="19">
                  <c:v>33.8680149388213</c:v>
                </c:pt>
                <c:pt idx="20">
                  <c:v>30.6664345961763</c:v>
                </c:pt>
                <c:pt idx="21">
                  <c:v>27.5709147762757</c:v>
                </c:pt>
                <c:pt idx="22">
                  <c:v>28.9762922417242</c:v>
                </c:pt>
                <c:pt idx="23">
                  <c:v>31.063598056327</c:v>
                </c:pt>
                <c:pt idx="24">
                  <c:v>28.6904279790079</c:v>
                </c:pt>
                <c:pt idx="25">
                  <c:v>24.3235234344891</c:v>
                </c:pt>
                <c:pt idx="26">
                  <c:v>25.3394379325375</c:v>
                </c:pt>
                <c:pt idx="27">
                  <c:v>26.3867777425486</c:v>
                </c:pt>
                <c:pt idx="28">
                  <c:v>27.4616071322886</c:v>
                </c:pt>
                <c:pt idx="29">
                  <c:v>28.5603034838267</c:v>
                </c:pt>
                <c:pt idx="30">
                  <c:v>29.6795361575758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Sensitivity!F43</c:f>
              <c:strCache>
                <c:ptCount val="1"/>
                <c:pt idx="0">
                  <c:v>Offer +
15% carry</c:v>
                </c:pt>
              </c:strCache>
            </c:strRef>
          </c:tx>
          <c:spPr>
            <a:solidFill>
              <a:srgbClr val="e87ba4"/>
            </a:solidFill>
            <a:ln w="21960">
              <a:solidFill>
                <a:srgbClr val="e87b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Sensitivity!$A$44:$A$74</c:f>
              <c:numCache>
                <c:formatCode>0%</c:formatCode>
                <c:ptCount val="3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</c:numCache>
            </c:numRef>
          </c:xVal>
          <c:yVal>
            <c:numRef>
              <c:f>Sensitivity!$F$44:$F$74</c:f>
              <c:numCache>
                <c:formatCode>#,##0;\(#,##0\);\-</c:formatCode>
                <c:ptCount val="31"/>
                <c:pt idx="0">
                  <c:v>31.1543419255966</c:v>
                </c:pt>
                <c:pt idx="1">
                  <c:v>30.4134783181468</c:v>
                </c:pt>
                <c:pt idx="2">
                  <c:v>29.7259711637266</c:v>
                </c:pt>
                <c:pt idx="3">
                  <c:v>26.3288054854121</c:v>
                </c:pt>
                <c:pt idx="4">
                  <c:v>31.1374793370212</c:v>
                </c:pt>
                <c:pt idx="5">
                  <c:v>35.6197698962898</c:v>
                </c:pt>
                <c:pt idx="6">
                  <c:v>39.7894321217213</c:v>
                </c:pt>
                <c:pt idx="7">
                  <c:v>43.6610859059053</c:v>
                </c:pt>
                <c:pt idx="8">
                  <c:v>47.2499072575624</c:v>
                </c:pt>
                <c:pt idx="9">
                  <c:v>50.5713598965984</c:v>
                </c:pt>
                <c:pt idx="10">
                  <c:v>53.6409665662552</c:v>
                </c:pt>
                <c:pt idx="11">
                  <c:v>56.4232591135809</c:v>
                </c:pt>
                <c:pt idx="12">
                  <c:v>59.0885248244055</c:v>
                </c:pt>
                <c:pt idx="13">
                  <c:v>61.6885851807275</c:v>
                </c:pt>
                <c:pt idx="14">
                  <c:v>64.1244990034602</c:v>
                </c:pt>
                <c:pt idx="15">
                  <c:v>66.289320605963</c:v>
                </c:pt>
                <c:pt idx="16">
                  <c:v>68.5751430510191</c:v>
                </c:pt>
                <c:pt idx="17">
                  <c:v>70.7995653418978</c:v>
                </c:pt>
                <c:pt idx="18">
                  <c:v>72.9169294197243</c:v>
                </c:pt>
                <c:pt idx="19">
                  <c:v>74.9331597603525</c:v>
                </c:pt>
                <c:pt idx="20">
                  <c:v>76.8538834730492</c:v>
                </c:pt>
                <c:pt idx="21">
                  <c:v>78.6844405594023</c:v>
                </c:pt>
                <c:pt idx="22">
                  <c:v>80.3270113341648</c:v>
                </c:pt>
                <c:pt idx="23">
                  <c:v>82.2285067644546</c:v>
                </c:pt>
                <c:pt idx="24">
                  <c:v>84.0667559652936</c:v>
                </c:pt>
                <c:pt idx="25">
                  <c:v>85.8447364287712</c:v>
                </c:pt>
                <c:pt idx="26">
                  <c:v>87.5652810311364</c:v>
                </c:pt>
                <c:pt idx="27">
                  <c:v>89.2310852417366</c:v>
                </c:pt>
                <c:pt idx="28">
                  <c:v>90.8447139655039</c:v>
                </c:pt>
                <c:pt idx="29">
                  <c:v>92.408608047426</c:v>
                </c:pt>
                <c:pt idx="30">
                  <c:v>93.9250904490074</c:v>
                </c:pt>
              </c:numCache>
            </c:numRef>
          </c:yVal>
          <c:smooth val="1"/>
        </c:ser>
        <c:axId val="61324939"/>
        <c:axId val="25796389"/>
      </c:scatterChart>
      <c:valAx>
        <c:axId val="61324939"/>
        <c:scaling>
          <c:orientation val="minMax"/>
          <c:max val="0.3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growth of invested assets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96389"/>
        <c:crosses val="autoZero"/>
        <c:crossBetween val="midCat"/>
        <c:majorUnit val="0.05"/>
      </c:valAx>
      <c:valAx>
        <c:axId val="257963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2493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16</xdr:row>
      <xdr:rowOff>32760</xdr:rowOff>
    </xdr:to>
    <xdr:graphicFrame>
      <xdr:nvGraphicFramePr>
        <xdr:cNvPr id="0" name="Chart 1"/>
        <xdr:cNvGraphicFramePr/>
      </xdr:nvGraphicFramePr>
      <xdr:xfrm>
        <a:off x="984492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15</xdr:col>
      <xdr:colOff>507600</xdr:colOff>
      <xdr:row>33</xdr:row>
      <xdr:rowOff>32400</xdr:rowOff>
    </xdr:to>
    <xdr:graphicFrame>
      <xdr:nvGraphicFramePr>
        <xdr:cNvPr id="1" name="Chart 2"/>
        <xdr:cNvGraphicFramePr/>
      </xdr:nvGraphicFramePr>
      <xdr:xfrm>
        <a:off x="9844920" y="3809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45</xdr:row>
      <xdr:rowOff>0</xdr:rowOff>
    </xdr:from>
    <xdr:to>
      <xdr:col>11</xdr:col>
      <xdr:colOff>151560</xdr:colOff>
      <xdr:row>58</xdr:row>
      <xdr:rowOff>61200</xdr:rowOff>
    </xdr:to>
    <xdr:graphicFrame>
      <xdr:nvGraphicFramePr>
        <xdr:cNvPr id="2" name="Chart 1"/>
        <xdr:cNvGraphicFramePr/>
      </xdr:nvGraphicFramePr>
      <xdr:xfrm>
        <a:off x="7471440" y="87343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132480</xdr:colOff>
      <xdr:row>18</xdr:row>
      <xdr:rowOff>22320</xdr:rowOff>
    </xdr:to>
    <xdr:graphicFrame>
      <xdr:nvGraphicFramePr>
        <xdr:cNvPr id="3" name="Chart 1"/>
        <xdr:cNvGraphicFramePr/>
      </xdr:nvGraphicFramePr>
      <xdr:xfrm>
        <a:off x="1057284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17</xdr:col>
      <xdr:colOff>147600</xdr:colOff>
      <xdr:row>17</xdr:row>
      <xdr:rowOff>32760</xdr:rowOff>
    </xdr:to>
    <xdr:graphicFrame>
      <xdr:nvGraphicFramePr>
        <xdr:cNvPr id="4" name="Chart 1"/>
        <xdr:cNvGraphicFramePr/>
      </xdr:nvGraphicFramePr>
      <xdr:xfrm>
        <a:off x="1155960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18</xdr:col>
      <xdr:colOff>456840</xdr:colOff>
      <xdr:row>17</xdr:row>
      <xdr:rowOff>22320</xdr:rowOff>
    </xdr:to>
    <xdr:graphicFrame>
      <xdr:nvGraphicFramePr>
        <xdr:cNvPr id="5" name="Chart 1"/>
        <xdr:cNvGraphicFramePr/>
      </xdr:nvGraphicFramePr>
      <xdr:xfrm>
        <a:off x="1244340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</xdr:row>
      <xdr:rowOff>0</xdr:rowOff>
    </xdr:from>
    <xdr:to>
      <xdr:col>21</xdr:col>
      <xdr:colOff>507600</xdr:colOff>
      <xdr:row>18</xdr:row>
      <xdr:rowOff>22320</xdr:rowOff>
    </xdr:to>
    <xdr:graphicFrame>
      <xdr:nvGraphicFramePr>
        <xdr:cNvPr id="6" name="Chart 1"/>
        <xdr:cNvGraphicFramePr/>
      </xdr:nvGraphicFramePr>
      <xdr:xfrm>
        <a:off x="1343988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3</xdr:row>
      <xdr:rowOff>0</xdr:rowOff>
    </xdr:from>
    <xdr:to>
      <xdr:col>22</xdr:col>
      <xdr:colOff>10080</xdr:colOff>
      <xdr:row>19</xdr:row>
      <xdr:rowOff>1440</xdr:rowOff>
    </xdr:to>
    <xdr:graphicFrame>
      <xdr:nvGraphicFramePr>
        <xdr:cNvPr id="7" name="Chart 1"/>
        <xdr:cNvGraphicFramePr/>
      </xdr:nvGraphicFramePr>
      <xdr:xfrm>
        <a:off x="1374444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23</xdr:row>
      <xdr:rowOff>0</xdr:rowOff>
    </xdr:from>
    <xdr:to>
      <xdr:col>22</xdr:col>
      <xdr:colOff>10080</xdr:colOff>
      <xdr:row>40</xdr:row>
      <xdr:rowOff>1080</xdr:rowOff>
    </xdr:to>
    <xdr:graphicFrame>
      <xdr:nvGraphicFramePr>
        <xdr:cNvPr id="8" name="Chart 2"/>
        <xdr:cNvGraphicFramePr/>
      </xdr:nvGraphicFramePr>
      <xdr:xfrm>
        <a:off x="13744440" y="45720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4"/>
      <c r="D5" s="4"/>
    </row>
    <row r="6" customFormat="false" ht="15" hidden="false" customHeight="false" outlineLevel="0" collapsed="false">
      <c r="A6" s="5" t="s">
        <v>4</v>
      </c>
      <c r="C6" s="6" t="str">
        <f aca="false">IF(AND('Q3 Base case'!$C$72="OK",'Q4 Fee cut'!$C$72="OK",'Q5a Hard hurdle'!$C$72="OK",'Q5b Soft hurdle'!$C$72="OK",'Q5c Lower carry'!$C$72="OK",Engine!$U$177=0,SUM(Summary!$B$36:$F$36)=0,'Q4 Analysis'!$C$26=0),"ALL CHECKS OK","CHECK THE MODEL")</f>
        <v>ALL CHECKS OK</v>
      </c>
    </row>
    <row r="7" customFormat="false" ht="15" hidden="false" customHeight="false" outlineLevel="0" collapsed="false">
      <c r="A7" s="5" t="s">
        <v>5</v>
      </c>
      <c r="C7" s="7" t="n">
        <f aca="false">Summary!$B$11</f>
        <v>0.15722559423369</v>
      </c>
    </row>
    <row r="8" customFormat="false" ht="15" hidden="false" customHeight="false" outlineLevel="0" collapsed="false">
      <c r="A8" s="5" t="s">
        <v>6</v>
      </c>
      <c r="C8" s="7" t="n">
        <f aca="false">Summary!$C$11</f>
        <v>0.159361408558221</v>
      </c>
    </row>
    <row r="10" customFormat="false" ht="15" hidden="false" customHeight="false" outlineLevel="0" collapsed="false">
      <c r="A10" s="3" t="s">
        <v>7</v>
      </c>
      <c r="B10" s="4"/>
      <c r="C10" s="4"/>
      <c r="D10" s="4"/>
    </row>
    <row r="11" customFormat="false" ht="15" hidden="false" customHeight="false" outlineLevel="0" collapsed="false">
      <c r="A11" s="8" t="s">
        <v>8</v>
      </c>
      <c r="B11" s="8" t="s">
        <v>9</v>
      </c>
      <c r="C11" s="8" t="s">
        <v>10</v>
      </c>
      <c r="D11" s="8" t="s">
        <v>11</v>
      </c>
    </row>
    <row r="12" customFormat="false" ht="13.5" hidden="false" customHeight="true" outlineLevel="0" collapsed="false">
      <c r="A12" s="9" t="s">
        <v>12</v>
      </c>
      <c r="B12" s="9" t="s">
        <v>13</v>
      </c>
      <c r="C12" s="10" t="s">
        <v>14</v>
      </c>
      <c r="D12" s="9" t="s">
        <v>15</v>
      </c>
    </row>
    <row r="13" customFormat="false" ht="27" hidden="false" customHeight="true" outlineLevel="0" collapsed="false">
      <c r="A13" s="9" t="s">
        <v>16</v>
      </c>
      <c r="B13" s="9" t="s">
        <v>17</v>
      </c>
      <c r="C13" s="10" t="s">
        <v>18</v>
      </c>
      <c r="D13" s="9" t="s">
        <v>15</v>
      </c>
    </row>
    <row r="14" customFormat="false" ht="27" hidden="false" customHeight="true" outlineLevel="0" collapsed="false">
      <c r="A14" s="9" t="s">
        <v>19</v>
      </c>
      <c r="B14" s="9" t="s">
        <v>20</v>
      </c>
      <c r="C14" s="10" t="s">
        <v>21</v>
      </c>
      <c r="D14" s="9" t="s">
        <v>22</v>
      </c>
    </row>
    <row r="15" customFormat="false" ht="27" hidden="false" customHeight="true" outlineLevel="0" collapsed="false">
      <c r="A15" s="9" t="s">
        <v>23</v>
      </c>
      <c r="B15" s="9" t="s">
        <v>24</v>
      </c>
      <c r="C15" s="10" t="s">
        <v>25</v>
      </c>
      <c r="D15" s="9" t="s">
        <v>26</v>
      </c>
    </row>
    <row r="16" customFormat="false" ht="27" hidden="false" customHeight="true" outlineLevel="0" collapsed="false">
      <c r="A16" s="9" t="s">
        <v>27</v>
      </c>
      <c r="B16" s="9" t="s">
        <v>24</v>
      </c>
      <c r="C16" s="10" t="s">
        <v>28</v>
      </c>
      <c r="D16" s="9" t="s">
        <v>26</v>
      </c>
    </row>
    <row r="17" customFormat="false" ht="13.5" hidden="false" customHeight="true" outlineLevel="0" collapsed="false">
      <c r="A17" s="9" t="s">
        <v>29</v>
      </c>
      <c r="B17" s="9" t="s">
        <v>30</v>
      </c>
      <c r="C17" s="10" t="s">
        <v>31</v>
      </c>
      <c r="D17" s="9" t="s">
        <v>26</v>
      </c>
    </row>
    <row r="18" customFormat="false" ht="27" hidden="false" customHeight="true" outlineLevel="0" collapsed="false">
      <c r="A18" s="9" t="s">
        <v>32</v>
      </c>
      <c r="B18" s="9" t="s">
        <v>30</v>
      </c>
      <c r="C18" s="10" t="s">
        <v>33</v>
      </c>
      <c r="D18" s="9" t="s">
        <v>26</v>
      </c>
    </row>
    <row r="19" customFormat="false" ht="13.5" hidden="false" customHeight="true" outlineLevel="0" collapsed="false">
      <c r="A19" s="9" t="s">
        <v>34</v>
      </c>
      <c r="B19" s="9" t="s">
        <v>35</v>
      </c>
      <c r="C19" s="10" t="s">
        <v>36</v>
      </c>
      <c r="D19" s="9" t="s">
        <v>37</v>
      </c>
    </row>
    <row r="20" customFormat="false" ht="13.5" hidden="false" customHeight="true" outlineLevel="0" collapsed="false">
      <c r="A20" s="9" t="s">
        <v>38</v>
      </c>
      <c r="B20" s="9" t="s">
        <v>35</v>
      </c>
      <c r="C20" s="10" t="s">
        <v>39</v>
      </c>
      <c r="D20" s="9" t="s">
        <v>37</v>
      </c>
    </row>
    <row r="21" customFormat="false" ht="13.5" hidden="false" customHeight="true" outlineLevel="0" collapsed="false">
      <c r="A21" s="9" t="s">
        <v>40</v>
      </c>
      <c r="B21" s="9" t="s">
        <v>35</v>
      </c>
      <c r="C21" s="10" t="s">
        <v>41</v>
      </c>
      <c r="D21" s="9" t="s">
        <v>37</v>
      </c>
    </row>
    <row r="22" customFormat="false" ht="27" hidden="false" customHeight="true" outlineLevel="0" collapsed="false">
      <c r="A22" s="9" t="s">
        <v>42</v>
      </c>
      <c r="B22" s="9" t="s">
        <v>35</v>
      </c>
      <c r="C22" s="10" t="s">
        <v>43</v>
      </c>
      <c r="D22" s="9" t="s">
        <v>37</v>
      </c>
    </row>
    <row r="23" customFormat="false" ht="27" hidden="false" customHeight="true" outlineLevel="0" collapsed="false">
      <c r="A23" s="9" t="s">
        <v>44</v>
      </c>
      <c r="B23" s="9" t="s">
        <v>45</v>
      </c>
      <c r="C23" s="10" t="s">
        <v>46</v>
      </c>
      <c r="D23" s="9" t="s">
        <v>37</v>
      </c>
    </row>
    <row r="24" customFormat="false" ht="27" hidden="false" customHeight="true" outlineLevel="0" collapsed="false">
      <c r="A24" s="9" t="s">
        <v>47</v>
      </c>
      <c r="B24" s="9" t="s">
        <v>48</v>
      </c>
      <c r="C24" s="10" t="s">
        <v>49</v>
      </c>
      <c r="D24" s="9" t="s">
        <v>15</v>
      </c>
    </row>
    <row r="25" customFormat="false" ht="27" hidden="false" customHeight="true" outlineLevel="0" collapsed="false">
      <c r="A25" s="11" t="s">
        <v>50</v>
      </c>
      <c r="B25" s="11" t="s">
        <v>51</v>
      </c>
      <c r="C25" s="12" t="s">
        <v>52</v>
      </c>
      <c r="D25" s="11" t="s">
        <v>51</v>
      </c>
    </row>
    <row r="27" customFormat="false" ht="15" hidden="false" customHeight="false" outlineLevel="0" collapsed="false">
      <c r="A27" s="3" t="s">
        <v>53</v>
      </c>
      <c r="B27" s="4"/>
      <c r="C27" s="4"/>
      <c r="D27" s="4"/>
    </row>
    <row r="28" customFormat="false" ht="15" hidden="false" customHeight="true" outlineLevel="0" collapsed="false">
      <c r="A28" s="13" t="s">
        <v>54</v>
      </c>
      <c r="B28" s="14" t="s">
        <v>55</v>
      </c>
      <c r="C28" s="14"/>
      <c r="D28" s="14"/>
    </row>
    <row r="29" customFormat="false" ht="27.75" hidden="false" customHeight="true" outlineLevel="0" collapsed="false">
      <c r="A29" s="13" t="s">
        <v>56</v>
      </c>
      <c r="B29" s="14" t="s">
        <v>57</v>
      </c>
      <c r="C29" s="14"/>
      <c r="D29" s="14"/>
    </row>
    <row r="30" customFormat="false" ht="27.75" hidden="false" customHeight="true" outlineLevel="0" collapsed="false">
      <c r="A30" s="13" t="s">
        <v>58</v>
      </c>
      <c r="B30" s="14" t="s">
        <v>59</v>
      </c>
      <c r="C30" s="14"/>
      <c r="D30" s="14"/>
    </row>
    <row r="31" customFormat="false" ht="27.75" hidden="false" customHeight="true" outlineLevel="0" collapsed="false">
      <c r="A31" s="13" t="s">
        <v>60</v>
      </c>
      <c r="B31" s="14" t="s">
        <v>61</v>
      </c>
      <c r="C31" s="14"/>
      <c r="D31" s="14"/>
    </row>
    <row r="32" customFormat="false" ht="27.75" hidden="false" customHeight="true" outlineLevel="0" collapsed="false">
      <c r="A32" s="13" t="s">
        <v>62</v>
      </c>
      <c r="B32" s="14" t="s">
        <v>63</v>
      </c>
      <c r="C32" s="14"/>
      <c r="D32" s="14"/>
    </row>
    <row r="33" customFormat="false" ht="27.75" hidden="false" customHeight="true" outlineLevel="0" collapsed="false">
      <c r="A33" s="13" t="s">
        <v>64</v>
      </c>
      <c r="B33" s="14" t="s">
        <v>65</v>
      </c>
      <c r="C33" s="14"/>
      <c r="D33" s="14"/>
    </row>
    <row r="34" customFormat="false" ht="27.75" hidden="false" customHeight="true" outlineLevel="0" collapsed="false">
      <c r="A34" s="13" t="s">
        <v>66</v>
      </c>
      <c r="B34" s="14" t="s">
        <v>67</v>
      </c>
      <c r="C34" s="14"/>
      <c r="D34" s="14"/>
    </row>
    <row r="35" customFormat="false" ht="15" hidden="false" customHeight="true" outlineLevel="0" collapsed="false">
      <c r="A35" s="13" t="s">
        <v>68</v>
      </c>
      <c r="B35" s="14" t="s">
        <v>69</v>
      </c>
      <c r="C35" s="14"/>
      <c r="D35" s="14"/>
    </row>
    <row r="37" customFormat="false" ht="15" hidden="false" customHeight="false" outlineLevel="0" collapsed="false">
      <c r="A37" s="3" t="s">
        <v>70</v>
      </c>
      <c r="B37" s="4"/>
      <c r="C37" s="4"/>
      <c r="D37" s="4"/>
    </row>
    <row r="38" customFormat="false" ht="15" hidden="false" customHeight="false" outlineLevel="0" collapsed="false">
      <c r="A38" s="15" t="s">
        <v>71</v>
      </c>
      <c r="B38" s="5" t="s">
        <v>72</v>
      </c>
    </row>
    <row r="39" customFormat="false" ht="15" hidden="false" customHeight="false" outlineLevel="0" collapsed="false">
      <c r="A39" s="5" t="s">
        <v>73</v>
      </c>
      <c r="B39" s="5" t="s">
        <v>74</v>
      </c>
    </row>
    <row r="40" customFormat="false" ht="15" hidden="false" customHeight="false" outlineLevel="0" collapsed="false">
      <c r="A40" s="16" t="s">
        <v>75</v>
      </c>
      <c r="B40" s="5" t="s">
        <v>76</v>
      </c>
    </row>
    <row r="41" customFormat="false" ht="15" hidden="false" customHeight="false" outlineLevel="0" collapsed="false">
      <c r="A41" s="17" t="s">
        <v>77</v>
      </c>
      <c r="B41" s="5" t="s">
        <v>78</v>
      </c>
    </row>
  </sheetData>
  <mergeCells count="8">
    <mergeCell ref="B28:D28"/>
    <mergeCell ref="B29:D29"/>
    <mergeCell ref="B30:D30"/>
    <mergeCell ref="B31:D31"/>
    <mergeCell ref="B32:D32"/>
    <mergeCell ref="B33:D33"/>
    <mergeCell ref="B34:D34"/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6"/>
    <col collapsed="false" customWidth="true" hidden="false" outlineLevel="0" max="12" min="3" style="0" width="9.51"/>
    <col collapsed="false" customWidth="true" hidden="false" outlineLevel="0" max="13" min="13" style="0" width="4"/>
  </cols>
  <sheetData>
    <row r="1" customFormat="false" ht="15" hidden="false" customHeight="false" outlineLevel="0" collapsed="false">
      <c r="A1" s="18" t="s">
        <v>79</v>
      </c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2" t="s">
        <v>81</v>
      </c>
    </row>
    <row r="5" customFormat="false" ht="15" hidden="false" customHeight="false" outlineLevel="0" collapsed="false">
      <c r="A5" s="3" t="s">
        <v>82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5" t="s">
        <v>83</v>
      </c>
      <c r="C6" s="19" t="n">
        <v>20000</v>
      </c>
      <c r="D6" s="20" t="s">
        <v>84</v>
      </c>
    </row>
    <row r="7" customFormat="false" ht="15" hidden="false" customHeight="false" outlineLevel="0" collapsed="false">
      <c r="A7" s="5" t="s">
        <v>85</v>
      </c>
      <c r="C7" s="21" t="n">
        <f aca="false">COLUMNS(C13:L13)</f>
        <v>10</v>
      </c>
      <c r="D7" s="20" t="s">
        <v>86</v>
      </c>
    </row>
    <row r="8" customFormat="false" ht="15" hidden="false" customHeight="false" outlineLevel="0" collapsed="false">
      <c r="A8" s="5" t="s">
        <v>87</v>
      </c>
      <c r="C8" s="22" t="n">
        <v>0.2</v>
      </c>
      <c r="D8" s="20" t="s">
        <v>88</v>
      </c>
    </row>
    <row r="9" customFormat="false" ht="15" hidden="false" customHeight="false" outlineLevel="0" collapsed="false">
      <c r="A9" s="5" t="s">
        <v>89</v>
      </c>
      <c r="C9" s="22" t="n">
        <v>0.15</v>
      </c>
      <c r="D9" s="20" t="s">
        <v>88</v>
      </c>
    </row>
    <row r="11" customFormat="false" ht="15" hidden="false" customHeight="false" outlineLevel="0" collapsed="false">
      <c r="A11" s="3" t="s">
        <v>90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false" outlineLevel="0" collapsed="false">
      <c r="A12" s="8" t="s">
        <v>91</v>
      </c>
      <c r="B12" s="23" t="n">
        <v>0</v>
      </c>
      <c r="C12" s="23" t="n">
        <v>1</v>
      </c>
      <c r="D12" s="23" t="n">
        <v>2</v>
      </c>
      <c r="E12" s="23" t="n">
        <v>3</v>
      </c>
      <c r="F12" s="23" t="n">
        <v>4</v>
      </c>
      <c r="G12" s="23" t="n">
        <v>5</v>
      </c>
      <c r="H12" s="23" t="n">
        <v>6</v>
      </c>
      <c r="I12" s="23" t="n">
        <v>7</v>
      </c>
      <c r="J12" s="23" t="n">
        <v>8</v>
      </c>
      <c r="K12" s="23" t="n">
        <v>9</v>
      </c>
      <c r="L12" s="23" t="n">
        <v>10</v>
      </c>
    </row>
    <row r="13" customFormat="false" ht="15" hidden="false" customHeight="false" outlineLevel="0" collapsed="false">
      <c r="A13" s="5" t="s">
        <v>92</v>
      </c>
      <c r="C13" s="24" t="n">
        <v>0.2</v>
      </c>
      <c r="D13" s="24" t="n">
        <v>0.2</v>
      </c>
      <c r="E13" s="24" t="n">
        <v>0.2</v>
      </c>
      <c r="F13" s="24" t="n">
        <v>0.2</v>
      </c>
      <c r="G13" s="24" t="n">
        <v>0.2</v>
      </c>
      <c r="H13" s="24" t="n">
        <v>0</v>
      </c>
      <c r="I13" s="24" t="n">
        <v>0</v>
      </c>
      <c r="J13" s="24" t="n">
        <v>0</v>
      </c>
      <c r="K13" s="24" t="n">
        <v>0</v>
      </c>
      <c r="L13" s="24" t="n">
        <v>0</v>
      </c>
    </row>
    <row r="14" customFormat="false" ht="15" hidden="false" customHeight="false" outlineLevel="0" collapsed="false">
      <c r="A14" s="5" t="s">
        <v>93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0.2</v>
      </c>
      <c r="H14" s="24" t="n">
        <v>0.2</v>
      </c>
      <c r="I14" s="24" t="n">
        <v>0.2</v>
      </c>
      <c r="J14" s="24" t="n">
        <v>0.2</v>
      </c>
      <c r="K14" s="24" t="n">
        <v>0.2</v>
      </c>
      <c r="L14" s="24" t="n">
        <v>1</v>
      </c>
    </row>
    <row r="15" customFormat="false" ht="15" hidden="false" customHeight="false" outlineLevel="0" collapsed="false">
      <c r="A15" s="5" t="s">
        <v>94</v>
      </c>
      <c r="C15" s="25" t="n">
        <f aca="false">SUM(C13:L13)</f>
        <v>1</v>
      </c>
      <c r="D15" s="2" t="s">
        <v>95</v>
      </c>
    </row>
    <row r="17" customFormat="false" ht="15" hidden="false" customHeight="false" outlineLevel="0" collapsed="false">
      <c r="A17" s="3" t="s">
        <v>96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false" outlineLevel="0" collapsed="false">
      <c r="A18" s="5" t="s">
        <v>97</v>
      </c>
      <c r="C18" s="26" t="n">
        <v>0.015</v>
      </c>
      <c r="D18" s="20" t="s">
        <v>98</v>
      </c>
    </row>
    <row r="19" customFormat="false" ht="15" hidden="false" customHeight="false" outlineLevel="0" collapsed="false">
      <c r="A19" s="5" t="s">
        <v>99</v>
      </c>
      <c r="C19" s="26" t="n">
        <v>0.0135</v>
      </c>
      <c r="D19" s="20" t="s">
        <v>100</v>
      </c>
    </row>
    <row r="20" customFormat="false" ht="15" hidden="false" customHeight="false" outlineLevel="0" collapsed="false">
      <c r="A20" s="5" t="s">
        <v>101</v>
      </c>
      <c r="C20" s="22" t="n">
        <v>0.2</v>
      </c>
      <c r="D20" s="20" t="s">
        <v>102</v>
      </c>
    </row>
    <row r="21" customFormat="false" ht="15" hidden="false" customHeight="false" outlineLevel="0" collapsed="false">
      <c r="A21" s="5" t="s">
        <v>103</v>
      </c>
      <c r="C21" s="22" t="n">
        <v>0.15</v>
      </c>
      <c r="D21" s="20" t="s">
        <v>104</v>
      </c>
    </row>
    <row r="22" customFormat="false" ht="15" hidden="false" customHeight="false" outlineLevel="0" collapsed="false">
      <c r="A22" s="5" t="s">
        <v>105</v>
      </c>
      <c r="C22" s="22" t="n">
        <v>0.08</v>
      </c>
      <c r="D22" s="20" t="s">
        <v>104</v>
      </c>
    </row>
    <row r="23" customFormat="false" ht="15" hidden="false" customHeight="false" outlineLevel="0" collapsed="false">
      <c r="A23" s="5" t="s">
        <v>106</v>
      </c>
      <c r="C23" s="27" t="n">
        <v>1</v>
      </c>
      <c r="D23" s="20" t="s">
        <v>107</v>
      </c>
    </row>
    <row r="25" customFormat="false" ht="15" hidden="false" customHeight="false" outlineLevel="0" collapsed="false">
      <c r="A25" s="3" t="s">
        <v>108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5" hidden="false" customHeight="false" outlineLevel="0" collapsed="false">
      <c r="A26" s="5" t="s">
        <v>109</v>
      </c>
      <c r="C26" s="28" t="n">
        <v>750</v>
      </c>
      <c r="D26" s="20" t="s">
        <v>110</v>
      </c>
    </row>
    <row r="27" customFormat="false" ht="15" hidden="false" customHeight="false" outlineLevel="0" collapsed="false">
      <c r="A27" s="5" t="s">
        <v>111</v>
      </c>
      <c r="C27" s="22" t="n">
        <v>0.1</v>
      </c>
      <c r="D27" s="20" t="s">
        <v>112</v>
      </c>
    </row>
    <row r="28" customFormat="false" ht="15" hidden="false" customHeight="false" outlineLevel="0" collapsed="false">
      <c r="A28" s="5" t="s">
        <v>113</v>
      </c>
      <c r="C28" s="29" t="n">
        <v>79.9</v>
      </c>
      <c r="D28" s="20" t="s">
        <v>114</v>
      </c>
    </row>
    <row r="29" customFormat="false" ht="15" hidden="false" customHeight="false" outlineLevel="0" collapsed="false">
      <c r="A29" s="5" t="s">
        <v>115</v>
      </c>
      <c r="C29" s="29" t="n">
        <v>0.6</v>
      </c>
      <c r="D29" s="20" t="s">
        <v>114</v>
      </c>
    </row>
    <row r="30" customFormat="false" ht="15" hidden="false" customHeight="false" outlineLevel="0" collapsed="false">
      <c r="A30" s="5" t="s">
        <v>116</v>
      </c>
      <c r="C30" s="29" t="n">
        <v>47.5</v>
      </c>
      <c r="D30" s="20" t="s">
        <v>114</v>
      </c>
    </row>
    <row r="31" customFormat="false" ht="15" hidden="false" customHeight="false" outlineLevel="0" collapsed="false">
      <c r="A31" s="5" t="s">
        <v>117</v>
      </c>
      <c r="C31" s="30" t="n">
        <v>0.3</v>
      </c>
      <c r="D31" s="20" t="s">
        <v>118</v>
      </c>
    </row>
    <row r="32" customFormat="false" ht="15" hidden="false" customHeight="false" outlineLevel="0" collapsed="false">
      <c r="A32" s="5" t="s">
        <v>119</v>
      </c>
      <c r="C32" s="19" t="n">
        <v>45800</v>
      </c>
      <c r="D32" s="20" t="s">
        <v>120</v>
      </c>
    </row>
    <row r="33" customFormat="false" ht="15" hidden="false" customHeight="false" outlineLevel="0" collapsed="false">
      <c r="A33" s="5" t="s">
        <v>121</v>
      </c>
      <c r="C33" s="19" t="n">
        <v>9800</v>
      </c>
      <c r="D33" s="20" t="s">
        <v>120</v>
      </c>
    </row>
    <row r="34" customFormat="false" ht="15" hidden="false" customHeight="false" outlineLevel="0" collapsed="false">
      <c r="A34" s="5" t="s">
        <v>122</v>
      </c>
      <c r="C34" s="30" t="n">
        <v>0.219</v>
      </c>
      <c r="D34" s="20" t="s">
        <v>123</v>
      </c>
    </row>
    <row r="35" customFormat="false" ht="15" hidden="false" customHeight="false" outlineLevel="0" collapsed="false">
      <c r="A35" s="5" t="s">
        <v>124</v>
      </c>
      <c r="C35" s="30" t="n">
        <v>0.16</v>
      </c>
      <c r="D35" s="20" t="s">
        <v>123</v>
      </c>
    </row>
    <row r="37" customFormat="false" ht="15" hidden="false" customHeight="false" outlineLevel="0" collapsed="false">
      <c r="A37" s="3" t="s">
        <v>125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5" hidden="false" customHeight="false" outlineLevel="0" collapsed="false">
      <c r="A38" s="5" t="s">
        <v>126</v>
      </c>
      <c r="C38" s="31" t="n">
        <v>0</v>
      </c>
    </row>
    <row r="39" customFormat="false" ht="15" hidden="false" customHeight="false" outlineLevel="0" collapsed="false">
      <c r="A39" s="5" t="s">
        <v>127</v>
      </c>
      <c r="C39" s="30" t="n">
        <v>0.01</v>
      </c>
      <c r="D39" s="2" t="s">
        <v>128</v>
      </c>
    </row>
    <row r="40" customFormat="false" ht="15" hidden="false" customHeight="false" outlineLevel="0" collapsed="false">
      <c r="A40" s="5" t="s">
        <v>129</v>
      </c>
      <c r="C40" s="32" t="n">
        <f aca="false">C38+30*C39</f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7"/>
  </cols>
  <sheetData>
    <row r="1" customFormat="false" ht="15" hidden="false" customHeight="false" outlineLevel="0" collapsed="false">
      <c r="A1" s="18" t="s">
        <v>130</v>
      </c>
    </row>
    <row r="2" customFormat="false" ht="15" hidden="false" customHeight="false" outlineLevel="0" collapsed="false">
      <c r="A2" s="2" t="s">
        <v>131</v>
      </c>
    </row>
    <row r="4" customFormat="false" ht="30" hidden="false" customHeight="true" outlineLevel="0" collapsed="false">
      <c r="A4" s="33" t="s">
        <v>132</v>
      </c>
      <c r="B4" s="34" t="s">
        <v>133</v>
      </c>
      <c r="C4" s="34" t="s">
        <v>134</v>
      </c>
      <c r="D4" s="34" t="s">
        <v>135</v>
      </c>
      <c r="E4" s="34" t="s">
        <v>136</v>
      </c>
      <c r="F4" s="34" t="s">
        <v>137</v>
      </c>
    </row>
    <row r="5" customFormat="false" ht="15" hidden="false" customHeight="false" outlineLevel="0" collapsed="false">
      <c r="A5" s="5" t="s">
        <v>138</v>
      </c>
      <c r="B5" s="35" t="n">
        <f aca="false">'Q3 Base case'!$C$3</f>
        <v>0.015</v>
      </c>
      <c r="C5" s="35" t="n">
        <f aca="false">'Q4 Fee cut'!$C$3</f>
        <v>0.0135</v>
      </c>
      <c r="D5" s="35" t="n">
        <f aca="false">'Q5a Hard hurdle'!$C$3</f>
        <v>0.0135</v>
      </c>
      <c r="E5" s="35" t="n">
        <f aca="false">'Q5b Soft hurdle'!$C$3</f>
        <v>0.0135</v>
      </c>
      <c r="F5" s="35" t="n">
        <f aca="false">'Q5c Lower carry'!$C$3</f>
        <v>0.0135</v>
      </c>
    </row>
    <row r="6" customFormat="false" ht="15" hidden="false" customHeight="false" outlineLevel="0" collapsed="false">
      <c r="A6" s="5" t="s">
        <v>139</v>
      </c>
      <c r="B6" s="36" t="n">
        <f aca="false">'Q3 Base case'!$F$4</f>
        <v>0.2</v>
      </c>
      <c r="C6" s="36" t="n">
        <f aca="false">'Q4 Fee cut'!$F$4</f>
        <v>0.2</v>
      </c>
      <c r="D6" s="36" t="n">
        <f aca="false">'Q5a Hard hurdle'!$F$4</f>
        <v>0.2</v>
      </c>
      <c r="E6" s="36" t="n">
        <f aca="false">'Q5b Soft hurdle'!$F$4</f>
        <v>0.2</v>
      </c>
      <c r="F6" s="36" t="n">
        <f aca="false">'Q5c Lower carry'!$F$4</f>
        <v>0.15</v>
      </c>
    </row>
    <row r="7" customFormat="false" ht="15" hidden="false" customHeight="false" outlineLevel="0" collapsed="false">
      <c r="A7" s="5" t="s">
        <v>140</v>
      </c>
      <c r="B7" s="36" t="n">
        <f aca="false">'Q3 Base case'!$I$2</f>
        <v>0</v>
      </c>
      <c r="C7" s="36" t="n">
        <f aca="false">'Q4 Fee cut'!$I$2</f>
        <v>0</v>
      </c>
      <c r="D7" s="36" t="n">
        <f aca="false">'Q5a Hard hurdle'!$I$2</f>
        <v>0.08</v>
      </c>
      <c r="E7" s="36" t="n">
        <f aca="false">'Q5b Soft hurdle'!$I$2</f>
        <v>0.08</v>
      </c>
      <c r="F7" s="36" t="n">
        <f aca="false">'Q5c Lower carry'!$I$2</f>
        <v>0</v>
      </c>
    </row>
    <row r="8" customFormat="false" ht="15" hidden="false" customHeight="false" outlineLevel="0" collapsed="false">
      <c r="A8" s="5" t="s">
        <v>141</v>
      </c>
      <c r="B8" s="37" t="str">
        <f aca="false">IF('Q3 Base case'!$I$2=0,"n/a",IF('Q3 Base case'!$I$3=1,"Yes","No"))</f>
        <v>n/a</v>
      </c>
      <c r="C8" s="37" t="str">
        <f aca="false">IF('Q4 Fee cut'!$I$2=0,"n/a",IF('Q4 Fee cut'!$I$3=1,"Yes","No"))</f>
        <v>n/a</v>
      </c>
      <c r="D8" s="37" t="str">
        <f aca="false">IF('Q5a Hard hurdle'!$I$2=0,"n/a",IF('Q5a Hard hurdle'!$I$3=1,"Yes","No"))</f>
        <v>No</v>
      </c>
      <c r="E8" s="37" t="str">
        <f aca="false">IF('Q5b Soft hurdle'!$I$2=0,"n/a",IF('Q5b Soft hurdle'!$I$3=1,"Yes","No"))</f>
        <v>Yes</v>
      </c>
      <c r="F8" s="37" t="str">
        <f aca="false">IF('Q5c Lower carry'!$I$2=0,"n/a",IF('Q5c Lower carry'!$I$3=1,"Yes","No"))</f>
        <v>n/a</v>
      </c>
    </row>
    <row r="10" customFormat="false" ht="15" hidden="false" customHeight="false" outlineLevel="0" collapsed="false">
      <c r="A10" s="3" t="s">
        <v>142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38" t="s">
        <v>143</v>
      </c>
      <c r="B11" s="39" t="n">
        <f aca="false">'Q3 Base case'!$C$50</f>
        <v>0.15722559423369</v>
      </c>
      <c r="C11" s="39" t="n">
        <f aca="false">'Q4 Fee cut'!$C$50</f>
        <v>0.159361408558221</v>
      </c>
      <c r="D11" s="39" t="n">
        <f aca="false">'Q5a Hard hurdle'!$C$50</f>
        <v>0.165918224327762</v>
      </c>
      <c r="E11" s="39" t="n">
        <f aca="false">'Q5b Soft hurdle'!$C$50</f>
        <v>0.160292237693307</v>
      </c>
      <c r="F11" s="39" t="n">
        <f aca="false">'Q5c Lower carry'!$C$50</f>
        <v>0.164910982580995</v>
      </c>
    </row>
    <row r="12" customFormat="false" ht="15" hidden="false" customHeight="false" outlineLevel="0" collapsed="false">
      <c r="A12" s="5" t="s">
        <v>144</v>
      </c>
      <c r="B12" s="40" t="n">
        <f aca="false">('Q3 Base case'!$C$50-$B$11)*10000</f>
        <v>0</v>
      </c>
      <c r="C12" s="40" t="n">
        <f aca="false">('Q4 Fee cut'!$C$50-$B$11)*10000</f>
        <v>21.3581432453117</v>
      </c>
      <c r="D12" s="40" t="n">
        <f aca="false">('Q5a Hard hurdle'!$C$50-$B$11)*10000</f>
        <v>86.9263009407248</v>
      </c>
      <c r="E12" s="40" t="n">
        <f aca="false">('Q5b Soft hurdle'!$C$50-$B$11)*10000</f>
        <v>30.6664345961769</v>
      </c>
      <c r="F12" s="40" t="n">
        <f aca="false">('Q5c Lower carry'!$C$50-$B$11)*10000</f>
        <v>76.8538834730498</v>
      </c>
    </row>
    <row r="13" customFormat="false" ht="15" hidden="false" customHeight="false" outlineLevel="0" collapsed="false">
      <c r="A13" s="38" t="s">
        <v>145</v>
      </c>
      <c r="B13" s="41" t="n">
        <f aca="false">'Q3 Base case'!$C$51</f>
        <v>578.217140375094</v>
      </c>
      <c r="C13" s="41" t="n">
        <f aca="false">'Q4 Fee cut'!$C$51</f>
        <v>752.979228799433</v>
      </c>
      <c r="D13" s="41" t="n">
        <f aca="false">'Q5a Hard hurdle'!$C$51</f>
        <v>1303.53847315147</v>
      </c>
      <c r="E13" s="41" t="n">
        <f aca="false">'Q5b Soft hurdle'!$C$51</f>
        <v>825.662738669118</v>
      </c>
      <c r="F13" s="41" t="n">
        <f aca="false">'Q5c Lower carry'!$C$51</f>
        <v>1224.12414779974</v>
      </c>
    </row>
    <row r="14" customFormat="false" ht="15" hidden="false" customHeight="false" outlineLevel="0" collapsed="false">
      <c r="A14" s="5" t="s">
        <v>146</v>
      </c>
      <c r="B14" s="42" t="n">
        <f aca="false">'Q3 Base case'!$C$51-$B$13</f>
        <v>0</v>
      </c>
      <c r="C14" s="42" t="n">
        <f aca="false">'Q4 Fee cut'!$C$51-$B$13</f>
        <v>174.76208842434</v>
      </c>
      <c r="D14" s="42" t="n">
        <f aca="false">'Q5a Hard hurdle'!$C$51-$B$13</f>
        <v>725.321332776375</v>
      </c>
      <c r="E14" s="42" t="n">
        <f aca="false">'Q5b Soft hurdle'!$C$51-$B$13</f>
        <v>247.445598294024</v>
      </c>
      <c r="F14" s="42" t="n">
        <f aca="false">'Q5c Lower carry'!$C$51-$B$13</f>
        <v>645.907007424647</v>
      </c>
    </row>
    <row r="15" customFormat="false" ht="15" hidden="false" customHeight="false" outlineLevel="0" collapsed="false">
      <c r="A15" s="5" t="s">
        <v>147</v>
      </c>
      <c r="B15" s="42" t="n">
        <f aca="false">'Q3 Base case'!$C$53</f>
        <v>48070.520865654</v>
      </c>
      <c r="C15" s="42" t="n">
        <f aca="false">'Q4 Fee cut'!$C$53</f>
        <v>48631.3881906058</v>
      </c>
      <c r="D15" s="42" t="n">
        <f aca="false">'Q5a Hard hurdle'!$C$53</f>
        <v>50426.8352621148</v>
      </c>
      <c r="E15" s="42" t="n">
        <f aca="false">'Q5b Soft hurdle'!$C$53</f>
        <v>48631.3881906058</v>
      </c>
      <c r="F15" s="42" t="n">
        <f aca="false">'Q5c Lower carry'!$C$53</f>
        <v>50420.8499525187</v>
      </c>
    </row>
    <row r="16" customFormat="false" ht="15" hidden="false" customHeight="false" outlineLevel="0" collapsed="false">
      <c r="A16" s="5" t="s">
        <v>148</v>
      </c>
      <c r="B16" s="43" t="n">
        <f aca="false">'Q3 Base case'!$C$54</f>
        <v>2.4035260432827</v>
      </c>
      <c r="C16" s="43" t="n">
        <f aca="false">'Q4 Fee cut'!$C$54</f>
        <v>2.43156940953029</v>
      </c>
      <c r="D16" s="43" t="n">
        <f aca="false">'Q5a Hard hurdle'!$C$54</f>
        <v>2.52134176310574</v>
      </c>
      <c r="E16" s="43" t="n">
        <f aca="false">'Q5b Soft hurdle'!$C$54</f>
        <v>2.43156940953029</v>
      </c>
      <c r="F16" s="43" t="n">
        <f aca="false">'Q5c Lower carry'!$C$54</f>
        <v>2.52104249762593</v>
      </c>
    </row>
    <row r="18" customFormat="false" ht="15" hidden="false" customHeight="false" outlineLevel="0" collapsed="false">
      <c r="A18" s="3" t="s">
        <v>149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5" t="s">
        <v>150</v>
      </c>
      <c r="B19" s="42" t="n">
        <f aca="false">'Q3 Base case'!$C$55</f>
        <v>3000</v>
      </c>
      <c r="C19" s="42" t="n">
        <f aca="false">'Q4 Fee cut'!$C$55</f>
        <v>2700</v>
      </c>
      <c r="D19" s="42" t="n">
        <f aca="false">'Q5a Hard hurdle'!$C$55</f>
        <v>2700</v>
      </c>
      <c r="E19" s="42" t="n">
        <f aca="false">'Q5b Soft hurdle'!$C$55</f>
        <v>2700</v>
      </c>
      <c r="F19" s="42" t="n">
        <f aca="false">'Q5c Lower carry'!$C$55</f>
        <v>2700</v>
      </c>
    </row>
    <row r="20" customFormat="false" ht="15" hidden="false" customHeight="false" outlineLevel="0" collapsed="false">
      <c r="A20" s="5" t="s">
        <v>151</v>
      </c>
      <c r="B20" s="42" t="n">
        <f aca="false">'Q3 Base case'!$C$56</f>
        <v>7017.63021641351</v>
      </c>
      <c r="C20" s="42" t="n">
        <f aca="false">'Q4 Fee cut'!$C$56</f>
        <v>7157.84704765146</v>
      </c>
      <c r="D20" s="42" t="n">
        <f aca="false">'Q5a Hard hurdle'!$C$56</f>
        <v>5362.39997614251</v>
      </c>
      <c r="E20" s="42" t="n">
        <f aca="false">'Q5b Soft hurdle'!$C$56</f>
        <v>7157.84704765146</v>
      </c>
      <c r="F20" s="42" t="n">
        <f aca="false">'Q5c Lower carry'!$C$56</f>
        <v>5368.38528573859</v>
      </c>
    </row>
    <row r="21" customFormat="false" ht="15" hidden="false" customHeight="false" outlineLevel="0" collapsed="false">
      <c r="A21" s="5" t="s">
        <v>152</v>
      </c>
      <c r="B21" s="42" t="n">
        <f aca="false">'Q3 Base case'!$C$57</f>
        <v>1731.47517591971</v>
      </c>
      <c r="C21" s="42" t="n">
        <f aca="false">'Q4 Fee cut'!$C$57</f>
        <v>1558.32765832774</v>
      </c>
      <c r="D21" s="42" t="n">
        <f aca="false">'Q5a Hard hurdle'!$C$57</f>
        <v>1558.32765832774</v>
      </c>
      <c r="E21" s="42" t="n">
        <f aca="false">'Q5b Soft hurdle'!$C$57</f>
        <v>1558.32765832774</v>
      </c>
      <c r="F21" s="42" t="n">
        <f aca="false">'Q5c Lower carry'!$C$57</f>
        <v>1558.32765832774</v>
      </c>
    </row>
    <row r="22" customFormat="false" ht="15" hidden="false" customHeight="false" outlineLevel="0" collapsed="false">
      <c r="A22" s="5" t="s">
        <v>153</v>
      </c>
      <c r="B22" s="42" t="n">
        <f aca="false">'Q3 Base case'!$C$58</f>
        <v>1845.49373575418</v>
      </c>
      <c r="C22" s="42" t="n">
        <f aca="false">'Q4 Fee cut'!$C$58</f>
        <v>1884.57967600123</v>
      </c>
      <c r="D22" s="42" t="n">
        <f aca="false">'Q5a Hard hurdle'!$C$58</f>
        <v>1334.0204316492</v>
      </c>
      <c r="E22" s="42" t="n">
        <f aca="false">'Q5b Soft hurdle'!$C$58</f>
        <v>1811.89616613155</v>
      </c>
      <c r="F22" s="42" t="n">
        <f aca="false">'Q5c Lower carry'!$C$58</f>
        <v>1413.43475700093</v>
      </c>
    </row>
    <row r="23" customFormat="false" ht="15" hidden="false" customHeight="false" outlineLevel="0" collapsed="false">
      <c r="A23" s="38" t="s">
        <v>154</v>
      </c>
      <c r="B23" s="41" t="n">
        <f aca="false">'Q3 Base case'!$C$59</f>
        <v>3576.96891167389</v>
      </c>
      <c r="C23" s="41" t="n">
        <f aca="false">'Q4 Fee cut'!$C$59</f>
        <v>3442.90733432897</v>
      </c>
      <c r="D23" s="41" t="n">
        <f aca="false">'Q5a Hard hurdle'!$C$59</f>
        <v>2892.34808997694</v>
      </c>
      <c r="E23" s="41" t="n">
        <f aca="false">'Q5b Soft hurdle'!$C$59</f>
        <v>3370.22382445929</v>
      </c>
      <c r="F23" s="41" t="n">
        <f aca="false">'Q5c Lower carry'!$C$59</f>
        <v>2971.76241532866</v>
      </c>
    </row>
    <row r="24" customFormat="false" ht="15" hidden="false" customHeight="false" outlineLevel="0" collapsed="false">
      <c r="A24" s="5" t="s">
        <v>146</v>
      </c>
      <c r="B24" s="42" t="n">
        <f aca="false">'Q3 Base case'!$C$59-$B$23</f>
        <v>0</v>
      </c>
      <c r="C24" s="42" t="n">
        <f aca="false">'Q4 Fee cut'!$C$59-$B$23</f>
        <v>-134.061577344914</v>
      </c>
      <c r="D24" s="42" t="n">
        <f aca="false">'Q5a Hard hurdle'!$C$59-$B$23</f>
        <v>-684.620821696951</v>
      </c>
      <c r="E24" s="42" t="n">
        <f aca="false">'Q5b Soft hurdle'!$C$59-$B$23</f>
        <v>-206.7450872146</v>
      </c>
      <c r="F24" s="42" t="n">
        <f aca="false">'Q5c Lower carry'!$C$59-$B$23</f>
        <v>-605.206496345223</v>
      </c>
    </row>
    <row r="25" customFormat="false" ht="15" hidden="false" customHeight="false" outlineLevel="0" collapsed="false">
      <c r="A25" s="5" t="s">
        <v>155</v>
      </c>
      <c r="B25" s="36" t="n">
        <f aca="false">'Q3 Base case'!$C$60</f>
        <v>0.484062125971747</v>
      </c>
      <c r="C25" s="36" t="n">
        <f aca="false">'Q4 Fee cut'!$C$60</f>
        <v>0.452619692313461</v>
      </c>
      <c r="D25" s="36" t="n">
        <f aca="false">'Q5a Hard hurdle'!$C$60</f>
        <v>0.538775973655427</v>
      </c>
      <c r="E25" s="36" t="n">
        <f aca="false">'Q5b Soft hurdle'!$C$60</f>
        <v>0.462381058201009</v>
      </c>
      <c r="F25" s="36" t="n">
        <f aca="false">'Q5c Lower carry'!$C$60</f>
        <v>0.524378278118641</v>
      </c>
    </row>
    <row r="26" customFormat="false" ht="15" hidden="false" customHeight="false" outlineLevel="0" collapsed="false">
      <c r="A26" s="5" t="s">
        <v>156</v>
      </c>
      <c r="B26" s="44" t="n">
        <f aca="false">'Q3 Base case'!$C$62</f>
        <v>8</v>
      </c>
      <c r="C26" s="44" t="n">
        <f aca="false">'Q4 Fee cut'!$C$62</f>
        <v>8</v>
      </c>
      <c r="D26" s="44" t="n">
        <f aca="false">'Q5a Hard hurdle'!$C$62</f>
        <v>9</v>
      </c>
      <c r="E26" s="44" t="n">
        <f aca="false">'Q5b Soft hurdle'!$C$62</f>
        <v>9</v>
      </c>
      <c r="F26" s="44" t="n">
        <f aca="false">'Q5c Lower carry'!$C$62</f>
        <v>8</v>
      </c>
    </row>
    <row r="28" customFormat="false" ht="15" hidden="false" customHeight="false" outlineLevel="0" collapsed="false">
      <c r="A28" s="3" t="str">
        <f aca="false">"OPERF ($"&amp;TEXT(Inputs!$C$26,"#,##0")&amp;"m commitment = "&amp;TEXT('Q3 Base case'!$C$63,"0.00%")&amp;" of the fund)"</f>
        <v>OPERF ($750m commitment = 3.75% of the fund)</v>
      </c>
      <c r="B28" s="4"/>
      <c r="C28" s="4"/>
      <c r="D28" s="4"/>
      <c r="E28" s="4"/>
      <c r="F28" s="4"/>
    </row>
    <row r="29" customFormat="false" ht="15" hidden="false" customHeight="false" outlineLevel="0" collapsed="false">
      <c r="A29" s="38" t="s">
        <v>157</v>
      </c>
      <c r="B29" s="41" t="n">
        <f aca="false">'Q3 Base case'!$C$64</f>
        <v>21.683142764066</v>
      </c>
      <c r="C29" s="41" t="n">
        <f aca="false">'Q4 Fee cut'!$C$64</f>
        <v>28.2367210799787</v>
      </c>
      <c r="D29" s="41" t="n">
        <f aca="false">'Q5a Hard hurdle'!$C$64</f>
        <v>48.8826927431801</v>
      </c>
      <c r="E29" s="41" t="n">
        <f aca="false">'Q5b Soft hurdle'!$C$64</f>
        <v>30.9623527000919</v>
      </c>
      <c r="F29" s="41" t="n">
        <f aca="false">'Q5c Lower carry'!$C$64</f>
        <v>45.9046555424903</v>
      </c>
    </row>
    <row r="30" customFormat="false" ht="15" hidden="false" customHeight="false" outlineLevel="0" collapsed="false">
      <c r="A30" s="5" t="s">
        <v>146</v>
      </c>
      <c r="B30" s="42" t="n">
        <f aca="false">'Q3 Base case'!$C$64-$B$29</f>
        <v>0</v>
      </c>
      <c r="C30" s="42" t="n">
        <f aca="false">'Q4 Fee cut'!$C$64-$B$29</f>
        <v>6.55357831591274</v>
      </c>
      <c r="D30" s="42" t="n">
        <f aca="false">'Q5a Hard hurdle'!$C$64-$B$29</f>
        <v>27.1995499791141</v>
      </c>
      <c r="E30" s="42" t="n">
        <f aca="false">'Q5b Soft hurdle'!$C$64-$B$29</f>
        <v>9.27920993602591</v>
      </c>
      <c r="F30" s="42" t="n">
        <f aca="false">'Q5c Lower carry'!$C$64-$B$29</f>
        <v>24.2215127784242</v>
      </c>
    </row>
    <row r="31" customFormat="false" ht="15" hidden="false" customHeight="false" outlineLevel="0" collapsed="false">
      <c r="A31" s="5" t="s">
        <v>158</v>
      </c>
      <c r="B31" s="42" t="n">
        <f aca="false">'Q3 Base case'!$C$65</f>
        <v>112.5</v>
      </c>
      <c r="C31" s="42" t="n">
        <f aca="false">'Q4 Fee cut'!$C$65</f>
        <v>101.25</v>
      </c>
      <c r="D31" s="42" t="n">
        <f aca="false">'Q5a Hard hurdle'!$C$65</f>
        <v>101.25</v>
      </c>
      <c r="E31" s="42" t="n">
        <f aca="false">'Q5b Soft hurdle'!$C$65</f>
        <v>101.25</v>
      </c>
      <c r="F31" s="42" t="n">
        <f aca="false">'Q5c Lower carry'!$C$65</f>
        <v>101.25</v>
      </c>
    </row>
    <row r="32" customFormat="false" ht="15" hidden="false" customHeight="false" outlineLevel="0" collapsed="false">
      <c r="A32" s="5" t="s">
        <v>159</v>
      </c>
      <c r="B32" s="42" t="n">
        <f aca="false">'Q3 Base case'!$C$66</f>
        <v>1802.64453246203</v>
      </c>
      <c r="C32" s="42" t="n">
        <f aca="false">'Q4 Fee cut'!$C$66</f>
        <v>1823.67705714772</v>
      </c>
      <c r="D32" s="42" t="n">
        <f aca="false">'Q5a Hard hurdle'!$C$66</f>
        <v>1891.0063223293</v>
      </c>
      <c r="E32" s="42" t="n">
        <f aca="false">'Q5b Soft hurdle'!$C$66</f>
        <v>1823.67705714772</v>
      </c>
      <c r="F32" s="42" t="n">
        <f aca="false">'Q5c Lower carry'!$C$66</f>
        <v>1890.78187321945</v>
      </c>
    </row>
    <row r="34" customFormat="false" ht="15" hidden="false" customHeight="false" outlineLevel="0" collapsed="false">
      <c r="A34" s="3" t="s">
        <v>160</v>
      </c>
      <c r="B34" s="4"/>
      <c r="C34" s="4"/>
      <c r="D34" s="4"/>
      <c r="E34" s="4"/>
      <c r="F34" s="4"/>
    </row>
    <row r="35" customFormat="false" ht="15" hidden="false" customHeight="false" outlineLevel="0" collapsed="false">
      <c r="A35" s="5" t="s">
        <v>161</v>
      </c>
      <c r="B35" s="37" t="str">
        <f aca="false">'Q3 Base case'!$C$72</f>
        <v>OK</v>
      </c>
      <c r="C35" s="37" t="str">
        <f aca="false">'Q4 Fee cut'!$C$72</f>
        <v>OK</v>
      </c>
      <c r="D35" s="37" t="str">
        <f aca="false">'Q5a Hard hurdle'!$C$72</f>
        <v>OK</v>
      </c>
      <c r="E35" s="37" t="str">
        <f aca="false">'Q5b Soft hurdle'!$C$72</f>
        <v>OK</v>
      </c>
      <c r="F35" s="37" t="str">
        <f aca="false">'Q5c Lower carry'!$C$72</f>
        <v>OK</v>
      </c>
    </row>
    <row r="36" customFormat="false" ht="15" hidden="false" customHeight="false" outlineLevel="0" collapsed="false">
      <c r="A36" s="5" t="s">
        <v>162</v>
      </c>
      <c r="B36" s="42" t="n">
        <f aca="false">ROUND(ABS('Q3 Base case'!$C$50-Engine!$K$7)+ABS('Q3 Base case'!$C$51-Engine!$L$7)+ABS('Q3 Base case'!$C$59-Engine!$S$7),6)</f>
        <v>0</v>
      </c>
      <c r="C36" s="42" t="n">
        <f aca="false">ROUND(ABS('Q4 Fee cut'!$C$50-Engine!$K$8)+ABS('Q4 Fee cut'!$C$51-Engine!$L$8)+ABS('Q4 Fee cut'!$C$59-Engine!$S$8),6)</f>
        <v>0</v>
      </c>
      <c r="D36" s="42" t="n">
        <f aca="false">ROUND(ABS('Q5a Hard hurdle'!$C$50-Engine!$K$9)+ABS('Q5a Hard hurdle'!$C$51-Engine!$L$9)+ABS('Q5a Hard hurdle'!$C$59-Engine!$S$9),6)</f>
        <v>0</v>
      </c>
      <c r="E36" s="42" t="n">
        <f aca="false">ROUND(ABS('Q5b Soft hurdle'!$C$50-Engine!$K$10)+ABS('Q5b Soft hurdle'!$C$51-Engine!$L$10)+ABS('Q5b Soft hurdle'!$C$59-Engine!$S$10),6)</f>
        <v>0</v>
      </c>
      <c r="F36" s="42" t="n">
        <f aca="false">ROUND(ABS('Q5c Lower carry'!$C$50-Engine!$K$11)+ABS('Q5c Lower carry'!$C$51-Engine!$L$11)+ABS('Q5c Lower carry'!$C$59-Engine!$S$11),6)</f>
        <v>0</v>
      </c>
    </row>
    <row r="38" customFormat="false" ht="15" hidden="false" customHeight="false" outlineLevel="0" collapsed="false">
      <c r="A38" s="3" t="s">
        <v>163</v>
      </c>
      <c r="B38" s="4"/>
      <c r="C38" s="4"/>
      <c r="D38" s="4"/>
      <c r="E38" s="4"/>
      <c r="F38" s="4"/>
    </row>
    <row r="39" customFormat="false" ht="15" hidden="false" customHeight="false" outlineLevel="0" collapsed="false">
      <c r="A39" s="16" t="str">
        <f aca="false">"Base case: assets grow "&amp;TEXT(Inputs!$C$8,"0%")&amp;" a year but LPs net "&amp;TEXT(B11,"0.0%")&amp;" after fees and carry; NPV at 15% is only $"&amp;TEXT(B13,"#,##0")&amp;"m on a $"&amp;TEXT(Inputs!$C$6,"#,##0")&amp;"m fund."</f>
        <v>Base case: assets grow 20% a year but LPs net 15.7% after fees and carry; NPV at 15% is only $578m on a $20,000m fund.</v>
      </c>
    </row>
    <row r="40" customFormat="false" ht="15" hidden="false" customHeight="false" outlineLevel="0" collapsed="false">
      <c r="A40" s="5" t="str">
        <f aca="false">"TPG earns $"&amp;TEXT(B23,"#,##0")&amp;"m in PV terms; "&amp;TEXT(B25,"0%")&amp;" of that is management fees, which are paid whatever the fund returns."</f>
        <v>TPG earns $3,577m in PV terms; 48% of that is management fees, which are paid whatever the fund returns.</v>
      </c>
    </row>
    <row r="41" customFormat="false" ht="15" hidden="false" customHeight="false" outlineLevel="0" collapsed="false">
      <c r="A41" s="5" t="str">
        <f aca="false">"TPG's fee cut adds "&amp;TEXT(C12,"0")&amp;" bps to LP IRR (+$"&amp;TEXT(C30,"0.0")&amp;"m NPV for OPERF), a small gain, as Schmitz expected."</f>
        <v>TPG's fee cut adds 21 bps to LP IRR (+$6.6m NPV for OPERF), a small gain, as Schmitz expected.</v>
      </c>
    </row>
    <row r="42" customFormat="false" ht="15" hidden="false" customHeight="false" outlineLevel="0" collapsed="false">
      <c r="A42" s="5" t="str">
        <f aca="false">"On top of the offer, an 8% hard hurdle adds "&amp;TEXT(D12-C12,"0")&amp;" bps and a 15% carry adds "&amp;TEXT(F12-C12,"0")&amp;" bps; a soft hurdle (with catch-up) adds only "&amp;TEXT(E12-C12,"0")&amp;" bps at 20% growth."</f>
        <v>On top of the offer, an 8% hard hurdle adds 66 bps and a 15% carry adds 55 bps; a soft hurdle (with catch-up) adds only 9 bps at 20% growth.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9" min="2" style="0" width="13"/>
  </cols>
  <sheetData>
    <row r="1" customFormat="false" ht="15" hidden="false" customHeight="false" outlineLevel="0" collapsed="false">
      <c r="A1" s="18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3" t="s">
        <v>166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167</v>
      </c>
      <c r="C5" s="19" t="n">
        <v>19800</v>
      </c>
      <c r="D5" s="20" t="s">
        <v>168</v>
      </c>
    </row>
    <row r="6" customFormat="false" ht="15" hidden="false" customHeight="false" outlineLevel="0" collapsed="false">
      <c r="A6" s="5" t="s">
        <v>169</v>
      </c>
      <c r="C6" s="35" t="n">
        <f aca="false">Inputs!$C$18</f>
        <v>0.015</v>
      </c>
    </row>
    <row r="7" customFormat="false" ht="15" hidden="false" customHeight="false" outlineLevel="0" collapsed="false">
      <c r="A7" s="5" t="s">
        <v>170</v>
      </c>
      <c r="C7" s="35" t="n">
        <f aca="false">Inputs!$C$19</f>
        <v>0.0135</v>
      </c>
    </row>
    <row r="8" customFormat="false" ht="15" hidden="false" customHeight="false" outlineLevel="0" collapsed="false">
      <c r="A8" s="5" t="s">
        <v>171</v>
      </c>
      <c r="C8" s="45" t="n">
        <f aca="false">C5*C6</f>
        <v>297</v>
      </c>
    </row>
    <row r="9" customFormat="false" ht="15" hidden="false" customHeight="false" outlineLevel="0" collapsed="false">
      <c r="A9" s="5" t="s">
        <v>172</v>
      </c>
      <c r="C9" s="45" t="n">
        <f aca="false">C5*C7</f>
        <v>267.3</v>
      </c>
    </row>
    <row r="10" customFormat="false" ht="15" hidden="false" customHeight="false" outlineLevel="0" collapsed="false">
      <c r="A10" s="38" t="s">
        <v>173</v>
      </c>
      <c r="C10" s="46" t="n">
        <f aca="false">C8-C9</f>
        <v>29.7</v>
      </c>
    </row>
    <row r="11" customFormat="false" ht="15" hidden="false" customHeight="false" outlineLevel="0" collapsed="false">
      <c r="A11" s="5" t="s">
        <v>174</v>
      </c>
      <c r="C11" s="42" t="n">
        <f aca="false">C10*Inputs!$C$7</f>
        <v>297</v>
      </c>
    </row>
    <row r="12" customFormat="false" ht="15" hidden="false" customHeight="false" outlineLevel="0" collapsed="false">
      <c r="A12" s="5" t="s">
        <v>175</v>
      </c>
      <c r="C12" s="47" t="n">
        <f aca="false">C5*(1-Inputs!$C$27)</f>
        <v>17820</v>
      </c>
    </row>
    <row r="13" customFormat="false" ht="15" hidden="false" customHeight="false" outlineLevel="0" collapsed="false">
      <c r="A13" s="5" t="s">
        <v>176</v>
      </c>
      <c r="C13" s="45" t="n">
        <f aca="false">C12*C7</f>
        <v>240.57</v>
      </c>
    </row>
    <row r="14" customFormat="false" ht="15" hidden="false" customHeight="false" outlineLevel="0" collapsed="false">
      <c r="A14" s="38" t="s">
        <v>177</v>
      </c>
      <c r="C14" s="46" t="n">
        <f aca="false">C8-C13</f>
        <v>56.43</v>
      </c>
    </row>
    <row r="15" customFormat="false" ht="15" hidden="false" customHeight="false" outlineLevel="0" collapsed="false">
      <c r="A15" s="5" t="s">
        <v>178</v>
      </c>
      <c r="C15" s="19" t="n">
        <v>50000</v>
      </c>
      <c r="D15" s="20" t="s">
        <v>179</v>
      </c>
    </row>
    <row r="16" customFormat="false" ht="15" hidden="false" customHeight="false" outlineLevel="0" collapsed="false">
      <c r="A16" s="5" t="s">
        <v>180</v>
      </c>
      <c r="C16" s="45" t="n">
        <f aca="false">C15*C6</f>
        <v>750</v>
      </c>
      <c r="D16" s="20" t="s">
        <v>181</v>
      </c>
    </row>
    <row r="17" customFormat="false" ht="15" hidden="false" customHeight="false" outlineLevel="0" collapsed="false">
      <c r="A17" s="5" t="s">
        <v>182</v>
      </c>
      <c r="C17" s="32" t="n">
        <f aca="false">IF(C16=0,0,C14/C16)</f>
        <v>0.07524</v>
      </c>
    </row>
    <row r="18" customFormat="false" ht="15" hidden="false" customHeight="false" outlineLevel="0" collapsed="false">
      <c r="A18" s="48" t="s">
        <v>183</v>
      </c>
      <c r="B18" s="49"/>
      <c r="C18" s="50" t="n">
        <f aca="false">C5*Inputs!$C$31</f>
        <v>5940</v>
      </c>
      <c r="D18" s="51" t="s">
        <v>184</v>
      </c>
    </row>
    <row r="19" customFormat="false" ht="15" hidden="false" customHeight="false" outlineLevel="0" collapsed="false">
      <c r="A19" s="2" t="s">
        <v>185</v>
      </c>
    </row>
    <row r="21" customFormat="false" ht="15" hidden="false" customHeight="false" outlineLevel="0" collapsed="false">
      <c r="A21" s="3" t="s">
        <v>186</v>
      </c>
      <c r="B21" s="4"/>
      <c r="C21" s="4"/>
      <c r="D21" s="4"/>
      <c r="E21" s="4"/>
      <c r="F21" s="4"/>
      <c r="G21" s="4"/>
      <c r="H21" s="4"/>
    </row>
    <row r="22" customFormat="false" ht="27.75" hidden="false" customHeight="true" outlineLevel="0" collapsed="false">
      <c r="A22" s="52" t="s">
        <v>91</v>
      </c>
      <c r="B22" s="53" t="s">
        <v>187</v>
      </c>
      <c r="C22" s="53" t="s">
        <v>188</v>
      </c>
      <c r="D22" s="53" t="s">
        <v>189</v>
      </c>
      <c r="E22" s="53" t="s">
        <v>190</v>
      </c>
      <c r="F22" s="53" t="s">
        <v>191</v>
      </c>
    </row>
    <row r="23" customFormat="false" ht="15" hidden="false" customHeight="false" outlineLevel="0" collapsed="false">
      <c r="A23" s="15" t="s">
        <v>192</v>
      </c>
      <c r="B23" s="19" t="n">
        <v>90</v>
      </c>
      <c r="C23" s="19" t="n">
        <v>123</v>
      </c>
      <c r="D23" s="54" t="n">
        <f aca="false">IF(C23=0,0,B23/C23)</f>
        <v>0.731707317073171</v>
      </c>
    </row>
    <row r="24" customFormat="false" ht="15" hidden="false" customHeight="false" outlineLevel="0" collapsed="false">
      <c r="A24" s="15" t="s">
        <v>193</v>
      </c>
      <c r="B24" s="19" t="n">
        <v>153</v>
      </c>
      <c r="C24" s="19" t="n">
        <v>211</v>
      </c>
      <c r="D24" s="54" t="n">
        <f aca="false">IF(C24=0,0,B24/C24)</f>
        <v>0.725118483412322</v>
      </c>
      <c r="E24" s="32" t="n">
        <f aca="false">IF(B23=0,0,B24/B23-1)</f>
        <v>0.7</v>
      </c>
      <c r="F24" s="32" t="n">
        <f aca="false">IF(C23=0,0,C24/C23-1)</f>
        <v>0.715447154471545</v>
      </c>
    </row>
    <row r="25" customFormat="false" ht="15" hidden="false" customHeight="false" outlineLevel="0" collapsed="false">
      <c r="A25" s="15" t="s">
        <v>194</v>
      </c>
      <c r="B25" s="19" t="n">
        <v>201</v>
      </c>
      <c r="C25" s="19" t="n">
        <v>188</v>
      </c>
      <c r="D25" s="54" t="n">
        <f aca="false">IF(C25=0,0,B25/C25)</f>
        <v>1.06914893617021</v>
      </c>
      <c r="E25" s="32" t="n">
        <f aca="false">IF(B24=0,0,B25/B24-1)</f>
        <v>0.313725490196078</v>
      </c>
      <c r="F25" s="32" t="n">
        <f aca="false">IF(C24=0,0,C25/C24-1)</f>
        <v>-0.109004739336493</v>
      </c>
    </row>
    <row r="26" customFormat="false" ht="15" hidden="false" customHeight="false" outlineLevel="0" collapsed="false">
      <c r="A26" s="15" t="s">
        <v>195</v>
      </c>
      <c r="B26" s="19" t="n">
        <v>300</v>
      </c>
      <c r="C26" s="19" t="n">
        <v>233</v>
      </c>
      <c r="D26" s="54" t="n">
        <f aca="false">IF(C26=0,0,B26/C26)</f>
        <v>1.28755364806867</v>
      </c>
      <c r="E26" s="32" t="n">
        <f aca="false">IF(B25=0,0,B26/B25-1)</f>
        <v>0.492537313432836</v>
      </c>
      <c r="F26" s="32" t="n">
        <f aca="false">IF(C25=0,0,C26/C25-1)</f>
        <v>0.23936170212766</v>
      </c>
    </row>
    <row r="27" customFormat="false" ht="15" hidden="false" customHeight="false" outlineLevel="0" collapsed="false">
      <c r="A27" s="55" t="s">
        <v>196</v>
      </c>
      <c r="B27" s="56" t="n">
        <v>314</v>
      </c>
      <c r="C27" s="56" t="n">
        <v>187</v>
      </c>
      <c r="D27" s="57" t="n">
        <f aca="false">IF(C27=0,0,B27/C27)</f>
        <v>1.67914438502674</v>
      </c>
      <c r="E27" s="58" t="n">
        <f aca="false">IF(B26=0,0,B27/B26-1)</f>
        <v>0.0466666666666666</v>
      </c>
      <c r="F27" s="58" t="n">
        <f aca="false">IF(C26=0,0,C27/C26-1)</f>
        <v>-0.197424892703863</v>
      </c>
    </row>
    <row r="28" customFormat="false" ht="15" hidden="false" customHeight="false" outlineLevel="0" collapsed="false">
      <c r="A28" s="2" t="s">
        <v>197</v>
      </c>
    </row>
    <row r="30" customFormat="false" ht="15" hidden="false" customHeight="false" outlineLevel="0" collapsed="false">
      <c r="A30" s="3" t="s">
        <v>198</v>
      </c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5" t="s">
        <v>199</v>
      </c>
      <c r="C31" s="19" t="n">
        <v>81</v>
      </c>
      <c r="D31" s="20" t="s">
        <v>200</v>
      </c>
    </row>
    <row r="32" customFormat="false" ht="15" hidden="false" customHeight="false" outlineLevel="0" collapsed="false">
      <c r="A32" s="5" t="s">
        <v>201</v>
      </c>
      <c r="C32" s="19" t="n">
        <v>11</v>
      </c>
      <c r="D32" s="20" t="s">
        <v>200</v>
      </c>
    </row>
    <row r="33" customFormat="false" ht="15" hidden="false" customHeight="false" outlineLevel="0" collapsed="false">
      <c r="A33" s="5" t="s">
        <v>202</v>
      </c>
      <c r="C33" s="19" t="n">
        <v>330</v>
      </c>
      <c r="D33" s="20" t="s">
        <v>200</v>
      </c>
    </row>
    <row r="34" customFormat="false" ht="15" hidden="false" customHeight="false" outlineLevel="0" collapsed="false">
      <c r="A34" s="5" t="s">
        <v>203</v>
      </c>
      <c r="C34" s="19" t="n">
        <v>50</v>
      </c>
      <c r="D34" s="20" t="s">
        <v>200</v>
      </c>
    </row>
    <row r="35" customFormat="false" ht="15" hidden="false" customHeight="false" outlineLevel="0" collapsed="false">
      <c r="A35" s="5" t="s">
        <v>204</v>
      </c>
      <c r="C35" s="19" t="n">
        <v>3100</v>
      </c>
      <c r="D35" s="20" t="s">
        <v>205</v>
      </c>
    </row>
    <row r="36" customFormat="false" ht="15" hidden="false" customHeight="false" outlineLevel="0" collapsed="false">
      <c r="A36" s="5" t="s">
        <v>206</v>
      </c>
      <c r="C36" s="19" t="n">
        <v>83</v>
      </c>
      <c r="D36" s="20" t="s">
        <v>205</v>
      </c>
    </row>
    <row r="37" customFormat="false" ht="15" hidden="false" customHeight="false" outlineLevel="0" collapsed="false">
      <c r="A37" s="5" t="s">
        <v>207</v>
      </c>
      <c r="C37" s="19" t="n">
        <v>1350</v>
      </c>
      <c r="D37" s="20" t="s">
        <v>118</v>
      </c>
    </row>
    <row r="38" customFormat="false" ht="15" hidden="false" customHeight="false" outlineLevel="0" collapsed="false">
      <c r="A38" s="5" t="s">
        <v>208</v>
      </c>
      <c r="C38" s="19" t="n">
        <v>437</v>
      </c>
      <c r="D38" s="20" t="s">
        <v>205</v>
      </c>
    </row>
    <row r="39" customFormat="false" ht="15" hidden="false" customHeight="false" outlineLevel="0" collapsed="false">
      <c r="A39" s="5" t="s">
        <v>209</v>
      </c>
      <c r="C39" s="32" t="n">
        <f aca="false">C38/C5</f>
        <v>0.0220707070707071</v>
      </c>
    </row>
    <row r="40" customFormat="false" ht="15" hidden="false" customHeight="false" outlineLevel="0" collapsed="false">
      <c r="A40" s="5" t="s">
        <v>210</v>
      </c>
      <c r="C40" s="30" t="n">
        <v>0.29</v>
      </c>
      <c r="D40" s="20" t="s">
        <v>211</v>
      </c>
    </row>
    <row r="41" customFormat="false" ht="15" hidden="false" customHeight="false" outlineLevel="0" collapsed="false">
      <c r="A41" s="5" t="s">
        <v>212</v>
      </c>
      <c r="C41" s="30" t="n">
        <v>0.6</v>
      </c>
      <c r="D41" s="20" t="s">
        <v>118</v>
      </c>
    </row>
    <row r="42" customFormat="false" ht="15" hidden="false" customHeight="false" outlineLevel="0" collapsed="false">
      <c r="A42" s="48" t="s">
        <v>213</v>
      </c>
      <c r="B42" s="49"/>
      <c r="C42" s="59" t="n">
        <f aca="false">Inputs!$C$27</f>
        <v>0.1</v>
      </c>
      <c r="D42" s="51" t="s">
        <v>118</v>
      </c>
    </row>
    <row r="43" customFormat="false" ht="15" hidden="false" customHeight="false" outlineLevel="0" collapsed="false">
      <c r="A43" s="5" t="s">
        <v>214</v>
      </c>
      <c r="C43" s="32" t="n">
        <f aca="false">IF(C31=0,0,C32/C31-1)</f>
        <v>-0.864197530864198</v>
      </c>
    </row>
    <row r="44" customFormat="false" ht="15" hidden="false" customHeight="false" outlineLevel="0" collapsed="false">
      <c r="A44" s="5" t="s">
        <v>215</v>
      </c>
      <c r="C44" s="32" t="n">
        <f aca="false">IF(C35=0,0,C36/C35-1)</f>
        <v>-0.973225806451613</v>
      </c>
    </row>
    <row r="46" customFormat="false" ht="15" hidden="false" customHeight="false" outlineLevel="0" collapsed="false">
      <c r="A46" s="3" t="s">
        <v>216</v>
      </c>
      <c r="B46" s="4"/>
      <c r="C46" s="4"/>
      <c r="D46" s="4"/>
      <c r="E46" s="4"/>
      <c r="F46" s="4"/>
      <c r="G46" s="4"/>
      <c r="H46" s="4"/>
    </row>
    <row r="47" customFormat="false" ht="15" hidden="false" customHeight="false" outlineLevel="0" collapsed="false">
      <c r="A47" s="8" t="s">
        <v>217</v>
      </c>
      <c r="B47" s="60" t="s">
        <v>218</v>
      </c>
      <c r="C47" s="60" t="s">
        <v>219</v>
      </c>
      <c r="D47" s="60" t="s">
        <v>220</v>
      </c>
    </row>
    <row r="48" customFormat="false" ht="15" hidden="false" customHeight="false" outlineLevel="0" collapsed="false">
      <c r="A48" s="5" t="s">
        <v>221</v>
      </c>
      <c r="B48" s="61" t="n">
        <v>0.06</v>
      </c>
      <c r="C48" s="61" t="n">
        <v>0.13</v>
      </c>
      <c r="D48" s="62" t="n">
        <f aca="false">(C48-B48)*100</f>
        <v>7</v>
      </c>
    </row>
    <row r="49" customFormat="false" ht="15" hidden="false" customHeight="false" outlineLevel="0" collapsed="false">
      <c r="A49" s="5" t="s">
        <v>222</v>
      </c>
      <c r="B49" s="61" t="n">
        <v>0.76</v>
      </c>
      <c r="C49" s="61" t="n">
        <v>0.56</v>
      </c>
      <c r="D49" s="62" t="n">
        <f aca="false">(C49-B49)*100</f>
        <v>-20</v>
      </c>
    </row>
    <row r="50" customFormat="false" ht="15" hidden="false" customHeight="false" outlineLevel="0" collapsed="false">
      <c r="A50" s="5" t="s">
        <v>223</v>
      </c>
      <c r="B50" s="61" t="n">
        <v>0.13</v>
      </c>
      <c r="C50" s="61" t="n">
        <v>0.27</v>
      </c>
      <c r="D50" s="62" t="n">
        <f aca="false">(C50-B50)*100</f>
        <v>14</v>
      </c>
    </row>
    <row r="51" customFormat="false" ht="15" hidden="false" customHeight="false" outlineLevel="0" collapsed="false">
      <c r="A51" s="5" t="s">
        <v>224</v>
      </c>
      <c r="B51" s="63" t="n">
        <f aca="false">1-SUM(B48:B50)</f>
        <v>0.05</v>
      </c>
      <c r="C51" s="63" t="n">
        <f aca="false">1-SUM(C48:C50)</f>
        <v>0.0399999999999999</v>
      </c>
      <c r="D51" s="62" t="n">
        <f aca="false">(C51-B51)*100</f>
        <v>-1.00000000000001</v>
      </c>
    </row>
    <row r="52" customFormat="false" ht="15" hidden="false" customHeight="false" outlineLevel="0" collapsed="false">
      <c r="A52" s="8" t="s">
        <v>225</v>
      </c>
      <c r="B52" s="64" t="n">
        <f aca="false">B48+B49</f>
        <v>0.82</v>
      </c>
      <c r="C52" s="64" t="n">
        <f aca="false">C48+C49</f>
        <v>0.69</v>
      </c>
      <c r="D52" s="65" t="n">
        <f aca="false">(C52-B52)*100</f>
        <v>-13</v>
      </c>
    </row>
    <row r="53" customFormat="false" ht="15" hidden="false" customHeight="false" outlineLevel="0" collapsed="false">
      <c r="A53" s="2" t="s">
        <v>226</v>
      </c>
    </row>
    <row r="55" customFormat="false" ht="27.75" hidden="false" customHeight="true" outlineLevel="0" collapsed="false">
      <c r="A55" s="8" t="s">
        <v>227</v>
      </c>
      <c r="B55" s="53" t="s">
        <v>228</v>
      </c>
      <c r="C55" s="53" t="s">
        <v>229</v>
      </c>
    </row>
    <row r="56" customFormat="false" ht="15" hidden="false" customHeight="false" outlineLevel="0" collapsed="false">
      <c r="A56" s="5" t="s">
        <v>230</v>
      </c>
      <c r="B56" s="61" t="n">
        <v>0.57</v>
      </c>
      <c r="C56" s="61" t="n">
        <v>0.65</v>
      </c>
    </row>
    <row r="57" customFormat="false" ht="15" hidden="false" customHeight="false" outlineLevel="0" collapsed="false">
      <c r="A57" s="5" t="s">
        <v>231</v>
      </c>
      <c r="B57" s="61" t="n">
        <v>0.37</v>
      </c>
      <c r="C57" s="61" t="n">
        <v>0.12</v>
      </c>
    </row>
    <row r="58" customFormat="false" ht="15" hidden="false" customHeight="false" outlineLevel="0" collapsed="false">
      <c r="A58" s="5" t="s">
        <v>232</v>
      </c>
      <c r="B58" s="61" t="n">
        <v>0.25</v>
      </c>
      <c r="C58" s="61" t="n">
        <v>0.06</v>
      </c>
    </row>
    <row r="59" customFormat="false" ht="15" hidden="false" customHeight="false" outlineLevel="0" collapsed="false">
      <c r="A59" s="5" t="s">
        <v>233</v>
      </c>
      <c r="B59" s="61" t="n">
        <v>0.17</v>
      </c>
      <c r="C59" s="61" t="n">
        <v>0.03</v>
      </c>
    </row>
    <row r="60" customFormat="false" ht="15" hidden="false" customHeight="false" outlineLevel="0" collapsed="false">
      <c r="A60" s="5" t="s">
        <v>234</v>
      </c>
      <c r="B60" s="61" t="n">
        <v>0.12</v>
      </c>
      <c r="C60" s="61" t="n">
        <v>0.09</v>
      </c>
    </row>
    <row r="61" customFormat="false" ht="15" hidden="false" customHeight="false" outlineLevel="0" collapsed="false">
      <c r="A61" s="48" t="s">
        <v>235</v>
      </c>
      <c r="B61" s="66" t="n">
        <v>0.12</v>
      </c>
      <c r="C61" s="66" t="n">
        <v>0.03</v>
      </c>
    </row>
    <row r="62" customFormat="false" ht="15" hidden="false" customHeight="false" outlineLevel="0" collapsed="false">
      <c r="A62" s="2" t="s">
        <v>236</v>
      </c>
    </row>
    <row r="64" customFormat="false" ht="15" hidden="false" customHeight="false" outlineLevel="0" collapsed="false">
      <c r="A64" s="3" t="s">
        <v>237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5" t="s">
        <v>238</v>
      </c>
      <c r="C65" s="42" t="n">
        <f aca="false">'Q3 Base case'!$C$57</f>
        <v>1731.47517591971</v>
      </c>
    </row>
    <row r="66" customFormat="false" ht="15" hidden="false" customHeight="false" outlineLevel="0" collapsed="false">
      <c r="A66" s="5" t="s">
        <v>239</v>
      </c>
      <c r="C66" s="42" t="n">
        <f aca="false">'Q3 Base case'!$C$58</f>
        <v>1845.49373575418</v>
      </c>
    </row>
    <row r="67" customFormat="false" ht="15" hidden="false" customHeight="false" outlineLevel="0" collapsed="false">
      <c r="A67" s="5" t="s">
        <v>240</v>
      </c>
      <c r="C67" s="36" t="n">
        <f aca="false">'Q3 Base case'!$C$60</f>
        <v>0.484062125971747</v>
      </c>
    </row>
    <row r="68" customFormat="false" ht="15" hidden="false" customHeight="false" outlineLevel="0" collapsed="false">
      <c r="A68" s="5" t="s">
        <v>241</v>
      </c>
      <c r="C68" s="44" t="n">
        <f aca="false">'Q3 Base case'!$C$62</f>
        <v>8</v>
      </c>
    </row>
    <row r="69" customFormat="false" ht="15" hidden="false" customHeight="false" outlineLevel="0" collapsed="false">
      <c r="A69" s="5" t="s">
        <v>242</v>
      </c>
      <c r="C69" s="42" t="n">
        <f aca="false">'Q3 Base case'!$C$16</f>
        <v>300</v>
      </c>
    </row>
    <row r="70" customFormat="false" ht="15" hidden="false" customHeight="false" outlineLevel="0" collapsed="false">
      <c r="A70" s="48" t="s">
        <v>243</v>
      </c>
      <c r="B70" s="49"/>
      <c r="C70" s="67" t="n">
        <f aca="false">'Q3 Base case'!$C$16/40</f>
        <v>7.5</v>
      </c>
      <c r="D70" s="51" t="s">
        <v>244</v>
      </c>
    </row>
    <row r="72" customFormat="false" ht="15" hidden="false" customHeight="false" outlineLevel="0" collapsed="false">
      <c r="A72" s="38" t="s">
        <v>245</v>
      </c>
    </row>
    <row r="73" customFormat="false" ht="15" hidden="false" customHeight="false" outlineLevel="0" collapsed="false">
      <c r="A73" s="8" t="s">
        <v>246</v>
      </c>
      <c r="B73" s="60" t="s">
        <v>143</v>
      </c>
      <c r="C73" s="60" t="s">
        <v>247</v>
      </c>
      <c r="D73" s="60" t="s">
        <v>248</v>
      </c>
      <c r="E73" s="60" t="s">
        <v>249</v>
      </c>
    </row>
    <row r="74" customFormat="false" ht="15" hidden="false" customHeight="false" outlineLevel="0" collapsed="false">
      <c r="A74" s="68" t="n">
        <f aca="false">Engine!$I$21</f>
        <v>0</v>
      </c>
      <c r="B74" s="35" t="n">
        <f aca="false">Engine!$K$21</f>
        <v>-0.0287406320352517</v>
      </c>
      <c r="C74" s="47" t="n">
        <f aca="false">Engine!$Q$21</f>
        <v>1731.47517591971</v>
      </c>
      <c r="D74" s="47" t="n">
        <f aca="false">Engine!$R$21</f>
        <v>0</v>
      </c>
      <c r="E74" s="32" t="n">
        <f aca="false">IF(C74+D74=0,0,C74/(C74+D74))</f>
        <v>1</v>
      </c>
    </row>
    <row r="75" customFormat="false" ht="15" hidden="false" customHeight="false" outlineLevel="0" collapsed="false">
      <c r="A75" s="68" t="n">
        <f aca="false">Engine!$I$31</f>
        <v>0.1</v>
      </c>
      <c r="B75" s="35" t="n">
        <f aca="false">Engine!$K$31</f>
        <v>0.0641907883459574</v>
      </c>
      <c r="C75" s="47" t="n">
        <f aca="false">Engine!$Q$31</f>
        <v>1731.47517591971</v>
      </c>
      <c r="D75" s="47" t="n">
        <f aca="false">Engine!$R$31</f>
        <v>533.265583504789</v>
      </c>
      <c r="E75" s="32" t="n">
        <f aca="false">IF(C75+D75=0,0,C75/(C75+D75))</f>
        <v>0.76453570622348</v>
      </c>
    </row>
    <row r="76" customFormat="false" ht="15" hidden="false" customHeight="false" outlineLevel="0" collapsed="false">
      <c r="A76" s="68" t="n">
        <f aca="false">Engine!$I$41</f>
        <v>0.2</v>
      </c>
      <c r="B76" s="35" t="n">
        <f aca="false">Engine!$K$41</f>
        <v>0.15722559423369</v>
      </c>
      <c r="C76" s="47" t="n">
        <f aca="false">Engine!$Q$41</f>
        <v>1731.47517591971</v>
      </c>
      <c r="D76" s="47" t="n">
        <f aca="false">Engine!$R$41</f>
        <v>1845.49373575418</v>
      </c>
      <c r="E76" s="32" t="n">
        <f aca="false">IF(C76+D76=0,0,C76/(C76+D76))</f>
        <v>0.484062125971747</v>
      </c>
    </row>
    <row r="77" customFormat="false" ht="15" hidden="false" customHeight="false" outlineLevel="0" collapsed="false">
      <c r="A77" s="69" t="n">
        <f aca="false">Engine!$I$51</f>
        <v>0.3</v>
      </c>
      <c r="B77" s="70" t="n">
        <f aca="false">Engine!$K$51</f>
        <v>0.251645670816069</v>
      </c>
      <c r="C77" s="50" t="n">
        <f aca="false">Engine!$Q$51</f>
        <v>1731.47517591971</v>
      </c>
      <c r="D77" s="50" t="n">
        <f aca="false">Engine!$R$51</f>
        <v>4215.69962553358</v>
      </c>
      <c r="E77" s="58" t="n">
        <f aca="false">IF(C77+D77=0,0,C77/(C77+D77))</f>
        <v>0.291142472472239</v>
      </c>
    </row>
    <row r="78" customFormat="false" ht="15" hidden="false" customHeight="false" outlineLevel="0" collapsed="false">
      <c r="A78" s="2" t="s">
        <v>250</v>
      </c>
    </row>
    <row r="79" customFormat="false" ht="15" hidden="false" customHeight="false" outlineLevel="0" collapsed="false">
      <c r="A79" s="2" t="s">
        <v>251</v>
      </c>
    </row>
    <row r="81" customFormat="false" ht="15" hidden="false" customHeight="false" outlineLevel="0" collapsed="false">
      <c r="A81" s="3" t="s">
        <v>252</v>
      </c>
      <c r="B81" s="4"/>
      <c r="C81" s="4"/>
      <c r="D81" s="4"/>
      <c r="E81" s="4"/>
      <c r="F81" s="4"/>
      <c r="G81" s="4"/>
      <c r="H81" s="4"/>
    </row>
    <row r="82" customFormat="false" ht="15" hidden="false" customHeight="false" outlineLevel="0" collapsed="false">
      <c r="A82" s="5" t="str">
        <f aca="false">"The fee cut costs TPG about $"&amp;TEXT(C10,"#,##0")&amp;"m a year on TPG VI; even if every LP cut 10%, fee income falls by $"&amp;TEXT(C14,"#,##0")&amp;"m a year — roughly "&amp;TEXT(C17,"0%")&amp;" of TPG's firm-wide fee base."</f>
        <v>The fee cut costs TPG about $30m a year on TPG VI; even if every LP cut 10%, fee income falls by $56m a year — roughly 8% of TPG's firm-wide fee base.</v>
      </c>
    </row>
    <row r="83" customFormat="false" ht="15" hidden="false" customHeight="false" outlineLevel="0" collapsed="false">
      <c r="A83" s="5" t="str">
        <f aca="false">"2008 fundraising was a record $"&amp;TEXT(B27,"#,##0")&amp;"bn but the number of funds closed fell "&amp;TEXT(-F27,"0%")&amp;"; IPO proceeds collapsed "&amp;TEXT(-C43,"0%")&amp;" and TPG VI lost $"&amp;TEXT(C38,"#,##0")&amp;"m on WaMu ("&amp;TEXT(C39,"0.0%")&amp;" of the fund)."</f>
        <v>2008 fundraising was a record $314bn but the number of funds closed fell 20%; IPO proceeds collapsed 86% and TPG VI lost $437m on WaMu (2.2% of the fund).</v>
      </c>
    </row>
    <row r="84" customFormat="false" ht="15" hidden="false" customHeight="false" outlineLevel="0" collapsed="false">
      <c r="A84" s="5" t="str">
        <f aca="false">"Under current terms "&amp;TEXT(C67,"0%")&amp;" of TPG's compensation (PV) is fees it receives in every outcome; carry does not start until Year "&amp;C68&amp;"."</f>
        <v>Under current terms 48% of TPG's compensation (PV) is fees it receives in every outcome; carry does not start until Year 8.</v>
      </c>
    </row>
    <row r="85" customFormat="false" ht="15" hidden="false" customHeight="false" outlineLevel="0" collapsed="false">
      <c r="A85" s="5" t="str">
        <f aca="false">"LP satisfaction fell from "&amp;TEXT(B49,"0%")&amp;" to "&amp;TEXT(C49,"0%")&amp;" in eight months; "&amp;TEXT(B56,"0%")&amp;" of LPs named management fees as needing improvement, only "&amp;TEXT(B60,"0%")&amp;" named the hurdle."</f>
        <v>LP satisfaction fell from 76% to 56% in eight months; 57% of LPs named management fees as needing improvement, only 12% named the hurdle.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2" min="2" style="0" width="9.7"/>
  </cols>
  <sheetData>
    <row r="1" customFormat="false" ht="15" hidden="false" customHeight="false" outlineLevel="0" collapsed="false">
      <c r="A1" s="71" t="s">
        <v>253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customFormat="false" ht="15" hidden="false" customHeight="false" outlineLevel="0" collapsed="false">
      <c r="B2" s="72" t="s">
        <v>254</v>
      </c>
      <c r="C2" s="73" t="n">
        <f aca="false">Inputs!$C$6</f>
        <v>20000</v>
      </c>
      <c r="E2" s="72" t="s">
        <v>255</v>
      </c>
      <c r="F2" s="74" t="n">
        <f aca="false">Inputs!$C$8</f>
        <v>0.2</v>
      </c>
      <c r="H2" s="72" t="s">
        <v>256</v>
      </c>
      <c r="I2" s="75" t="n">
        <v>0</v>
      </c>
    </row>
    <row r="3" customFormat="false" ht="15" hidden="false" customHeight="false" outlineLevel="0" collapsed="false">
      <c r="B3" s="72" t="s">
        <v>257</v>
      </c>
      <c r="C3" s="76" t="n">
        <f aca="false">Inputs!$C$18</f>
        <v>0.015</v>
      </c>
      <c r="E3" s="72" t="s">
        <v>258</v>
      </c>
      <c r="F3" s="74" t="n">
        <f aca="false">Inputs!$C$9</f>
        <v>0.15</v>
      </c>
      <c r="H3" s="72" t="s">
        <v>259</v>
      </c>
      <c r="I3" s="77" t="n">
        <v>0</v>
      </c>
    </row>
    <row r="4" customFormat="false" ht="15" hidden="false" customHeight="false" outlineLevel="0" collapsed="false">
      <c r="B4" s="72" t="s">
        <v>260</v>
      </c>
      <c r="C4" s="78" t="n">
        <f aca="false">1-F4</f>
        <v>0.8</v>
      </c>
      <c r="E4" s="72" t="s">
        <v>261</v>
      </c>
      <c r="F4" s="74" t="n">
        <f aca="false">Inputs!$C$20</f>
        <v>0.2</v>
      </c>
      <c r="H4" s="72" t="s">
        <v>262</v>
      </c>
      <c r="I4" s="73" t="n">
        <f aca="false">Inputs!$C$26</f>
        <v>750</v>
      </c>
    </row>
    <row r="6" customFormat="false" ht="15" hidden="false" customHeight="false" outlineLevel="0" collapsed="false">
      <c r="A6" s="79" t="str">
        <f aca="false">"Scenario: "&amp;"Current LPA terms — "&amp;TEXT(C3,"0.00%")&amp;" fee on committed capital, "&amp;TEXT(F4,"0%")&amp;" carry, "&amp;IF(I2=0,"no hurdle",TEXT(I2,"0%")&amp;" hurdle"&amp;IF(I3=1," with 100% GP catch-up (soft)"," with no catch-up (hard)"))</f>
        <v>Scenario: Current LPA terms — 1.50% fee on committed capital, 20% carry, no hurdle</v>
      </c>
      <c r="J6" s="2" t="s">
        <v>263</v>
      </c>
    </row>
    <row r="8" customFormat="false" ht="15" hidden="false" customHeight="false" outlineLevel="0" collapsed="false">
      <c r="A8" s="33" t="s">
        <v>91</v>
      </c>
      <c r="B8" s="80" t="n">
        <v>0</v>
      </c>
      <c r="C8" s="81" t="n">
        <v>1</v>
      </c>
      <c r="D8" s="81" t="n">
        <v>2</v>
      </c>
      <c r="E8" s="81" t="n">
        <v>3</v>
      </c>
      <c r="F8" s="81" t="n">
        <v>4</v>
      </c>
      <c r="G8" s="81" t="n">
        <v>5</v>
      </c>
      <c r="H8" s="81" t="n">
        <v>6</v>
      </c>
      <c r="I8" s="81" t="n">
        <v>7</v>
      </c>
      <c r="J8" s="81" t="n">
        <v>8</v>
      </c>
      <c r="K8" s="81" t="n">
        <v>9</v>
      </c>
      <c r="L8" s="81" t="n">
        <v>10</v>
      </c>
    </row>
    <row r="9" customFormat="false" ht="15" hidden="false" customHeight="false" outlineLevel="0" collapsed="false">
      <c r="A9" s="82" t="s">
        <v>264</v>
      </c>
    </row>
    <row r="10" customFormat="false" ht="15" hidden="false" customHeight="false" outlineLevel="0" collapsed="false">
      <c r="A10" s="5" t="s">
        <v>265</v>
      </c>
      <c r="C10" s="83" t="n">
        <f aca="false">Inputs!C$13</f>
        <v>0.2</v>
      </c>
      <c r="D10" s="83" t="n">
        <f aca="false">Inputs!D$13</f>
        <v>0.2</v>
      </c>
      <c r="E10" s="83" t="n">
        <f aca="false">Inputs!E$13</f>
        <v>0.2</v>
      </c>
      <c r="F10" s="83" t="n">
        <f aca="false">Inputs!F$13</f>
        <v>0.2</v>
      </c>
      <c r="G10" s="83" t="n">
        <f aca="false">Inputs!G$13</f>
        <v>0.2</v>
      </c>
      <c r="H10" s="83" t="n">
        <f aca="false">Inputs!H$13</f>
        <v>0</v>
      </c>
      <c r="I10" s="83" t="n">
        <f aca="false">Inputs!I$13</f>
        <v>0</v>
      </c>
      <c r="J10" s="83" t="n">
        <f aca="false">Inputs!J$13</f>
        <v>0</v>
      </c>
      <c r="K10" s="83" t="n">
        <f aca="false">Inputs!K$13</f>
        <v>0</v>
      </c>
      <c r="L10" s="83" t="n">
        <f aca="false">Inputs!L$13</f>
        <v>0</v>
      </c>
    </row>
    <row r="11" customFormat="false" ht="15" hidden="false" customHeight="false" outlineLevel="0" collapsed="false">
      <c r="A11" s="5" t="s">
        <v>266</v>
      </c>
      <c r="C11" s="83" t="n">
        <f aca="false">Inputs!C$14</f>
        <v>0</v>
      </c>
      <c r="D11" s="83" t="n">
        <f aca="false">Inputs!D$14</f>
        <v>0</v>
      </c>
      <c r="E11" s="83" t="n">
        <f aca="false">Inputs!E$14</f>
        <v>0</v>
      </c>
      <c r="F11" s="83" t="n">
        <f aca="false">Inputs!F$14</f>
        <v>0</v>
      </c>
      <c r="G11" s="83" t="n">
        <f aca="false">Inputs!G$14</f>
        <v>0.2</v>
      </c>
      <c r="H11" s="83" t="n">
        <f aca="false">Inputs!H$14</f>
        <v>0.2</v>
      </c>
      <c r="I11" s="83" t="n">
        <f aca="false">Inputs!I$14</f>
        <v>0.2</v>
      </c>
      <c r="J11" s="83" t="n">
        <f aca="false">Inputs!J$14</f>
        <v>0.2</v>
      </c>
      <c r="K11" s="83" t="n">
        <f aca="false">Inputs!K$14</f>
        <v>0.2</v>
      </c>
      <c r="L11" s="83" t="n">
        <f aca="false">Inputs!L$14</f>
        <v>1</v>
      </c>
    </row>
    <row r="13" customFormat="false" ht="15" hidden="false" customHeight="false" outlineLevel="0" collapsed="false">
      <c r="A13" s="3" t="s">
        <v>267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5" t="s">
        <v>268</v>
      </c>
      <c r="C14" s="84" t="n">
        <f aca="false">B24</f>
        <v>0</v>
      </c>
      <c r="D14" s="84" t="n">
        <f aca="false">C24</f>
        <v>4440</v>
      </c>
      <c r="E14" s="84" t="n">
        <f aca="false">D24</f>
        <v>9768</v>
      </c>
      <c r="F14" s="84" t="n">
        <f aca="false">E24</f>
        <v>16161.6</v>
      </c>
      <c r="G14" s="84" t="n">
        <f aca="false">F24</f>
        <v>23833.92</v>
      </c>
      <c r="H14" s="84" t="n">
        <f aca="false">G24</f>
        <v>26432.5632</v>
      </c>
      <c r="I14" s="84" t="n">
        <f aca="false">H24</f>
        <v>25087.260672</v>
      </c>
      <c r="J14" s="84" t="n">
        <f aca="false">I24</f>
        <v>23795.77024512</v>
      </c>
      <c r="K14" s="84" t="n">
        <f aca="false">J24</f>
        <v>22555.9394353152</v>
      </c>
      <c r="L14" s="84" t="n">
        <f aca="false">K24</f>
        <v>21365.7018579026</v>
      </c>
    </row>
    <row r="15" customFormat="false" ht="15" hidden="false" customHeight="false" outlineLevel="0" collapsed="false">
      <c r="A15" s="5" t="s">
        <v>269</v>
      </c>
      <c r="C15" s="84" t="n">
        <f aca="false">$C$2*C10</f>
        <v>4000</v>
      </c>
      <c r="D15" s="84" t="n">
        <f aca="false">$C$2*D10</f>
        <v>4000</v>
      </c>
      <c r="E15" s="84" t="n">
        <f aca="false">$C$2*E10</f>
        <v>4000</v>
      </c>
      <c r="F15" s="84" t="n">
        <f aca="false">$C$2*F10</f>
        <v>4000</v>
      </c>
      <c r="G15" s="84" t="n">
        <f aca="false">$C$2*G10</f>
        <v>4000</v>
      </c>
      <c r="H15" s="84" t="n">
        <f aca="false">$C$2*H10</f>
        <v>0</v>
      </c>
      <c r="I15" s="84" t="n">
        <f aca="false">$C$2*I10</f>
        <v>0</v>
      </c>
      <c r="J15" s="84" t="n">
        <f aca="false">$C$2*J10</f>
        <v>0</v>
      </c>
      <c r="K15" s="84" t="n">
        <f aca="false">$C$2*K10</f>
        <v>0</v>
      </c>
      <c r="L15" s="84" t="n">
        <f aca="false">$C$2*L10</f>
        <v>0</v>
      </c>
    </row>
    <row r="16" customFormat="false" ht="15" hidden="false" customHeight="false" outlineLevel="0" collapsed="false">
      <c r="A16" s="5" t="s">
        <v>270</v>
      </c>
      <c r="C16" s="84" t="n">
        <f aca="false">$C$2*$C$3</f>
        <v>300</v>
      </c>
      <c r="D16" s="84" t="n">
        <f aca="false">$C$2*$C$3</f>
        <v>300</v>
      </c>
      <c r="E16" s="84" t="n">
        <f aca="false">$C$2*$C$3</f>
        <v>300</v>
      </c>
      <c r="F16" s="84" t="n">
        <f aca="false">$C$2*$C$3</f>
        <v>300</v>
      </c>
      <c r="G16" s="84" t="n">
        <f aca="false">$C$2*$C$3</f>
        <v>300</v>
      </c>
      <c r="H16" s="84" t="n">
        <f aca="false">$C$2*$C$3</f>
        <v>300</v>
      </c>
      <c r="I16" s="84" t="n">
        <f aca="false">$C$2*$C$3</f>
        <v>300</v>
      </c>
      <c r="J16" s="84" t="n">
        <f aca="false">$C$2*$C$3</f>
        <v>300</v>
      </c>
      <c r="K16" s="84" t="n">
        <f aca="false">$C$2*$C$3</f>
        <v>300</v>
      </c>
      <c r="L16" s="84" t="n">
        <f aca="false">$C$2*$C$3</f>
        <v>300</v>
      </c>
    </row>
    <row r="17" customFormat="false" ht="15" hidden="false" customHeight="false" outlineLevel="0" collapsed="false">
      <c r="A17" s="5" t="s">
        <v>271</v>
      </c>
      <c r="C17" s="84" t="n">
        <f aca="false">C14+C15-C16</f>
        <v>3700</v>
      </c>
      <c r="D17" s="84" t="n">
        <f aca="false">D14+D15-D16</f>
        <v>8140</v>
      </c>
      <c r="E17" s="84" t="n">
        <f aca="false">E14+E15-E16</f>
        <v>13468</v>
      </c>
      <c r="F17" s="84" t="n">
        <f aca="false">F14+F15-F16</f>
        <v>19861.6</v>
      </c>
      <c r="G17" s="84" t="n">
        <f aca="false">G14+G15-G16</f>
        <v>27533.92</v>
      </c>
      <c r="H17" s="84" t="n">
        <f aca="false">H14+H15-H16</f>
        <v>26132.5632</v>
      </c>
      <c r="I17" s="84" t="n">
        <f aca="false">I14+I15-I16</f>
        <v>24787.260672</v>
      </c>
      <c r="J17" s="84" t="n">
        <f aca="false">J14+J15-J16</f>
        <v>23495.77024512</v>
      </c>
      <c r="K17" s="84" t="n">
        <f aca="false">K14+K15-K16</f>
        <v>22255.9394353152</v>
      </c>
      <c r="L17" s="84" t="n">
        <f aca="false">L14+L15-L16</f>
        <v>21065.7018579026</v>
      </c>
    </row>
    <row r="19" customFormat="false" ht="15" hidden="false" customHeight="false" outlineLevel="0" collapsed="false">
      <c r="A19" s="3" t="s">
        <v>272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5" t="s">
        <v>273</v>
      </c>
      <c r="C20" s="84" t="n">
        <f aca="false">C17*$F$2</f>
        <v>740</v>
      </c>
      <c r="D20" s="84" t="n">
        <f aca="false">D17*$F$2</f>
        <v>1628</v>
      </c>
      <c r="E20" s="84" t="n">
        <f aca="false">E17*$F$2</f>
        <v>2693.6</v>
      </c>
      <c r="F20" s="84" t="n">
        <f aca="false">F17*$F$2</f>
        <v>3972.32</v>
      </c>
      <c r="G20" s="84" t="n">
        <f aca="false">G17*$F$2</f>
        <v>5506.784</v>
      </c>
      <c r="H20" s="84" t="n">
        <f aca="false">H17*$F$2</f>
        <v>5226.51264</v>
      </c>
      <c r="I20" s="84" t="n">
        <f aca="false">I17*$F$2</f>
        <v>4957.4521344</v>
      </c>
      <c r="J20" s="84" t="n">
        <f aca="false">J17*$F$2</f>
        <v>4699.154049024</v>
      </c>
      <c r="K20" s="84" t="n">
        <f aca="false">K17*$F$2</f>
        <v>4451.18788706304</v>
      </c>
      <c r="L20" s="84" t="n">
        <f aca="false">L17*$F$2</f>
        <v>4213.14037158052</v>
      </c>
    </row>
    <row r="21" customFormat="false" ht="15" hidden="false" customHeight="false" outlineLevel="0" collapsed="false">
      <c r="A21" s="5" t="s">
        <v>274</v>
      </c>
      <c r="C21" s="84" t="n">
        <f aca="false">C17+C20</f>
        <v>4440</v>
      </c>
      <c r="D21" s="84" t="n">
        <f aca="false">D17+D20</f>
        <v>9768</v>
      </c>
      <c r="E21" s="84" t="n">
        <f aca="false">E17+E20</f>
        <v>16161.6</v>
      </c>
      <c r="F21" s="84" t="n">
        <f aca="false">F17+F20</f>
        <v>23833.92</v>
      </c>
      <c r="G21" s="84" t="n">
        <f aca="false">G17+G20</f>
        <v>33040.704</v>
      </c>
      <c r="H21" s="84" t="n">
        <f aca="false">H17+H20</f>
        <v>31359.07584</v>
      </c>
      <c r="I21" s="84" t="n">
        <f aca="false">I17+I20</f>
        <v>29744.7128064</v>
      </c>
      <c r="J21" s="84" t="n">
        <f aca="false">J17+J20</f>
        <v>28194.924294144</v>
      </c>
      <c r="K21" s="84" t="n">
        <f aca="false">K17+K20</f>
        <v>26707.1273223782</v>
      </c>
      <c r="L21" s="84" t="n">
        <f aca="false">L17+L20</f>
        <v>25278.8422294831</v>
      </c>
    </row>
    <row r="23" customFormat="false" ht="15" hidden="false" customHeight="false" outlineLevel="0" collapsed="false">
      <c r="A23" s="5" t="s">
        <v>275</v>
      </c>
      <c r="C23" s="84" t="n">
        <f aca="false">C21*C11</f>
        <v>0</v>
      </c>
      <c r="D23" s="84" t="n">
        <f aca="false">D21*D11</f>
        <v>0</v>
      </c>
      <c r="E23" s="84" t="n">
        <f aca="false">E21*E11</f>
        <v>0</v>
      </c>
      <c r="F23" s="84" t="n">
        <f aca="false">F21*F11</f>
        <v>0</v>
      </c>
      <c r="G23" s="84" t="n">
        <f aca="false">G21*G11</f>
        <v>6608.1408</v>
      </c>
      <c r="H23" s="84" t="n">
        <f aca="false">H21*H11</f>
        <v>6271.815168</v>
      </c>
      <c r="I23" s="84" t="n">
        <f aca="false">I21*I11</f>
        <v>5948.94256128</v>
      </c>
      <c r="J23" s="84" t="n">
        <f aca="false">J21*J11</f>
        <v>5638.9848588288</v>
      </c>
      <c r="K23" s="84" t="n">
        <f aca="false">K21*K11</f>
        <v>5341.42546447565</v>
      </c>
      <c r="L23" s="84" t="n">
        <f aca="false">L21*L11</f>
        <v>25278.8422294831</v>
      </c>
    </row>
    <row r="24" customFormat="false" ht="15" hidden="false" customHeight="false" outlineLevel="0" collapsed="false">
      <c r="A24" s="48" t="s">
        <v>276</v>
      </c>
      <c r="B24" s="49"/>
      <c r="C24" s="85" t="n">
        <f aca="false">C21-C23</f>
        <v>4440</v>
      </c>
      <c r="D24" s="85" t="n">
        <f aca="false">D21-D23</f>
        <v>9768</v>
      </c>
      <c r="E24" s="85" t="n">
        <f aca="false">E21-E23</f>
        <v>16161.6</v>
      </c>
      <c r="F24" s="85" t="n">
        <f aca="false">F21-F23</f>
        <v>23833.92</v>
      </c>
      <c r="G24" s="85" t="n">
        <f aca="false">G21-G23</f>
        <v>26432.5632</v>
      </c>
      <c r="H24" s="85" t="n">
        <f aca="false">H21-H23</f>
        <v>25087.260672</v>
      </c>
      <c r="I24" s="85" t="n">
        <f aca="false">I21-I23</f>
        <v>23795.77024512</v>
      </c>
      <c r="J24" s="85" t="n">
        <f aca="false">J21-J23</f>
        <v>22555.9394353152</v>
      </c>
      <c r="K24" s="85" t="n">
        <f aca="false">K21-K23</f>
        <v>21365.7018579026</v>
      </c>
      <c r="L24" s="85" t="n">
        <f aca="false">L21-L23</f>
        <v>0</v>
      </c>
    </row>
    <row r="26" customFormat="false" ht="15" hidden="false" customHeight="false" outlineLevel="0" collapsed="false">
      <c r="A26" s="3" t="s">
        <v>277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5" t="s">
        <v>278</v>
      </c>
      <c r="C27" s="84" t="n">
        <f aca="false">B29+C15</f>
        <v>4000</v>
      </c>
      <c r="D27" s="84" t="n">
        <f aca="false">C29+D15</f>
        <v>8000</v>
      </c>
      <c r="E27" s="84" t="n">
        <f aca="false">D29+E15</f>
        <v>12000</v>
      </c>
      <c r="F27" s="84" t="n">
        <f aca="false">E29+F15</f>
        <v>16000</v>
      </c>
      <c r="G27" s="84" t="n">
        <f aca="false">F29+G15</f>
        <v>20000</v>
      </c>
      <c r="H27" s="84" t="n">
        <f aca="false">G29+H15</f>
        <v>13391.8592</v>
      </c>
      <c r="I27" s="84" t="n">
        <f aca="false">H29+I15</f>
        <v>7120.044032</v>
      </c>
      <c r="J27" s="84" t="n">
        <f aca="false">I29+J15</f>
        <v>1171.10147072</v>
      </c>
      <c r="K27" s="84" t="n">
        <f aca="false">J29+K15</f>
        <v>0</v>
      </c>
      <c r="L27" s="84" t="n">
        <f aca="false">K29+L15</f>
        <v>0</v>
      </c>
    </row>
    <row r="28" customFormat="false" ht="15" hidden="false" customHeight="false" outlineLevel="0" collapsed="false">
      <c r="A28" s="5" t="s">
        <v>279</v>
      </c>
      <c r="C28" s="84" t="n">
        <f aca="false">MIN(C23,C27)</f>
        <v>0</v>
      </c>
      <c r="D28" s="84" t="n">
        <f aca="false">MIN(D23,D27)</f>
        <v>0</v>
      </c>
      <c r="E28" s="84" t="n">
        <f aca="false">MIN(E23,E27)</f>
        <v>0</v>
      </c>
      <c r="F28" s="84" t="n">
        <f aca="false">MIN(F23,F27)</f>
        <v>0</v>
      </c>
      <c r="G28" s="84" t="n">
        <f aca="false">MIN(G23,G27)</f>
        <v>6608.1408</v>
      </c>
      <c r="H28" s="84" t="n">
        <f aca="false">MIN(H23,H27)</f>
        <v>6271.815168</v>
      </c>
      <c r="I28" s="84" t="n">
        <f aca="false">MIN(I23,I27)</f>
        <v>5948.94256128</v>
      </c>
      <c r="J28" s="84" t="n">
        <f aca="false">MIN(J23,J27)</f>
        <v>1171.10147072</v>
      </c>
      <c r="K28" s="84" t="n">
        <f aca="false">MIN(K23,K27)</f>
        <v>0</v>
      </c>
      <c r="L28" s="84" t="n">
        <f aca="false">MIN(L23,L27)</f>
        <v>0</v>
      </c>
    </row>
    <row r="29" customFormat="false" ht="15" hidden="false" customHeight="false" outlineLevel="0" collapsed="false">
      <c r="A29" s="5" t="s">
        <v>280</v>
      </c>
      <c r="C29" s="84" t="n">
        <f aca="false">C27-C28</f>
        <v>4000</v>
      </c>
      <c r="D29" s="84" t="n">
        <f aca="false">D27-D28</f>
        <v>8000</v>
      </c>
      <c r="E29" s="84" t="n">
        <f aca="false">E27-E28</f>
        <v>12000</v>
      </c>
      <c r="F29" s="84" t="n">
        <f aca="false">F27-F28</f>
        <v>16000</v>
      </c>
      <c r="G29" s="84" t="n">
        <f aca="false">G27-G28</f>
        <v>13391.8592</v>
      </c>
      <c r="H29" s="84" t="n">
        <f aca="false">H27-H28</f>
        <v>7120.044032</v>
      </c>
      <c r="I29" s="84" t="n">
        <f aca="false">I27-I28</f>
        <v>1171.10147072</v>
      </c>
      <c r="J29" s="84" t="n">
        <f aca="false">J27-J28</f>
        <v>0</v>
      </c>
      <c r="K29" s="84" t="n">
        <f aca="false">K27-K28</f>
        <v>0</v>
      </c>
      <c r="L29" s="84" t="n">
        <f aca="false">L27-L28</f>
        <v>0</v>
      </c>
    </row>
    <row r="30" customFormat="false" ht="15" hidden="false" customHeight="false" outlineLevel="0" collapsed="false">
      <c r="A30" s="5" t="s">
        <v>281</v>
      </c>
      <c r="C30" s="84" t="n">
        <f aca="false">B32+$I$2*(C27+B32)</f>
        <v>0</v>
      </c>
      <c r="D30" s="84" t="n">
        <f aca="false">C32+$I$2*(D27+C32)</f>
        <v>0</v>
      </c>
      <c r="E30" s="84" t="n">
        <f aca="false">D32+$I$2*(E27+D32)</f>
        <v>0</v>
      </c>
      <c r="F30" s="84" t="n">
        <f aca="false">E32+$I$2*(F27+E32)</f>
        <v>0</v>
      </c>
      <c r="G30" s="84" t="n">
        <f aca="false">F32+$I$2*(G27+F32)</f>
        <v>0</v>
      </c>
      <c r="H30" s="84" t="n">
        <f aca="false">G32+$I$2*(H27+G32)</f>
        <v>0</v>
      </c>
      <c r="I30" s="84" t="n">
        <f aca="false">H32+$I$2*(I27+H32)</f>
        <v>0</v>
      </c>
      <c r="J30" s="84" t="n">
        <f aca="false">I32+$I$2*(J27+I32)</f>
        <v>0</v>
      </c>
      <c r="K30" s="84" t="n">
        <f aca="false">J32+$I$2*(K27+J32)</f>
        <v>0</v>
      </c>
      <c r="L30" s="84" t="n">
        <f aca="false">K32+$I$2*(L27+K32)</f>
        <v>0</v>
      </c>
    </row>
    <row r="31" customFormat="false" ht="15" hidden="false" customHeight="false" outlineLevel="0" collapsed="false">
      <c r="A31" s="5" t="s">
        <v>282</v>
      </c>
      <c r="C31" s="84" t="n">
        <f aca="false">MIN(C23-C28,C30)</f>
        <v>0</v>
      </c>
      <c r="D31" s="84" t="n">
        <f aca="false">MIN(D23-D28,D30)</f>
        <v>0</v>
      </c>
      <c r="E31" s="84" t="n">
        <f aca="false">MIN(E23-E28,E30)</f>
        <v>0</v>
      </c>
      <c r="F31" s="84" t="n">
        <f aca="false">MIN(F23-F28,F30)</f>
        <v>0</v>
      </c>
      <c r="G31" s="84" t="n">
        <f aca="false">MIN(G23-G28,G30)</f>
        <v>0</v>
      </c>
      <c r="H31" s="84" t="n">
        <f aca="false">MIN(H23-H28,H30)</f>
        <v>0</v>
      </c>
      <c r="I31" s="84" t="n">
        <f aca="false">MIN(I23-I28,I30)</f>
        <v>0</v>
      </c>
      <c r="J31" s="84" t="n">
        <f aca="false">MIN(J23-J28,J30)</f>
        <v>0</v>
      </c>
      <c r="K31" s="84" t="n">
        <f aca="false">MIN(K23-K28,K30)</f>
        <v>0</v>
      </c>
      <c r="L31" s="84" t="n">
        <f aca="false">MIN(L23-L28,L30)</f>
        <v>0</v>
      </c>
    </row>
    <row r="32" customFormat="false" ht="15" hidden="false" customHeight="false" outlineLevel="0" collapsed="false">
      <c r="A32" s="5" t="s">
        <v>283</v>
      </c>
      <c r="C32" s="84" t="n">
        <f aca="false">C30-C31</f>
        <v>0</v>
      </c>
      <c r="D32" s="84" t="n">
        <f aca="false">D30-D31</f>
        <v>0</v>
      </c>
      <c r="E32" s="84" t="n">
        <f aca="false">E30-E31</f>
        <v>0</v>
      </c>
      <c r="F32" s="84" t="n">
        <f aca="false">F30-F31</f>
        <v>0</v>
      </c>
      <c r="G32" s="84" t="n">
        <f aca="false">G30-G31</f>
        <v>0</v>
      </c>
      <c r="H32" s="84" t="n">
        <f aca="false">H30-H31</f>
        <v>0</v>
      </c>
      <c r="I32" s="84" t="n">
        <f aca="false">I30-I31</f>
        <v>0</v>
      </c>
      <c r="J32" s="84" t="n">
        <f aca="false">J30-J31</f>
        <v>0</v>
      </c>
      <c r="K32" s="84" t="n">
        <f aca="false">K30-K31</f>
        <v>0</v>
      </c>
      <c r="L32" s="84" t="n">
        <f aca="false">L30-L31</f>
        <v>0</v>
      </c>
    </row>
    <row r="33" customFormat="false" ht="15" hidden="false" customHeight="false" outlineLevel="0" collapsed="false">
      <c r="A33" s="5" t="s">
        <v>284</v>
      </c>
      <c r="C33" s="84" t="n">
        <f aca="false">IF($I$3=1,MIN(C23-C28-C31,MAX(0,$F$4/(1-$F$4)*(B37+C31)-B38)),0)</f>
        <v>0</v>
      </c>
      <c r="D33" s="84" t="n">
        <f aca="false">IF($I$3=1,MIN(D23-D28-D31,MAX(0,$F$4/(1-$F$4)*(C37+D31)-C38)),0)</f>
        <v>0</v>
      </c>
      <c r="E33" s="84" t="n">
        <f aca="false">IF($I$3=1,MIN(E23-E28-E31,MAX(0,$F$4/(1-$F$4)*(D37+E31)-D38)),0)</f>
        <v>0</v>
      </c>
      <c r="F33" s="84" t="n">
        <f aca="false">IF($I$3=1,MIN(F23-F28-F31,MAX(0,$F$4/(1-$F$4)*(E37+F31)-E38)),0)</f>
        <v>0</v>
      </c>
      <c r="G33" s="84" t="n">
        <f aca="false">IF($I$3=1,MIN(G23-G28-G31,MAX(0,$F$4/(1-$F$4)*(F37+G31)-F38)),0)</f>
        <v>0</v>
      </c>
      <c r="H33" s="84" t="n">
        <f aca="false">IF($I$3=1,MIN(H23-H28-H31,MAX(0,$F$4/(1-$F$4)*(G37+H31)-G38)),0)</f>
        <v>0</v>
      </c>
      <c r="I33" s="84" t="n">
        <f aca="false">IF($I$3=1,MIN(I23-I28-I31,MAX(0,$F$4/(1-$F$4)*(H37+I31)-H38)),0)</f>
        <v>0</v>
      </c>
      <c r="J33" s="84" t="n">
        <f aca="false">IF($I$3=1,MIN(J23-J28-J31,MAX(0,$F$4/(1-$F$4)*(I37+J31)-I38)),0)</f>
        <v>0</v>
      </c>
      <c r="K33" s="84" t="n">
        <f aca="false">IF($I$3=1,MIN(K23-K28-K31,MAX(0,$F$4/(1-$F$4)*(J37+K31)-J38)),0)</f>
        <v>0</v>
      </c>
      <c r="L33" s="84" t="n">
        <f aca="false">IF($I$3=1,MIN(L23-L28-L31,MAX(0,$F$4/(1-$F$4)*(K37+L31)-K38)),0)</f>
        <v>0</v>
      </c>
    </row>
    <row r="34" customFormat="false" ht="15" hidden="false" customHeight="false" outlineLevel="0" collapsed="false">
      <c r="A34" s="5" t="s">
        <v>285</v>
      </c>
      <c r="C34" s="84" t="n">
        <f aca="false">C23-C28-C31-C33</f>
        <v>0</v>
      </c>
      <c r="D34" s="84" t="n">
        <f aca="false">D23-D28-D31-D33</f>
        <v>0</v>
      </c>
      <c r="E34" s="84" t="n">
        <f aca="false">E23-E28-E31-E33</f>
        <v>0</v>
      </c>
      <c r="F34" s="84" t="n">
        <f aca="false">F23-F28-F31-F33</f>
        <v>0</v>
      </c>
      <c r="G34" s="84" t="n">
        <f aca="false">G23-G28-G31-G33</f>
        <v>0</v>
      </c>
      <c r="H34" s="84" t="n">
        <f aca="false">H23-H28-H31-H33</f>
        <v>0</v>
      </c>
      <c r="I34" s="84" t="n">
        <f aca="false">I23-I28-I31-I33</f>
        <v>0</v>
      </c>
      <c r="J34" s="84" t="n">
        <f aca="false">J23-J28-J31-J33</f>
        <v>4467.8833881088</v>
      </c>
      <c r="K34" s="84" t="n">
        <f aca="false">K23-K28-K31-K33</f>
        <v>5341.42546447565</v>
      </c>
      <c r="L34" s="84" t="n">
        <f aca="false">L23-L28-L31-L33</f>
        <v>25278.8422294831</v>
      </c>
    </row>
    <row r="35" customFormat="false" ht="15" hidden="false" customHeight="false" outlineLevel="0" collapsed="false">
      <c r="A35" s="38" t="s">
        <v>286</v>
      </c>
      <c r="C35" s="86" t="n">
        <f aca="false">C28+C31+$C$4*C34</f>
        <v>0</v>
      </c>
      <c r="D35" s="86" t="n">
        <f aca="false">D28+D31+$C$4*D34</f>
        <v>0</v>
      </c>
      <c r="E35" s="86" t="n">
        <f aca="false">E28+E31+$C$4*E34</f>
        <v>0</v>
      </c>
      <c r="F35" s="86" t="n">
        <f aca="false">F28+F31+$C$4*F34</f>
        <v>0</v>
      </c>
      <c r="G35" s="86" t="n">
        <f aca="false">G28+G31+$C$4*G34</f>
        <v>6608.1408</v>
      </c>
      <c r="H35" s="86" t="n">
        <f aca="false">H28+H31+$C$4*H34</f>
        <v>6271.815168</v>
      </c>
      <c r="I35" s="86" t="n">
        <f aca="false">I28+I31+$C$4*I34</f>
        <v>5948.94256128</v>
      </c>
      <c r="J35" s="86" t="n">
        <f aca="false">J28+J31+$C$4*J34</f>
        <v>4745.40818120704</v>
      </c>
      <c r="K35" s="86" t="n">
        <f aca="false">K28+K31+$C$4*K34</f>
        <v>4273.14037158052</v>
      </c>
      <c r="L35" s="86" t="n">
        <f aca="false">L28+L31+$C$4*L34</f>
        <v>20223.0737835865</v>
      </c>
    </row>
    <row r="36" customFormat="false" ht="15" hidden="false" customHeight="false" outlineLevel="0" collapsed="false">
      <c r="A36" s="38" t="s">
        <v>287</v>
      </c>
      <c r="C36" s="86" t="n">
        <f aca="false">C33+$F$4*C34</f>
        <v>0</v>
      </c>
      <c r="D36" s="86" t="n">
        <f aca="false">D33+$F$4*D34</f>
        <v>0</v>
      </c>
      <c r="E36" s="86" t="n">
        <f aca="false">E33+$F$4*E34</f>
        <v>0</v>
      </c>
      <c r="F36" s="86" t="n">
        <f aca="false">F33+$F$4*F34</f>
        <v>0</v>
      </c>
      <c r="G36" s="86" t="n">
        <f aca="false">G33+$F$4*G34</f>
        <v>0</v>
      </c>
      <c r="H36" s="86" t="n">
        <f aca="false">H33+$F$4*H34</f>
        <v>0</v>
      </c>
      <c r="I36" s="86" t="n">
        <f aca="false">I33+$F$4*I34</f>
        <v>0</v>
      </c>
      <c r="J36" s="86" t="n">
        <f aca="false">J33+$F$4*J34</f>
        <v>893.57667762176</v>
      </c>
      <c r="K36" s="86" t="n">
        <f aca="false">K33+$F$4*K34</f>
        <v>1068.28509289513</v>
      </c>
      <c r="L36" s="86" t="n">
        <f aca="false">L33+$F$4*L34</f>
        <v>5055.76844589662</v>
      </c>
    </row>
    <row r="37" customFormat="false" ht="15" hidden="false" customHeight="false" outlineLevel="0" collapsed="false">
      <c r="A37" s="5" t="s">
        <v>288</v>
      </c>
      <c r="C37" s="84" t="n">
        <f aca="false">B37+C31+$C$4*C34</f>
        <v>0</v>
      </c>
      <c r="D37" s="84" t="n">
        <f aca="false">C37+D31+$C$4*D34</f>
        <v>0</v>
      </c>
      <c r="E37" s="84" t="n">
        <f aca="false">D37+E31+$C$4*E34</f>
        <v>0</v>
      </c>
      <c r="F37" s="84" t="n">
        <f aca="false">E37+F31+$C$4*F34</f>
        <v>0</v>
      </c>
      <c r="G37" s="84" t="n">
        <f aca="false">F37+G31+$C$4*G34</f>
        <v>0</v>
      </c>
      <c r="H37" s="84" t="n">
        <f aca="false">G37+H31+$C$4*H34</f>
        <v>0</v>
      </c>
      <c r="I37" s="84" t="n">
        <f aca="false">H37+I31+$C$4*I34</f>
        <v>0</v>
      </c>
      <c r="J37" s="84" t="n">
        <f aca="false">I37+J31+$C$4*J34</f>
        <v>3574.30671048704</v>
      </c>
      <c r="K37" s="84" t="n">
        <f aca="false">J37+K31+$C$4*K34</f>
        <v>7847.44708206756</v>
      </c>
      <c r="L37" s="84" t="n">
        <f aca="false">K37+L31+$C$4*L34</f>
        <v>28070.520865654</v>
      </c>
    </row>
    <row r="38" customFormat="false" ht="15" hidden="false" customHeight="false" outlineLevel="0" collapsed="false">
      <c r="A38" s="48" t="s">
        <v>289</v>
      </c>
      <c r="B38" s="49"/>
      <c r="C38" s="85" t="n">
        <f aca="false">B38+C36</f>
        <v>0</v>
      </c>
      <c r="D38" s="85" t="n">
        <f aca="false">C38+D36</f>
        <v>0</v>
      </c>
      <c r="E38" s="85" t="n">
        <f aca="false">D38+E36</f>
        <v>0</v>
      </c>
      <c r="F38" s="85" t="n">
        <f aca="false">E38+F36</f>
        <v>0</v>
      </c>
      <c r="G38" s="85" t="n">
        <f aca="false">F38+G36</f>
        <v>0</v>
      </c>
      <c r="H38" s="85" t="n">
        <f aca="false">G38+H36</f>
        <v>0</v>
      </c>
      <c r="I38" s="85" t="n">
        <f aca="false">H38+I36</f>
        <v>0</v>
      </c>
      <c r="J38" s="85" t="n">
        <f aca="false">I38+J36</f>
        <v>893.57667762176</v>
      </c>
      <c r="K38" s="85" t="n">
        <f aca="false">J38+K36</f>
        <v>1961.86177051689</v>
      </c>
      <c r="L38" s="85" t="n">
        <f aca="false">K38+L36</f>
        <v>7017.63021641351</v>
      </c>
    </row>
    <row r="40" customFormat="false" ht="15" hidden="false" customHeight="false" outlineLevel="0" collapsed="false">
      <c r="A40" s="3" t="s">
        <v>290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false" outlineLevel="0" collapsed="false">
      <c r="A41" s="5" t="s">
        <v>291</v>
      </c>
      <c r="B41" s="84" t="n">
        <f aca="false">IF(B$8&gt;=COLUMNS($C$15:$L$15),0,-INDEX($C$15:$L$15,B$8+1))</f>
        <v>-4000</v>
      </c>
      <c r="C41" s="84" t="n">
        <f aca="false">IF(C$8&gt;=COLUMNS($C$15:$L$15),0,-INDEX($C$15:$L$15,C$8+1))</f>
        <v>-4000</v>
      </c>
      <c r="D41" s="84" t="n">
        <f aca="false">IF(D$8&gt;=COLUMNS($C$15:$L$15),0,-INDEX($C$15:$L$15,D$8+1))</f>
        <v>-4000</v>
      </c>
      <c r="E41" s="84" t="n">
        <f aca="false">IF(E$8&gt;=COLUMNS($C$15:$L$15),0,-INDEX($C$15:$L$15,E$8+1))</f>
        <v>-4000</v>
      </c>
      <c r="F41" s="84" t="n">
        <f aca="false">IF(F$8&gt;=COLUMNS($C$15:$L$15),0,-INDEX($C$15:$L$15,F$8+1))</f>
        <v>-4000</v>
      </c>
      <c r="G41" s="84" t="n">
        <f aca="false">IF(G$8&gt;=COLUMNS($C$15:$L$15),0,-INDEX($C$15:$L$15,G$8+1))</f>
        <v>-0</v>
      </c>
      <c r="H41" s="84" t="n">
        <f aca="false">IF(H$8&gt;=COLUMNS($C$15:$L$15),0,-INDEX($C$15:$L$15,H$8+1))</f>
        <v>-0</v>
      </c>
      <c r="I41" s="84" t="n">
        <f aca="false">IF(I$8&gt;=COLUMNS($C$15:$L$15),0,-INDEX($C$15:$L$15,I$8+1))</f>
        <v>-0</v>
      </c>
      <c r="J41" s="84" t="n">
        <f aca="false">IF(J$8&gt;=COLUMNS($C$15:$L$15),0,-INDEX($C$15:$L$15,J$8+1))</f>
        <v>-0</v>
      </c>
      <c r="K41" s="84" t="n">
        <f aca="false">IF(K$8&gt;=COLUMNS($C$15:$L$15),0,-INDEX($C$15:$L$15,K$8+1))</f>
        <v>-0</v>
      </c>
      <c r="L41" s="84" t="n">
        <f aca="false">IF(L$8&gt;=COLUMNS($C$15:$L$15),0,-INDEX($C$15:$L$15,L$8+1))</f>
        <v>0</v>
      </c>
    </row>
    <row r="42" customFormat="false" ht="15" hidden="false" customHeight="false" outlineLevel="0" collapsed="false">
      <c r="A42" s="5" t="s">
        <v>292</v>
      </c>
      <c r="B42" s="84" t="n">
        <f aca="false">IF(B$8=0,0,INDEX($C$35:$L$35,B$8))</f>
        <v>0</v>
      </c>
      <c r="C42" s="84" t="n">
        <f aca="false">IF(C$8=0,0,INDEX($C$35:$L$35,C$8))</f>
        <v>0</v>
      </c>
      <c r="D42" s="84" t="n">
        <f aca="false">IF(D$8=0,0,INDEX($C$35:$L$35,D$8))</f>
        <v>0</v>
      </c>
      <c r="E42" s="84" t="n">
        <f aca="false">IF(E$8=0,0,INDEX($C$35:$L$35,E$8))</f>
        <v>0</v>
      </c>
      <c r="F42" s="84" t="n">
        <f aca="false">IF(F$8=0,0,INDEX($C$35:$L$35,F$8))</f>
        <v>0</v>
      </c>
      <c r="G42" s="84" t="n">
        <f aca="false">IF(G$8=0,0,INDEX($C$35:$L$35,G$8))</f>
        <v>6608.1408</v>
      </c>
      <c r="H42" s="84" t="n">
        <f aca="false">IF(H$8=0,0,INDEX($C$35:$L$35,H$8))</f>
        <v>6271.815168</v>
      </c>
      <c r="I42" s="84" t="n">
        <f aca="false">IF(I$8=0,0,INDEX($C$35:$L$35,I$8))</f>
        <v>5948.94256128</v>
      </c>
      <c r="J42" s="84" t="n">
        <f aca="false">IF(J$8=0,0,INDEX($C$35:$L$35,J$8))</f>
        <v>4745.40818120704</v>
      </c>
      <c r="K42" s="84" t="n">
        <f aca="false">IF(K$8=0,0,INDEX($C$35:$L$35,K$8))</f>
        <v>4273.14037158052</v>
      </c>
      <c r="L42" s="84" t="n">
        <f aca="false">IF(L$8=0,0,INDEX($C$35:$L$35,L$8))</f>
        <v>20223.0737835865</v>
      </c>
    </row>
    <row r="43" customFormat="false" ht="15" hidden="false" customHeight="false" outlineLevel="0" collapsed="false">
      <c r="A43" s="38" t="s">
        <v>293</v>
      </c>
      <c r="B43" s="86" t="n">
        <f aca="false">B41+B42</f>
        <v>-4000</v>
      </c>
      <c r="C43" s="86" t="n">
        <f aca="false">C41+C42</f>
        <v>-4000</v>
      </c>
      <c r="D43" s="86" t="n">
        <f aca="false">D41+D42</f>
        <v>-4000</v>
      </c>
      <c r="E43" s="86" t="n">
        <f aca="false">E41+E42</f>
        <v>-4000</v>
      </c>
      <c r="F43" s="86" t="n">
        <f aca="false">F41+F42</f>
        <v>-4000</v>
      </c>
      <c r="G43" s="86" t="n">
        <f aca="false">G41+G42</f>
        <v>6608.1408</v>
      </c>
      <c r="H43" s="86" t="n">
        <f aca="false">H41+H42</f>
        <v>6271.815168</v>
      </c>
      <c r="I43" s="86" t="n">
        <f aca="false">I41+I42</f>
        <v>5948.94256128</v>
      </c>
      <c r="J43" s="86" t="n">
        <f aca="false">J41+J42</f>
        <v>4745.40818120704</v>
      </c>
      <c r="K43" s="86" t="n">
        <f aca="false">K41+K42</f>
        <v>4273.14037158052</v>
      </c>
      <c r="L43" s="86" t="n">
        <f aca="false">L41+L42</f>
        <v>20223.0737835865</v>
      </c>
    </row>
    <row r="44" customFormat="false" ht="15" hidden="false" customHeight="false" outlineLevel="0" collapsed="false">
      <c r="A44" s="5" t="s">
        <v>294</v>
      </c>
      <c r="B44" s="84" t="n">
        <f aca="false">IF(B$8&gt;=COLUMNS($C$16:$L$16),0,INDEX($C$16:$L$16,B$8+1))</f>
        <v>300</v>
      </c>
      <c r="C44" s="84" t="n">
        <f aca="false">IF(C$8&gt;=COLUMNS($C$16:$L$16),0,INDEX($C$16:$L$16,C$8+1))</f>
        <v>300</v>
      </c>
      <c r="D44" s="84" t="n">
        <f aca="false">IF(D$8&gt;=COLUMNS($C$16:$L$16),0,INDEX($C$16:$L$16,D$8+1))</f>
        <v>300</v>
      </c>
      <c r="E44" s="84" t="n">
        <f aca="false">IF(E$8&gt;=COLUMNS($C$16:$L$16),0,INDEX($C$16:$L$16,E$8+1))</f>
        <v>300</v>
      </c>
      <c r="F44" s="84" t="n">
        <f aca="false">IF(F$8&gt;=COLUMNS($C$16:$L$16),0,INDEX($C$16:$L$16,F$8+1))</f>
        <v>300</v>
      </c>
      <c r="G44" s="84" t="n">
        <f aca="false">IF(G$8&gt;=COLUMNS($C$16:$L$16),0,INDEX($C$16:$L$16,G$8+1))</f>
        <v>300</v>
      </c>
      <c r="H44" s="84" t="n">
        <f aca="false">IF(H$8&gt;=COLUMNS($C$16:$L$16),0,INDEX($C$16:$L$16,H$8+1))</f>
        <v>300</v>
      </c>
      <c r="I44" s="84" t="n">
        <f aca="false">IF(I$8&gt;=COLUMNS($C$16:$L$16),0,INDEX($C$16:$L$16,I$8+1))</f>
        <v>300</v>
      </c>
      <c r="J44" s="84" t="n">
        <f aca="false">IF(J$8&gt;=COLUMNS($C$16:$L$16),0,INDEX($C$16:$L$16,J$8+1))</f>
        <v>300</v>
      </c>
      <c r="K44" s="84" t="n">
        <f aca="false">IF(K$8&gt;=COLUMNS($C$16:$L$16),0,INDEX($C$16:$L$16,K$8+1))</f>
        <v>300</v>
      </c>
      <c r="L44" s="84" t="n">
        <f aca="false">IF(L$8&gt;=COLUMNS($C$16:$L$16),0,INDEX($C$16:$L$16,L$8+1))</f>
        <v>0</v>
      </c>
    </row>
    <row r="45" customFormat="false" ht="15" hidden="false" customHeight="false" outlineLevel="0" collapsed="false">
      <c r="A45" s="5" t="s">
        <v>295</v>
      </c>
      <c r="B45" s="84" t="n">
        <f aca="false">IF(B$8=0,0,INDEX($C$36:$L$36,B$8))</f>
        <v>0</v>
      </c>
      <c r="C45" s="84" t="n">
        <f aca="false">IF(C$8=0,0,INDEX($C$36:$L$36,C$8))</f>
        <v>0</v>
      </c>
      <c r="D45" s="84" t="n">
        <f aca="false">IF(D$8=0,0,INDEX($C$36:$L$36,D$8))</f>
        <v>0</v>
      </c>
      <c r="E45" s="84" t="n">
        <f aca="false">IF(E$8=0,0,INDEX($C$36:$L$36,E$8))</f>
        <v>0</v>
      </c>
      <c r="F45" s="84" t="n">
        <f aca="false">IF(F$8=0,0,INDEX($C$36:$L$36,F$8))</f>
        <v>0</v>
      </c>
      <c r="G45" s="84" t="n">
        <f aca="false">IF(G$8=0,0,INDEX($C$36:$L$36,G$8))</f>
        <v>0</v>
      </c>
      <c r="H45" s="84" t="n">
        <f aca="false">IF(H$8=0,0,INDEX($C$36:$L$36,H$8))</f>
        <v>0</v>
      </c>
      <c r="I45" s="84" t="n">
        <f aca="false">IF(I$8=0,0,INDEX($C$36:$L$36,I$8))</f>
        <v>0</v>
      </c>
      <c r="J45" s="84" t="n">
        <f aca="false">IF(J$8=0,0,INDEX($C$36:$L$36,J$8))</f>
        <v>893.57667762176</v>
      </c>
      <c r="K45" s="84" t="n">
        <f aca="false">IF(K$8=0,0,INDEX($C$36:$L$36,K$8))</f>
        <v>1068.28509289513</v>
      </c>
      <c r="L45" s="84" t="n">
        <f aca="false">IF(L$8=0,0,INDEX($C$36:$L$36,L$8))</f>
        <v>5055.76844589662</v>
      </c>
    </row>
    <row r="46" customFormat="false" ht="15" hidden="false" customHeight="false" outlineLevel="0" collapsed="false">
      <c r="A46" s="38" t="s">
        <v>296</v>
      </c>
      <c r="B46" s="86" t="n">
        <f aca="false">B44+B45</f>
        <v>300</v>
      </c>
      <c r="C46" s="86" t="n">
        <f aca="false">C44+C45</f>
        <v>300</v>
      </c>
      <c r="D46" s="86" t="n">
        <f aca="false">D44+D45</f>
        <v>300</v>
      </c>
      <c r="E46" s="86" t="n">
        <f aca="false">E44+E45</f>
        <v>300</v>
      </c>
      <c r="F46" s="86" t="n">
        <f aca="false">F44+F45</f>
        <v>300</v>
      </c>
      <c r="G46" s="86" t="n">
        <f aca="false">G44+G45</f>
        <v>300</v>
      </c>
      <c r="H46" s="86" t="n">
        <f aca="false">H44+H45</f>
        <v>300</v>
      </c>
      <c r="I46" s="86" t="n">
        <f aca="false">I44+I45</f>
        <v>300</v>
      </c>
      <c r="J46" s="86" t="n">
        <f aca="false">J44+J45</f>
        <v>1193.57667762176</v>
      </c>
      <c r="K46" s="86" t="n">
        <f aca="false">K44+K45</f>
        <v>1368.28509289513</v>
      </c>
      <c r="L46" s="86" t="n">
        <f aca="false">L44+L45</f>
        <v>5055.76844589662</v>
      </c>
    </row>
    <row r="47" customFormat="false" ht="15" hidden="false" customHeight="false" outlineLevel="0" collapsed="false">
      <c r="A47" s="48" t="s">
        <v>297</v>
      </c>
      <c r="B47" s="85" t="n">
        <f aca="false">$C$63*B43</f>
        <v>-150</v>
      </c>
      <c r="C47" s="85" t="n">
        <f aca="false">$C$63*C43</f>
        <v>-150</v>
      </c>
      <c r="D47" s="85" t="n">
        <f aca="false">$C$63*D43</f>
        <v>-150</v>
      </c>
      <c r="E47" s="85" t="n">
        <f aca="false">$C$63*E43</f>
        <v>-150</v>
      </c>
      <c r="F47" s="85" t="n">
        <f aca="false">$C$63*F43</f>
        <v>-150</v>
      </c>
      <c r="G47" s="85" t="n">
        <f aca="false">$C$63*G43</f>
        <v>247.80528</v>
      </c>
      <c r="H47" s="85" t="n">
        <f aca="false">$C$63*H43</f>
        <v>235.1930688</v>
      </c>
      <c r="I47" s="85" t="n">
        <f aca="false">$C$63*I43</f>
        <v>223.085346048</v>
      </c>
      <c r="J47" s="85" t="n">
        <f aca="false">$C$63*J43</f>
        <v>177.952806795264</v>
      </c>
      <c r="K47" s="85" t="n">
        <f aca="false">$C$63*K43</f>
        <v>160.242763934269</v>
      </c>
      <c r="L47" s="85" t="n">
        <f aca="false">$C$63*L43</f>
        <v>758.365266884493</v>
      </c>
    </row>
    <row r="49" customFormat="false" ht="15" hidden="false" customHeight="false" outlineLevel="0" collapsed="false">
      <c r="A49" s="3" t="s">
        <v>298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false" outlineLevel="0" collapsed="false">
      <c r="A50" s="38" t="s">
        <v>299</v>
      </c>
      <c r="C50" s="87" t="n">
        <f aca="false">IRR(B43:L43,0.1)</f>
        <v>0.15722559423369</v>
      </c>
      <c r="E50" s="2" t="s">
        <v>300</v>
      </c>
    </row>
    <row r="51" customFormat="false" ht="15" hidden="false" customHeight="false" outlineLevel="0" collapsed="false">
      <c r="A51" s="38" t="s">
        <v>301</v>
      </c>
      <c r="C51" s="46" t="n">
        <f aca="false">B43+NPV($F$3,C43:L43)</f>
        <v>578.217140375094</v>
      </c>
      <c r="E51" s="2" t="s">
        <v>302</v>
      </c>
    </row>
    <row r="52" customFormat="false" ht="15" hidden="false" customHeight="false" outlineLevel="0" collapsed="false">
      <c r="A52" s="5" t="s">
        <v>303</v>
      </c>
      <c r="C52" s="45" t="n">
        <f aca="false">-SUM(B41:L41)</f>
        <v>20000</v>
      </c>
      <c r="E52" s="2" t="s">
        <v>304</v>
      </c>
    </row>
    <row r="53" customFormat="false" ht="15" hidden="false" customHeight="false" outlineLevel="0" collapsed="false">
      <c r="A53" s="5" t="s">
        <v>305</v>
      </c>
      <c r="C53" s="45" t="n">
        <f aca="false">SUM(B42:L42)</f>
        <v>48070.520865654</v>
      </c>
    </row>
    <row r="54" customFormat="false" ht="15" hidden="false" customHeight="false" outlineLevel="0" collapsed="false">
      <c r="A54" s="5" t="s">
        <v>148</v>
      </c>
      <c r="C54" s="88" t="n">
        <f aca="false">IF(C52=0,0,C53/C52)</f>
        <v>2.4035260432827</v>
      </c>
    </row>
    <row r="55" customFormat="false" ht="15" hidden="false" customHeight="false" outlineLevel="0" collapsed="false">
      <c r="A55" s="5" t="s">
        <v>306</v>
      </c>
      <c r="C55" s="45" t="n">
        <f aca="false">SUM(B44:L44)</f>
        <v>3000</v>
      </c>
    </row>
    <row r="56" customFormat="false" ht="15" hidden="false" customHeight="false" outlineLevel="0" collapsed="false">
      <c r="A56" s="5" t="s">
        <v>307</v>
      </c>
      <c r="C56" s="45" t="n">
        <f aca="false">SUM(B45:L45)</f>
        <v>7017.63021641351</v>
      </c>
    </row>
    <row r="57" customFormat="false" ht="15" hidden="false" customHeight="false" outlineLevel="0" collapsed="false">
      <c r="A57" s="5" t="s">
        <v>308</v>
      </c>
      <c r="C57" s="45" t="n">
        <f aca="false">B44+NPV($F$3,C44:L44)</f>
        <v>1731.47517591971</v>
      </c>
      <c r="E57" s="2" t="s">
        <v>309</v>
      </c>
    </row>
    <row r="58" customFormat="false" ht="15" hidden="false" customHeight="false" outlineLevel="0" collapsed="false">
      <c r="A58" s="5" t="s">
        <v>310</v>
      </c>
      <c r="C58" s="45" t="n">
        <f aca="false">B45+NPV($F$3,C45:L45)</f>
        <v>1845.49373575418</v>
      </c>
    </row>
    <row r="59" customFormat="false" ht="15" hidden="false" customHeight="false" outlineLevel="0" collapsed="false">
      <c r="A59" s="38" t="s">
        <v>311</v>
      </c>
      <c r="C59" s="46" t="n">
        <f aca="false">C57+C58</f>
        <v>3576.96891167389</v>
      </c>
    </row>
    <row r="60" customFormat="false" ht="15" hidden="false" customHeight="false" outlineLevel="0" collapsed="false">
      <c r="A60" s="5" t="s">
        <v>312</v>
      </c>
      <c r="C60" s="32" t="n">
        <f aca="false">IF(C59=0,0,C57/C59)</f>
        <v>0.484062125971747</v>
      </c>
      <c r="E60" s="2" t="s">
        <v>313</v>
      </c>
    </row>
    <row r="61" customFormat="false" ht="15" hidden="false" customHeight="false" outlineLevel="0" collapsed="false">
      <c r="A61" s="5" t="s">
        <v>314</v>
      </c>
      <c r="C61" s="89" t="n">
        <f aca="false">$F$2-C50</f>
        <v>0.0427744057663104</v>
      </c>
    </row>
    <row r="62" customFormat="false" ht="15" hidden="false" customHeight="false" outlineLevel="0" collapsed="false">
      <c r="A62" s="5" t="s">
        <v>315</v>
      </c>
      <c r="C62" s="21" t="n">
        <f aca="false">IF(MAX(C38:L38)&lt;=0,"None",IFERROR(INDEX(C8:L8,MATCH(0,C38:L38,1)+1),C8))</f>
        <v>8</v>
      </c>
    </row>
    <row r="63" customFormat="false" ht="15" hidden="false" customHeight="false" outlineLevel="0" collapsed="false">
      <c r="A63" s="5" t="s">
        <v>316</v>
      </c>
      <c r="C63" s="90" t="n">
        <f aca="false">IF($C$2=0,0,$I$4/$C$2)</f>
        <v>0.0375</v>
      </c>
      <c r="E63" s="2" t="s">
        <v>317</v>
      </c>
    </row>
    <row r="64" customFormat="false" ht="15" hidden="false" customHeight="false" outlineLevel="0" collapsed="false">
      <c r="A64" s="5" t="s">
        <v>318</v>
      </c>
      <c r="C64" s="45" t="n">
        <f aca="false">C63*C51</f>
        <v>21.683142764066</v>
      </c>
    </row>
    <row r="65" customFormat="false" ht="15" hidden="false" customHeight="false" outlineLevel="0" collapsed="false">
      <c r="A65" s="5" t="s">
        <v>319</v>
      </c>
      <c r="C65" s="45" t="n">
        <f aca="false">C63*C55</f>
        <v>112.5</v>
      </c>
    </row>
    <row r="66" customFormat="false" ht="15" hidden="false" customHeight="false" outlineLevel="0" collapsed="false">
      <c r="A66" s="5" t="s">
        <v>320</v>
      </c>
      <c r="C66" s="45" t="n">
        <f aca="false">C63*C53</f>
        <v>1802.64453246203</v>
      </c>
    </row>
    <row r="68" customFormat="false" ht="15" hidden="false" customHeight="false" outlineLevel="0" collapsed="false">
      <c r="A68" s="3" t="s">
        <v>321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5" t="s">
        <v>322</v>
      </c>
      <c r="C69" s="45" t="n">
        <f aca="false">ROUND(L24,6)</f>
        <v>0</v>
      </c>
    </row>
    <row r="70" customFormat="false" ht="15" hidden="false" customHeight="false" outlineLevel="0" collapsed="false">
      <c r="A70" s="5" t="s">
        <v>323</v>
      </c>
      <c r="C70" s="45" t="n">
        <f aca="false">ROUND(SUM(C23:L23)-SUM(C35:L35)-SUM(C36:L36),6)</f>
        <v>0</v>
      </c>
    </row>
    <row r="71" customFormat="false" ht="15" hidden="false" customHeight="false" outlineLevel="0" collapsed="false">
      <c r="A71" s="5" t="s">
        <v>324</v>
      </c>
      <c r="C71" s="45" t="n">
        <f aca="false">ROUND(SUM(C23:L23)-(SUM(C15:L15)-SUM(C16:L16)+SUM(C20:L20)),6)</f>
        <v>0</v>
      </c>
    </row>
    <row r="72" customFormat="false" ht="15" hidden="false" customHeight="false" outlineLevel="0" collapsed="false">
      <c r="A72" s="8" t="s">
        <v>325</v>
      </c>
      <c r="B72" s="49"/>
      <c r="C72" s="91" t="str">
        <f aca="false">IF(ABS(C69)+ABS(C70)+ABS(C71)&lt;0.001,"OK","CHECK")</f>
        <v>OK</v>
      </c>
      <c r="D72" s="49"/>
      <c r="E72" s="49"/>
      <c r="F72" s="49"/>
      <c r="G72" s="49"/>
      <c r="H72" s="49"/>
      <c r="I72" s="49"/>
      <c r="J72" s="49"/>
      <c r="K72" s="49"/>
      <c r="L72" s="49"/>
    </row>
    <row r="74" customFormat="false" ht="15" hidden="false" customHeight="false" outlineLevel="0" collapsed="false">
      <c r="A74" s="2" t="s">
        <v>326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4"/>
  </cols>
  <sheetData>
    <row r="1" customFormat="false" ht="15" hidden="false" customHeight="false" outlineLevel="0" collapsed="false">
      <c r="A1" s="18" t="s">
        <v>327</v>
      </c>
    </row>
    <row r="2" customFormat="false" ht="15" hidden="false" customHeight="false" outlineLevel="0" collapsed="false">
      <c r="A2" s="2" t="s">
        <v>328</v>
      </c>
    </row>
    <row r="4" customFormat="false" ht="15" hidden="false" customHeight="false" outlineLevel="0" collapsed="false">
      <c r="A4" s="3" t="s">
        <v>329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143</v>
      </c>
      <c r="C5" s="35" t="n">
        <f aca="false">'Q3 Base case'!$C$50</f>
        <v>0.15722559423369</v>
      </c>
      <c r="D5" s="2" t="s">
        <v>330</v>
      </c>
    </row>
    <row r="6" customFormat="false" ht="15" hidden="false" customHeight="false" outlineLevel="0" collapsed="false">
      <c r="A6" s="5" t="s">
        <v>331</v>
      </c>
      <c r="C6" s="42" t="n">
        <f aca="false">'Q3 Base case'!$C$51</f>
        <v>578.217140375094</v>
      </c>
    </row>
    <row r="7" customFormat="false" ht="15" hidden="false" customHeight="false" outlineLevel="0" collapsed="false">
      <c r="A7" s="5" t="s">
        <v>332</v>
      </c>
      <c r="C7" s="43" t="n">
        <f aca="false">'Q3 Base case'!$C$54</f>
        <v>2.4035260432827</v>
      </c>
    </row>
    <row r="8" customFormat="false" ht="15" hidden="false" customHeight="false" outlineLevel="0" collapsed="false">
      <c r="A8" s="5" t="s">
        <v>333</v>
      </c>
      <c r="C8" s="42" t="n">
        <f aca="false">'Q3 Base case'!$C$55</f>
        <v>3000</v>
      </c>
    </row>
    <row r="9" customFormat="false" ht="15" hidden="false" customHeight="false" outlineLevel="0" collapsed="false">
      <c r="A9" s="5" t="s">
        <v>334</v>
      </c>
      <c r="C9" s="42" t="n">
        <f aca="false">'Q3 Base case'!$C$56</f>
        <v>7017.63021641351</v>
      </c>
    </row>
    <row r="10" customFormat="false" ht="15" hidden="false" customHeight="false" outlineLevel="0" collapsed="false">
      <c r="A10" s="5" t="s">
        <v>335</v>
      </c>
      <c r="C10" s="42" t="n">
        <f aca="false">'Q3 Base case'!$C$57</f>
        <v>1731.47517591971</v>
      </c>
    </row>
    <row r="11" customFormat="false" ht="15" hidden="false" customHeight="false" outlineLevel="0" collapsed="false">
      <c r="A11" s="5" t="s">
        <v>336</v>
      </c>
      <c r="C11" s="42" t="n">
        <f aca="false">'Q3 Base case'!$C$58</f>
        <v>1845.49373575418</v>
      </c>
    </row>
    <row r="12" customFormat="false" ht="15" hidden="false" customHeight="false" outlineLevel="0" collapsed="false">
      <c r="A12" s="5" t="s">
        <v>311</v>
      </c>
      <c r="C12" s="42" t="n">
        <f aca="false">'Q3 Base case'!$C$59</f>
        <v>3576.96891167389</v>
      </c>
    </row>
    <row r="13" customFormat="false" ht="15" hidden="false" customHeight="false" outlineLevel="0" collapsed="false">
      <c r="A13" s="5" t="s">
        <v>155</v>
      </c>
      <c r="C13" s="36" t="n">
        <f aca="false">'Q3 Base case'!$C$60</f>
        <v>0.484062125971747</v>
      </c>
      <c r="D13" s="2" t="s">
        <v>337</v>
      </c>
    </row>
    <row r="14" customFormat="false" ht="15" hidden="false" customHeight="false" outlineLevel="0" collapsed="false">
      <c r="A14" s="5" t="s">
        <v>338</v>
      </c>
      <c r="C14" s="44" t="n">
        <f aca="false">'Q3 Base case'!$C$62</f>
        <v>8</v>
      </c>
      <c r="D14" s="2" t="s">
        <v>339</v>
      </c>
    </row>
    <row r="16" customFormat="false" ht="15" hidden="false" customHeight="false" outlineLevel="0" collapsed="false">
      <c r="A16" s="3" t="s">
        <v>340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9"/>
      <c r="B17" s="60" t="s">
        <v>341</v>
      </c>
      <c r="C17" s="60" t="s">
        <v>342</v>
      </c>
    </row>
    <row r="18" customFormat="false" ht="15" hidden="false" customHeight="false" outlineLevel="0" collapsed="false">
      <c r="A18" s="5" t="s">
        <v>343</v>
      </c>
      <c r="B18" s="35" t="n">
        <f aca="false">Engine!$K$16</f>
        <v>0.19999999999999</v>
      </c>
    </row>
    <row r="19" customFormat="false" ht="15" hidden="false" customHeight="false" outlineLevel="0" collapsed="false">
      <c r="A19" s="5" t="s">
        <v>344</v>
      </c>
      <c r="B19" s="35" t="n">
        <f aca="false">Engine!$K$17</f>
        <v>0.178048924579342</v>
      </c>
      <c r="C19" s="92" t="n">
        <f aca="false">(B18-B19)*10000</f>
        <v>219.510754206475</v>
      </c>
    </row>
    <row r="20" customFormat="false" ht="15" hidden="false" customHeight="false" outlineLevel="0" collapsed="false">
      <c r="A20" s="5" t="s">
        <v>345</v>
      </c>
      <c r="B20" s="35" t="n">
        <f aca="false">'Q3 Base case'!$C$50</f>
        <v>0.15722559423369</v>
      </c>
      <c r="C20" s="92" t="n">
        <f aca="false">(B19-B20)*10000</f>
        <v>208.233303456528</v>
      </c>
    </row>
    <row r="21" customFormat="false" ht="15" hidden="false" customHeight="false" outlineLevel="0" collapsed="false">
      <c r="A21" s="8" t="s">
        <v>346</v>
      </c>
      <c r="B21" s="49"/>
      <c r="C21" s="93" t="n">
        <f aca="false">C19+C20</f>
        <v>427.744057663003</v>
      </c>
    </row>
    <row r="23" customFormat="false" ht="15" hidden="false" customHeight="false" outlineLevel="0" collapsed="false">
      <c r="A23" s="3" t="s">
        <v>347</v>
      </c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9"/>
      <c r="B24" s="60" t="s">
        <v>348</v>
      </c>
      <c r="C24" s="60" t="s">
        <v>349</v>
      </c>
    </row>
    <row r="25" customFormat="false" ht="15" hidden="false" customHeight="false" outlineLevel="0" collapsed="false">
      <c r="A25" s="5" t="s">
        <v>350</v>
      </c>
      <c r="B25" s="42" t="n">
        <f aca="false">'Q3 Base case'!$C$51</f>
        <v>578.217140375094</v>
      </c>
      <c r="C25" s="32" t="n">
        <f aca="false">IF($B$28=0,0,B25/$B$28)</f>
        <v>0.139155535548154</v>
      </c>
      <c r="D25" s="2" t="s">
        <v>351</v>
      </c>
    </row>
    <row r="26" customFormat="false" ht="15" hidden="false" customHeight="false" outlineLevel="0" collapsed="false">
      <c r="A26" s="5" t="s">
        <v>352</v>
      </c>
      <c r="B26" s="42" t="n">
        <f aca="false">'Q3 Base case'!$C$57</f>
        <v>1731.47517591971</v>
      </c>
      <c r="C26" s="32" t="n">
        <f aca="false">IF($B$28=0,0,B26/$B$28)</f>
        <v>0.416702201593571</v>
      </c>
      <c r="D26" s="2" t="s">
        <v>353</v>
      </c>
    </row>
    <row r="27" customFormat="false" ht="15" hidden="false" customHeight="false" outlineLevel="0" collapsed="false">
      <c r="A27" s="5" t="s">
        <v>354</v>
      </c>
      <c r="B27" s="42" t="n">
        <f aca="false">'Q3 Base case'!$C$58</f>
        <v>1845.49373575418</v>
      </c>
      <c r="C27" s="32" t="n">
        <f aca="false">IF($B$28=0,0,B27/$B$28)</f>
        <v>0.444142262858275</v>
      </c>
    </row>
    <row r="28" customFormat="false" ht="15" hidden="false" customHeight="false" outlineLevel="0" collapsed="false">
      <c r="A28" s="8" t="s">
        <v>355</v>
      </c>
      <c r="B28" s="94" t="n">
        <f aca="false">SUM(B25:B27)</f>
        <v>4155.18605204898</v>
      </c>
      <c r="C28" s="95" t="n">
        <f aca="false">IF($B$28=0,0,B28/$B$28)</f>
        <v>1</v>
      </c>
    </row>
    <row r="29" customFormat="false" ht="15" hidden="false" customHeight="false" outlineLevel="0" collapsed="false">
      <c r="A29" s="5" t="s">
        <v>356</v>
      </c>
      <c r="B29" s="42" t="n">
        <f aca="false">Engine!$L$16</f>
        <v>4562.19116284324</v>
      </c>
    </row>
    <row r="30" customFormat="false" ht="15" hidden="false" customHeight="false" outlineLevel="0" collapsed="false">
      <c r="A30" s="5" t="s">
        <v>357</v>
      </c>
      <c r="B30" s="45" t="n">
        <f aca="false">B29-B28</f>
        <v>407.005110794264</v>
      </c>
      <c r="D30" s="2" t="s">
        <v>358</v>
      </c>
    </row>
    <row r="31" customFormat="false" ht="15" hidden="false" customHeight="false" outlineLevel="0" collapsed="false">
      <c r="A31" s="2" t="s">
        <v>359</v>
      </c>
    </row>
    <row r="32" customFormat="false" ht="15" hidden="false" customHeight="false" outlineLevel="0" collapsed="false">
      <c r="A32" s="3" t="s">
        <v>360</v>
      </c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8" t="s">
        <v>246</v>
      </c>
      <c r="B33" s="60" t="s">
        <v>143</v>
      </c>
      <c r="C33" s="60" t="s">
        <v>361</v>
      </c>
      <c r="D33" s="60" t="s">
        <v>362</v>
      </c>
      <c r="E33" s="60" t="s">
        <v>248</v>
      </c>
      <c r="F33" s="60" t="s">
        <v>363</v>
      </c>
      <c r="G33" s="60" t="s">
        <v>364</v>
      </c>
    </row>
    <row r="34" customFormat="false" ht="15" hidden="false" customHeight="false" outlineLevel="0" collapsed="false">
      <c r="A34" s="68" t="n">
        <f aca="false">Engine!$I$21</f>
        <v>0</v>
      </c>
      <c r="B34" s="35" t="n">
        <f aca="false">Engine!$K$21</f>
        <v>-0.0287406320352517</v>
      </c>
      <c r="C34" s="47" t="n">
        <f aca="false">Engine!$L$21</f>
        <v>-9275.93804806398</v>
      </c>
      <c r="D34" s="47" t="n">
        <f aca="false">Engine!$Q$21</f>
        <v>1731.47517591971</v>
      </c>
      <c r="E34" s="47" t="n">
        <f aca="false">Engine!$R$21</f>
        <v>0</v>
      </c>
      <c r="F34" s="96" t="n">
        <f aca="false">D34+E34</f>
        <v>1731.47517591971</v>
      </c>
      <c r="G34" s="32" t="n">
        <f aca="false">IF(F34=0,0,D34/F34)</f>
        <v>1</v>
      </c>
    </row>
    <row r="35" customFormat="false" ht="15" hidden="false" customHeight="false" outlineLevel="0" collapsed="false">
      <c r="A35" s="68" t="n">
        <f aca="false">Engine!$I$26</f>
        <v>0.05</v>
      </c>
      <c r="B35" s="35" t="n">
        <f aca="false">Engine!$K$26</f>
        <v>0.0195060544311213</v>
      </c>
      <c r="C35" s="47" t="n">
        <f aca="false">Engine!$L$26</f>
        <v>-7534.87848581204</v>
      </c>
      <c r="D35" s="47" t="n">
        <f aca="false">Engine!$Q$26</f>
        <v>1731.47517591971</v>
      </c>
      <c r="E35" s="47" t="n">
        <f aca="false">Engine!$R$26</f>
        <v>143.71311558969</v>
      </c>
      <c r="F35" s="96" t="n">
        <f aca="false">D35+E35</f>
        <v>1875.1882915094</v>
      </c>
      <c r="G35" s="32" t="n">
        <f aca="false">IF(F35=0,0,D35/F35)</f>
        <v>0.923360701301089</v>
      </c>
    </row>
    <row r="36" customFormat="false" ht="15" hidden="false" customHeight="false" outlineLevel="0" collapsed="false">
      <c r="A36" s="68" t="n">
        <f aca="false">Engine!$I$31</f>
        <v>0.1</v>
      </c>
      <c r="B36" s="35" t="n">
        <f aca="false">Engine!$K$31</f>
        <v>0.0641907883459574</v>
      </c>
      <c r="C36" s="47" t="n">
        <f aca="false">Engine!$L$31</f>
        <v>-5465.50152471426</v>
      </c>
      <c r="D36" s="47" t="n">
        <f aca="false">Engine!$Q$31</f>
        <v>1731.47517591971</v>
      </c>
      <c r="E36" s="47" t="n">
        <f aca="false">Engine!$R$31</f>
        <v>533.265583504789</v>
      </c>
      <c r="F36" s="96" t="n">
        <f aca="false">D36+E36</f>
        <v>2264.7407594245</v>
      </c>
      <c r="G36" s="32" t="n">
        <f aca="false">IF(F36=0,0,D36/F36)</f>
        <v>0.76453570622348</v>
      </c>
    </row>
    <row r="37" customFormat="false" ht="15" hidden="false" customHeight="false" outlineLevel="0" collapsed="false">
      <c r="A37" s="68" t="n">
        <f aca="false">Engine!$I$36</f>
        <v>0.15</v>
      </c>
      <c r="B37" s="35" t="n">
        <f aca="false">Engine!$K$36</f>
        <v>0.110445197701687</v>
      </c>
      <c r="C37" s="47" t="n">
        <f aca="false">Engine!$L$36</f>
        <v>-2810.41859881745</v>
      </c>
      <c r="D37" s="47" t="n">
        <f aca="false">Engine!$Q$36</f>
        <v>1731.47517591971</v>
      </c>
      <c r="E37" s="47" t="n">
        <f aca="false">Engine!$R$36</f>
        <v>1078.94342289774</v>
      </c>
      <c r="F37" s="96" t="n">
        <f aca="false">D37+E37</f>
        <v>2810.41859881745</v>
      </c>
      <c r="G37" s="32" t="n">
        <f aca="false">IF(F37=0,0,D37/F37)</f>
        <v>0.616091558975687</v>
      </c>
    </row>
    <row r="38" customFormat="false" ht="15" hidden="false" customHeight="false" outlineLevel="0" collapsed="false">
      <c r="A38" s="68" t="n">
        <f aca="false">Engine!$I$41</f>
        <v>0.2</v>
      </c>
      <c r="B38" s="35" t="n">
        <f aca="false">Engine!$K$41</f>
        <v>0.15722559423369</v>
      </c>
      <c r="C38" s="47" t="n">
        <f aca="false">Engine!$L$41</f>
        <v>578.217140375093</v>
      </c>
      <c r="D38" s="47" t="n">
        <f aca="false">Engine!$Q$41</f>
        <v>1731.47517591971</v>
      </c>
      <c r="E38" s="47" t="n">
        <f aca="false">Engine!$R$41</f>
        <v>1845.49373575418</v>
      </c>
      <c r="F38" s="96" t="n">
        <f aca="false">D38+E38</f>
        <v>3576.96891167389</v>
      </c>
      <c r="G38" s="32" t="n">
        <f aca="false">IF(F38=0,0,D38/F38)</f>
        <v>0.484062125971747</v>
      </c>
    </row>
    <row r="39" customFormat="false" ht="15" hidden="false" customHeight="false" outlineLevel="0" collapsed="false">
      <c r="A39" s="68" t="n">
        <f aca="false">Engine!$I$46</f>
        <v>0.25</v>
      </c>
      <c r="B39" s="35" t="n">
        <f aca="false">Engine!$K$46</f>
        <v>0.20431317294718</v>
      </c>
      <c r="C39" s="47" t="n">
        <f aca="false">Engine!$L$46</f>
        <v>4929.74004864827</v>
      </c>
      <c r="D39" s="47" t="n">
        <f aca="false">Engine!$Q$46</f>
        <v>1731.47517591971</v>
      </c>
      <c r="E39" s="47" t="n">
        <f aca="false">Engine!$R$46</f>
        <v>2871.66531141065</v>
      </c>
      <c r="F39" s="96" t="n">
        <f aca="false">D39+E39</f>
        <v>4603.14048733036</v>
      </c>
      <c r="G39" s="32" t="n">
        <f aca="false">IF(F39=0,0,D39/F39)</f>
        <v>0.376150843252646</v>
      </c>
    </row>
    <row r="40" customFormat="false" ht="15" hidden="false" customHeight="false" outlineLevel="0" collapsed="false">
      <c r="A40" s="69" t="n">
        <f aca="false">Engine!$I$51</f>
        <v>0.3</v>
      </c>
      <c r="B40" s="70" t="n">
        <f aca="false">Engine!$K$51</f>
        <v>0.251645670816069</v>
      </c>
      <c r="C40" s="50" t="n">
        <f aca="false">Engine!$L$51</f>
        <v>10522.1377441016</v>
      </c>
      <c r="D40" s="50" t="n">
        <f aca="false">Engine!$Q$51</f>
        <v>1731.47517591971</v>
      </c>
      <c r="E40" s="50" t="n">
        <f aca="false">Engine!$R$51</f>
        <v>4215.69962553358</v>
      </c>
      <c r="F40" s="97" t="n">
        <f aca="false">D40+E40</f>
        <v>5947.17480145329</v>
      </c>
      <c r="G40" s="58" t="n">
        <f aca="false">IF(F40=0,0,D40/F40)</f>
        <v>0.291142472472239</v>
      </c>
    </row>
    <row r="41" customFormat="false" ht="15" hidden="false" customHeight="false" outlineLevel="0" collapsed="false">
      <c r="A41" s="2" t="s">
        <v>365</v>
      </c>
    </row>
    <row r="43" customFormat="false" ht="15" hidden="false" customHeight="false" outlineLevel="0" collapsed="false">
      <c r="A43" s="3" t="s">
        <v>366</v>
      </c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8" t="s">
        <v>367</v>
      </c>
      <c r="B44" s="60" t="s">
        <v>368</v>
      </c>
      <c r="C44" s="60" t="s">
        <v>369</v>
      </c>
      <c r="D44" s="60" t="s">
        <v>370</v>
      </c>
      <c r="E44" s="60" t="s">
        <v>371</v>
      </c>
      <c r="F44" s="60" t="s">
        <v>372</v>
      </c>
      <c r="G44" s="60" t="s">
        <v>373</v>
      </c>
    </row>
    <row r="45" customFormat="false" ht="15" hidden="false" customHeight="false" outlineLevel="0" collapsed="false">
      <c r="A45" s="5" t="s">
        <v>374</v>
      </c>
      <c r="B45" s="98" t="s">
        <v>375</v>
      </c>
      <c r="C45" s="19" t="n">
        <v>721</v>
      </c>
      <c r="D45" s="35" t="n">
        <f aca="false">Inputs!$C$18</f>
        <v>0.015</v>
      </c>
      <c r="E45" s="45" t="n">
        <f aca="false">C45*D45</f>
        <v>10.815</v>
      </c>
      <c r="F45" s="47" t="n">
        <f aca="false">E45*Inputs!$C$7</f>
        <v>108.15</v>
      </c>
      <c r="G45" s="99" t="n">
        <f aca="false">IF($E$45=0,0,E45/$E$45)</f>
        <v>1</v>
      </c>
    </row>
    <row r="46" customFormat="false" ht="15" hidden="false" customHeight="false" outlineLevel="0" collapsed="false">
      <c r="A46" s="5" t="s">
        <v>376</v>
      </c>
      <c r="B46" s="98" t="s">
        <v>377</v>
      </c>
      <c r="C46" s="19" t="n">
        <v>2500</v>
      </c>
      <c r="D46" s="35" t="n">
        <f aca="false">Inputs!$C$18</f>
        <v>0.015</v>
      </c>
      <c r="E46" s="45" t="n">
        <f aca="false">C46*D46</f>
        <v>37.5</v>
      </c>
      <c r="F46" s="47" t="n">
        <f aca="false">E46*Inputs!$C$7</f>
        <v>375</v>
      </c>
      <c r="G46" s="99" t="n">
        <f aca="false">IF($E$45=0,0,E46/$E$45)</f>
        <v>3.46740638002774</v>
      </c>
    </row>
    <row r="47" customFormat="false" ht="15" hidden="false" customHeight="false" outlineLevel="0" collapsed="false">
      <c r="A47" s="5" t="s">
        <v>378</v>
      </c>
      <c r="B47" s="98" t="s">
        <v>379</v>
      </c>
      <c r="C47" s="19" t="n">
        <v>3414</v>
      </c>
      <c r="D47" s="35" t="n">
        <f aca="false">Inputs!$C$18</f>
        <v>0.015</v>
      </c>
      <c r="E47" s="45" t="n">
        <f aca="false">C47*D47</f>
        <v>51.21</v>
      </c>
      <c r="F47" s="47" t="n">
        <f aca="false">E47*Inputs!$C$7</f>
        <v>512.1</v>
      </c>
      <c r="G47" s="99" t="n">
        <f aca="false">IF($E$45=0,0,E47/$E$45)</f>
        <v>4.73509015256588</v>
      </c>
    </row>
    <row r="48" customFormat="false" ht="15" hidden="false" customHeight="false" outlineLevel="0" collapsed="false">
      <c r="A48" s="5" t="s">
        <v>380</v>
      </c>
      <c r="B48" s="98" t="s">
        <v>381</v>
      </c>
      <c r="C48" s="19" t="n">
        <v>5300</v>
      </c>
      <c r="D48" s="35" t="n">
        <f aca="false">Inputs!$C$18</f>
        <v>0.015</v>
      </c>
      <c r="E48" s="45" t="n">
        <f aca="false">C48*D48</f>
        <v>79.5</v>
      </c>
      <c r="F48" s="47" t="n">
        <f aca="false">E48*Inputs!$C$7</f>
        <v>795</v>
      </c>
      <c r="G48" s="99" t="n">
        <f aca="false">IF($E$45=0,0,E48/$E$45)</f>
        <v>7.35090152565881</v>
      </c>
    </row>
    <row r="49" customFormat="false" ht="15" hidden="false" customHeight="false" outlineLevel="0" collapsed="false">
      <c r="A49" s="5" t="s">
        <v>382</v>
      </c>
      <c r="B49" s="98" t="s">
        <v>194</v>
      </c>
      <c r="C49" s="19" t="n">
        <v>15000</v>
      </c>
      <c r="D49" s="35" t="n">
        <f aca="false">Inputs!$C$18</f>
        <v>0.015</v>
      </c>
      <c r="E49" s="45" t="n">
        <f aca="false">C49*D49</f>
        <v>225</v>
      </c>
      <c r="F49" s="47" t="n">
        <f aca="false">E49*Inputs!$C$7</f>
        <v>2250</v>
      </c>
      <c r="G49" s="99" t="n">
        <f aca="false">IF($E$45=0,0,E49/$E$45)</f>
        <v>20.8044382801664</v>
      </c>
    </row>
    <row r="50" customFormat="false" ht="15" hidden="false" customHeight="false" outlineLevel="0" collapsed="false">
      <c r="A50" s="48" t="s">
        <v>383</v>
      </c>
      <c r="B50" s="100" t="s">
        <v>196</v>
      </c>
      <c r="C50" s="56" t="n">
        <v>19800</v>
      </c>
      <c r="D50" s="70" t="n">
        <f aca="false">Inputs!$C$18</f>
        <v>0.015</v>
      </c>
      <c r="E50" s="101" t="n">
        <f aca="false">C50*D50</f>
        <v>297</v>
      </c>
      <c r="F50" s="50" t="n">
        <f aca="false">E50*Inputs!$C$7</f>
        <v>2970</v>
      </c>
      <c r="G50" s="102" t="n">
        <f aca="false">IF($E$45=0,0,E50/$E$45)</f>
        <v>27.4618585298197</v>
      </c>
    </row>
    <row r="51" customFormat="false" ht="15" hidden="false" customHeight="false" outlineLevel="0" collapsed="false">
      <c r="A51" s="2" t="s">
        <v>384</v>
      </c>
    </row>
    <row r="52" customFormat="false" ht="15" hidden="false" customHeight="false" outlineLevel="0" collapsed="false">
      <c r="A52" s="2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2" min="2" style="0" width="9.7"/>
  </cols>
  <sheetData>
    <row r="1" customFormat="false" ht="15" hidden="false" customHeight="false" outlineLevel="0" collapsed="false">
      <c r="A1" s="71" t="s">
        <v>253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customFormat="false" ht="15" hidden="false" customHeight="false" outlineLevel="0" collapsed="false">
      <c r="B2" s="72" t="s">
        <v>254</v>
      </c>
      <c r="C2" s="73" t="n">
        <f aca="false">Inputs!$C$6</f>
        <v>20000</v>
      </c>
      <c r="E2" s="72" t="s">
        <v>255</v>
      </c>
      <c r="F2" s="74" t="n">
        <f aca="false">Inputs!$C$8</f>
        <v>0.2</v>
      </c>
      <c r="H2" s="72" t="s">
        <v>256</v>
      </c>
      <c r="I2" s="75" t="n">
        <v>0</v>
      </c>
    </row>
    <row r="3" customFormat="false" ht="15" hidden="false" customHeight="false" outlineLevel="0" collapsed="false">
      <c r="B3" s="72" t="s">
        <v>257</v>
      </c>
      <c r="C3" s="76" t="n">
        <f aca="false">Inputs!$C$19</f>
        <v>0.0135</v>
      </c>
      <c r="E3" s="72" t="s">
        <v>258</v>
      </c>
      <c r="F3" s="74" t="n">
        <f aca="false">Inputs!$C$9</f>
        <v>0.15</v>
      </c>
      <c r="H3" s="72" t="s">
        <v>259</v>
      </c>
      <c r="I3" s="77" t="n">
        <v>0</v>
      </c>
    </row>
    <row r="4" customFormat="false" ht="15" hidden="false" customHeight="false" outlineLevel="0" collapsed="false">
      <c r="B4" s="72" t="s">
        <v>260</v>
      </c>
      <c r="C4" s="78" t="n">
        <f aca="false">1-F4</f>
        <v>0.8</v>
      </c>
      <c r="E4" s="72" t="s">
        <v>261</v>
      </c>
      <c r="F4" s="74" t="n">
        <f aca="false">Inputs!$C$20</f>
        <v>0.2</v>
      </c>
      <c r="H4" s="72" t="s">
        <v>262</v>
      </c>
      <c r="I4" s="73" t="n">
        <f aca="false">Inputs!$C$26</f>
        <v>750</v>
      </c>
    </row>
    <row r="6" customFormat="false" ht="15" hidden="false" customHeight="false" outlineLevel="0" collapsed="false">
      <c r="A6" s="79" t="str">
        <f aca="false">"Scenario: "&amp;"TPG offer — "&amp;TEXT(C3,"0.00%")&amp;" fee on committed capital, "&amp;TEXT(F4,"0%")&amp;" carry, "&amp;IF(I2=0,"no hurdle",TEXT(I2,"0%")&amp;" hurdle"&amp;IF(I3=1," with 100% GP catch-up (soft)"," with no catch-up (hard)"))</f>
        <v>Scenario: TPG offer — 1.35% fee on committed capital, 20% carry, no hurdle</v>
      </c>
      <c r="J6" s="2" t="s">
        <v>386</v>
      </c>
    </row>
    <row r="8" customFormat="false" ht="15" hidden="false" customHeight="false" outlineLevel="0" collapsed="false">
      <c r="A8" s="33" t="s">
        <v>91</v>
      </c>
      <c r="B8" s="80" t="n">
        <v>0</v>
      </c>
      <c r="C8" s="81" t="n">
        <v>1</v>
      </c>
      <c r="D8" s="81" t="n">
        <v>2</v>
      </c>
      <c r="E8" s="81" t="n">
        <v>3</v>
      </c>
      <c r="F8" s="81" t="n">
        <v>4</v>
      </c>
      <c r="G8" s="81" t="n">
        <v>5</v>
      </c>
      <c r="H8" s="81" t="n">
        <v>6</v>
      </c>
      <c r="I8" s="81" t="n">
        <v>7</v>
      </c>
      <c r="J8" s="81" t="n">
        <v>8</v>
      </c>
      <c r="K8" s="81" t="n">
        <v>9</v>
      </c>
      <c r="L8" s="81" t="n">
        <v>10</v>
      </c>
    </row>
    <row r="9" customFormat="false" ht="15" hidden="false" customHeight="false" outlineLevel="0" collapsed="false">
      <c r="A9" s="82" t="s">
        <v>264</v>
      </c>
    </row>
    <row r="10" customFormat="false" ht="15" hidden="false" customHeight="false" outlineLevel="0" collapsed="false">
      <c r="A10" s="5" t="s">
        <v>265</v>
      </c>
      <c r="C10" s="83" t="n">
        <f aca="false">Inputs!C$13</f>
        <v>0.2</v>
      </c>
      <c r="D10" s="83" t="n">
        <f aca="false">Inputs!D$13</f>
        <v>0.2</v>
      </c>
      <c r="E10" s="83" t="n">
        <f aca="false">Inputs!E$13</f>
        <v>0.2</v>
      </c>
      <c r="F10" s="83" t="n">
        <f aca="false">Inputs!F$13</f>
        <v>0.2</v>
      </c>
      <c r="G10" s="83" t="n">
        <f aca="false">Inputs!G$13</f>
        <v>0.2</v>
      </c>
      <c r="H10" s="83" t="n">
        <f aca="false">Inputs!H$13</f>
        <v>0</v>
      </c>
      <c r="I10" s="83" t="n">
        <f aca="false">Inputs!I$13</f>
        <v>0</v>
      </c>
      <c r="J10" s="83" t="n">
        <f aca="false">Inputs!J$13</f>
        <v>0</v>
      </c>
      <c r="K10" s="83" t="n">
        <f aca="false">Inputs!K$13</f>
        <v>0</v>
      </c>
      <c r="L10" s="83" t="n">
        <f aca="false">Inputs!L$13</f>
        <v>0</v>
      </c>
    </row>
    <row r="11" customFormat="false" ht="15" hidden="false" customHeight="false" outlineLevel="0" collapsed="false">
      <c r="A11" s="5" t="s">
        <v>266</v>
      </c>
      <c r="C11" s="83" t="n">
        <f aca="false">Inputs!C$14</f>
        <v>0</v>
      </c>
      <c r="D11" s="83" t="n">
        <f aca="false">Inputs!D$14</f>
        <v>0</v>
      </c>
      <c r="E11" s="83" t="n">
        <f aca="false">Inputs!E$14</f>
        <v>0</v>
      </c>
      <c r="F11" s="83" t="n">
        <f aca="false">Inputs!F$14</f>
        <v>0</v>
      </c>
      <c r="G11" s="83" t="n">
        <f aca="false">Inputs!G$14</f>
        <v>0.2</v>
      </c>
      <c r="H11" s="83" t="n">
        <f aca="false">Inputs!H$14</f>
        <v>0.2</v>
      </c>
      <c r="I11" s="83" t="n">
        <f aca="false">Inputs!I$14</f>
        <v>0.2</v>
      </c>
      <c r="J11" s="83" t="n">
        <f aca="false">Inputs!J$14</f>
        <v>0.2</v>
      </c>
      <c r="K11" s="83" t="n">
        <f aca="false">Inputs!K$14</f>
        <v>0.2</v>
      </c>
      <c r="L11" s="83" t="n">
        <f aca="false">Inputs!L$14</f>
        <v>1</v>
      </c>
    </row>
    <row r="13" customFormat="false" ht="15" hidden="false" customHeight="false" outlineLevel="0" collapsed="false">
      <c r="A13" s="3" t="s">
        <v>267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5" t="s">
        <v>268</v>
      </c>
      <c r="C14" s="84" t="n">
        <f aca="false">B24</f>
        <v>0</v>
      </c>
      <c r="D14" s="84" t="n">
        <f aca="false">C24</f>
        <v>4476</v>
      </c>
      <c r="E14" s="84" t="n">
        <f aca="false">D24</f>
        <v>9847.2</v>
      </c>
      <c r="F14" s="84" t="n">
        <f aca="false">E24</f>
        <v>16292.64</v>
      </c>
      <c r="G14" s="84" t="n">
        <f aca="false">F24</f>
        <v>24027.168</v>
      </c>
      <c r="H14" s="84" t="n">
        <f aca="false">G24</f>
        <v>26646.88128</v>
      </c>
      <c r="I14" s="84" t="n">
        <f aca="false">H24</f>
        <v>25321.8060288</v>
      </c>
      <c r="J14" s="84" t="n">
        <f aca="false">I24</f>
        <v>24049.733787648</v>
      </c>
      <c r="K14" s="84" t="n">
        <f aca="false">J24</f>
        <v>22828.5444361421</v>
      </c>
      <c r="L14" s="84" t="n">
        <f aca="false">K24</f>
        <v>21656.2026586964</v>
      </c>
    </row>
    <row r="15" customFormat="false" ht="15" hidden="false" customHeight="false" outlineLevel="0" collapsed="false">
      <c r="A15" s="5" t="s">
        <v>269</v>
      </c>
      <c r="C15" s="84" t="n">
        <f aca="false">$C$2*C10</f>
        <v>4000</v>
      </c>
      <c r="D15" s="84" t="n">
        <f aca="false">$C$2*D10</f>
        <v>4000</v>
      </c>
      <c r="E15" s="84" t="n">
        <f aca="false">$C$2*E10</f>
        <v>4000</v>
      </c>
      <c r="F15" s="84" t="n">
        <f aca="false">$C$2*F10</f>
        <v>4000</v>
      </c>
      <c r="G15" s="84" t="n">
        <f aca="false">$C$2*G10</f>
        <v>4000</v>
      </c>
      <c r="H15" s="84" t="n">
        <f aca="false">$C$2*H10</f>
        <v>0</v>
      </c>
      <c r="I15" s="84" t="n">
        <f aca="false">$C$2*I10</f>
        <v>0</v>
      </c>
      <c r="J15" s="84" t="n">
        <f aca="false">$C$2*J10</f>
        <v>0</v>
      </c>
      <c r="K15" s="84" t="n">
        <f aca="false">$C$2*K10</f>
        <v>0</v>
      </c>
      <c r="L15" s="84" t="n">
        <f aca="false">$C$2*L10</f>
        <v>0</v>
      </c>
    </row>
    <row r="16" customFormat="false" ht="15" hidden="false" customHeight="false" outlineLevel="0" collapsed="false">
      <c r="A16" s="5" t="s">
        <v>270</v>
      </c>
      <c r="C16" s="84" t="n">
        <f aca="false">$C$2*$C$3</f>
        <v>270</v>
      </c>
      <c r="D16" s="84" t="n">
        <f aca="false">$C$2*$C$3</f>
        <v>270</v>
      </c>
      <c r="E16" s="84" t="n">
        <f aca="false">$C$2*$C$3</f>
        <v>270</v>
      </c>
      <c r="F16" s="84" t="n">
        <f aca="false">$C$2*$C$3</f>
        <v>270</v>
      </c>
      <c r="G16" s="84" t="n">
        <f aca="false">$C$2*$C$3</f>
        <v>270</v>
      </c>
      <c r="H16" s="84" t="n">
        <f aca="false">$C$2*$C$3</f>
        <v>270</v>
      </c>
      <c r="I16" s="84" t="n">
        <f aca="false">$C$2*$C$3</f>
        <v>270</v>
      </c>
      <c r="J16" s="84" t="n">
        <f aca="false">$C$2*$C$3</f>
        <v>270</v>
      </c>
      <c r="K16" s="84" t="n">
        <f aca="false">$C$2*$C$3</f>
        <v>270</v>
      </c>
      <c r="L16" s="84" t="n">
        <f aca="false">$C$2*$C$3</f>
        <v>270</v>
      </c>
    </row>
    <row r="17" customFormat="false" ht="15" hidden="false" customHeight="false" outlineLevel="0" collapsed="false">
      <c r="A17" s="5" t="s">
        <v>271</v>
      </c>
      <c r="C17" s="84" t="n">
        <f aca="false">C14+C15-C16</f>
        <v>3730</v>
      </c>
      <c r="D17" s="84" t="n">
        <f aca="false">D14+D15-D16</f>
        <v>8206</v>
      </c>
      <c r="E17" s="84" t="n">
        <f aca="false">E14+E15-E16</f>
        <v>13577.2</v>
      </c>
      <c r="F17" s="84" t="n">
        <f aca="false">F14+F15-F16</f>
        <v>20022.64</v>
      </c>
      <c r="G17" s="84" t="n">
        <f aca="false">G14+G15-G16</f>
        <v>27757.168</v>
      </c>
      <c r="H17" s="84" t="n">
        <f aca="false">H14+H15-H16</f>
        <v>26376.88128</v>
      </c>
      <c r="I17" s="84" t="n">
        <f aca="false">I14+I15-I16</f>
        <v>25051.8060288</v>
      </c>
      <c r="J17" s="84" t="n">
        <f aca="false">J14+J15-J16</f>
        <v>23779.733787648</v>
      </c>
      <c r="K17" s="84" t="n">
        <f aca="false">K14+K15-K16</f>
        <v>22558.5444361421</v>
      </c>
      <c r="L17" s="84" t="n">
        <f aca="false">L14+L15-L16</f>
        <v>21386.2026586964</v>
      </c>
    </row>
    <row r="19" customFormat="false" ht="15" hidden="false" customHeight="false" outlineLevel="0" collapsed="false">
      <c r="A19" s="3" t="s">
        <v>272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5" t="s">
        <v>273</v>
      </c>
      <c r="C20" s="84" t="n">
        <f aca="false">C17*$F$2</f>
        <v>746</v>
      </c>
      <c r="D20" s="84" t="n">
        <f aca="false">D17*$F$2</f>
        <v>1641.2</v>
      </c>
      <c r="E20" s="84" t="n">
        <f aca="false">E17*$F$2</f>
        <v>2715.44</v>
      </c>
      <c r="F20" s="84" t="n">
        <f aca="false">F17*$F$2</f>
        <v>4004.528</v>
      </c>
      <c r="G20" s="84" t="n">
        <f aca="false">G17*$F$2</f>
        <v>5551.4336</v>
      </c>
      <c r="H20" s="84" t="n">
        <f aca="false">H17*$F$2</f>
        <v>5275.376256</v>
      </c>
      <c r="I20" s="84" t="n">
        <f aca="false">I17*$F$2</f>
        <v>5010.36120576</v>
      </c>
      <c r="J20" s="84" t="n">
        <f aca="false">J17*$F$2</f>
        <v>4755.9467575296</v>
      </c>
      <c r="K20" s="84" t="n">
        <f aca="false">K17*$F$2</f>
        <v>4511.70888722842</v>
      </c>
      <c r="L20" s="84" t="n">
        <f aca="false">L17*$F$2</f>
        <v>4277.24053173928</v>
      </c>
    </row>
    <row r="21" customFormat="false" ht="15" hidden="false" customHeight="false" outlineLevel="0" collapsed="false">
      <c r="A21" s="5" t="s">
        <v>274</v>
      </c>
      <c r="C21" s="84" t="n">
        <f aca="false">C17+C20</f>
        <v>4476</v>
      </c>
      <c r="D21" s="84" t="n">
        <f aca="false">D17+D20</f>
        <v>9847.2</v>
      </c>
      <c r="E21" s="84" t="n">
        <f aca="false">E17+E20</f>
        <v>16292.64</v>
      </c>
      <c r="F21" s="84" t="n">
        <f aca="false">F17+F20</f>
        <v>24027.168</v>
      </c>
      <c r="G21" s="84" t="n">
        <f aca="false">G17+G20</f>
        <v>33308.6016</v>
      </c>
      <c r="H21" s="84" t="n">
        <f aca="false">H17+H20</f>
        <v>31652.257536</v>
      </c>
      <c r="I21" s="84" t="n">
        <f aca="false">I17+I20</f>
        <v>30062.16723456</v>
      </c>
      <c r="J21" s="84" t="n">
        <f aca="false">J17+J20</f>
        <v>28535.6805451776</v>
      </c>
      <c r="K21" s="84" t="n">
        <f aca="false">K17+K20</f>
        <v>27070.2533233705</v>
      </c>
      <c r="L21" s="84" t="n">
        <f aca="false">L17+L20</f>
        <v>25663.4431904357</v>
      </c>
    </row>
    <row r="23" customFormat="false" ht="15" hidden="false" customHeight="false" outlineLevel="0" collapsed="false">
      <c r="A23" s="5" t="s">
        <v>275</v>
      </c>
      <c r="C23" s="84" t="n">
        <f aca="false">C21*C11</f>
        <v>0</v>
      </c>
      <c r="D23" s="84" t="n">
        <f aca="false">D21*D11</f>
        <v>0</v>
      </c>
      <c r="E23" s="84" t="n">
        <f aca="false">E21*E11</f>
        <v>0</v>
      </c>
      <c r="F23" s="84" t="n">
        <f aca="false">F21*F11</f>
        <v>0</v>
      </c>
      <c r="G23" s="84" t="n">
        <f aca="false">G21*G11</f>
        <v>6661.72032</v>
      </c>
      <c r="H23" s="84" t="n">
        <f aca="false">H21*H11</f>
        <v>6330.4515072</v>
      </c>
      <c r="I23" s="84" t="n">
        <f aca="false">I21*I11</f>
        <v>6012.433446912</v>
      </c>
      <c r="J23" s="84" t="n">
        <f aca="false">J21*J11</f>
        <v>5707.13610903552</v>
      </c>
      <c r="K23" s="84" t="n">
        <f aca="false">K21*K11</f>
        <v>5414.0506646741</v>
      </c>
      <c r="L23" s="84" t="n">
        <f aca="false">L21*L11</f>
        <v>25663.4431904357</v>
      </c>
    </row>
    <row r="24" customFormat="false" ht="15" hidden="false" customHeight="false" outlineLevel="0" collapsed="false">
      <c r="A24" s="48" t="s">
        <v>276</v>
      </c>
      <c r="B24" s="49"/>
      <c r="C24" s="85" t="n">
        <f aca="false">C21-C23</f>
        <v>4476</v>
      </c>
      <c r="D24" s="85" t="n">
        <f aca="false">D21-D23</f>
        <v>9847.2</v>
      </c>
      <c r="E24" s="85" t="n">
        <f aca="false">E21-E23</f>
        <v>16292.64</v>
      </c>
      <c r="F24" s="85" t="n">
        <f aca="false">F21-F23</f>
        <v>24027.168</v>
      </c>
      <c r="G24" s="85" t="n">
        <f aca="false">G21-G23</f>
        <v>26646.88128</v>
      </c>
      <c r="H24" s="85" t="n">
        <f aca="false">H21-H23</f>
        <v>25321.8060288</v>
      </c>
      <c r="I24" s="85" t="n">
        <f aca="false">I21-I23</f>
        <v>24049.733787648</v>
      </c>
      <c r="J24" s="85" t="n">
        <f aca="false">J21-J23</f>
        <v>22828.5444361421</v>
      </c>
      <c r="K24" s="85" t="n">
        <f aca="false">K21-K23</f>
        <v>21656.2026586964</v>
      </c>
      <c r="L24" s="85" t="n">
        <f aca="false">L21-L23</f>
        <v>0</v>
      </c>
    </row>
    <row r="26" customFormat="false" ht="15" hidden="false" customHeight="false" outlineLevel="0" collapsed="false">
      <c r="A26" s="3" t="s">
        <v>277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5" t="s">
        <v>278</v>
      </c>
      <c r="C27" s="84" t="n">
        <f aca="false">B29+C15</f>
        <v>4000</v>
      </c>
      <c r="D27" s="84" t="n">
        <f aca="false">C29+D15</f>
        <v>8000</v>
      </c>
      <c r="E27" s="84" t="n">
        <f aca="false">D29+E15</f>
        <v>12000</v>
      </c>
      <c r="F27" s="84" t="n">
        <f aca="false">E29+F15</f>
        <v>16000</v>
      </c>
      <c r="G27" s="84" t="n">
        <f aca="false">F29+G15</f>
        <v>20000</v>
      </c>
      <c r="H27" s="84" t="n">
        <f aca="false">G29+H15</f>
        <v>13338.27968</v>
      </c>
      <c r="I27" s="84" t="n">
        <f aca="false">H29+I15</f>
        <v>7007.8281728</v>
      </c>
      <c r="J27" s="84" t="n">
        <f aca="false">I29+J15</f>
        <v>995.394725888001</v>
      </c>
      <c r="K27" s="84" t="n">
        <f aca="false">J29+K15</f>
        <v>0</v>
      </c>
      <c r="L27" s="84" t="n">
        <f aca="false">K29+L15</f>
        <v>0</v>
      </c>
    </row>
    <row r="28" customFormat="false" ht="15" hidden="false" customHeight="false" outlineLevel="0" collapsed="false">
      <c r="A28" s="5" t="s">
        <v>279</v>
      </c>
      <c r="C28" s="84" t="n">
        <f aca="false">MIN(C23,C27)</f>
        <v>0</v>
      </c>
      <c r="D28" s="84" t="n">
        <f aca="false">MIN(D23,D27)</f>
        <v>0</v>
      </c>
      <c r="E28" s="84" t="n">
        <f aca="false">MIN(E23,E27)</f>
        <v>0</v>
      </c>
      <c r="F28" s="84" t="n">
        <f aca="false">MIN(F23,F27)</f>
        <v>0</v>
      </c>
      <c r="G28" s="84" t="n">
        <f aca="false">MIN(G23,G27)</f>
        <v>6661.72032</v>
      </c>
      <c r="H28" s="84" t="n">
        <f aca="false">MIN(H23,H27)</f>
        <v>6330.4515072</v>
      </c>
      <c r="I28" s="84" t="n">
        <f aca="false">MIN(I23,I27)</f>
        <v>6012.433446912</v>
      </c>
      <c r="J28" s="84" t="n">
        <f aca="false">MIN(J23,J27)</f>
        <v>995.394725888001</v>
      </c>
      <c r="K28" s="84" t="n">
        <f aca="false">MIN(K23,K27)</f>
        <v>0</v>
      </c>
      <c r="L28" s="84" t="n">
        <f aca="false">MIN(L23,L27)</f>
        <v>0</v>
      </c>
    </row>
    <row r="29" customFormat="false" ht="15" hidden="false" customHeight="false" outlineLevel="0" collapsed="false">
      <c r="A29" s="5" t="s">
        <v>280</v>
      </c>
      <c r="C29" s="84" t="n">
        <f aca="false">C27-C28</f>
        <v>4000</v>
      </c>
      <c r="D29" s="84" t="n">
        <f aca="false">D27-D28</f>
        <v>8000</v>
      </c>
      <c r="E29" s="84" t="n">
        <f aca="false">E27-E28</f>
        <v>12000</v>
      </c>
      <c r="F29" s="84" t="n">
        <f aca="false">F27-F28</f>
        <v>16000</v>
      </c>
      <c r="G29" s="84" t="n">
        <f aca="false">G27-G28</f>
        <v>13338.27968</v>
      </c>
      <c r="H29" s="84" t="n">
        <f aca="false">H27-H28</f>
        <v>7007.8281728</v>
      </c>
      <c r="I29" s="84" t="n">
        <f aca="false">I27-I28</f>
        <v>995.394725888001</v>
      </c>
      <c r="J29" s="84" t="n">
        <f aca="false">J27-J28</f>
        <v>0</v>
      </c>
      <c r="K29" s="84" t="n">
        <f aca="false">K27-K28</f>
        <v>0</v>
      </c>
      <c r="L29" s="84" t="n">
        <f aca="false">L27-L28</f>
        <v>0</v>
      </c>
    </row>
    <row r="30" customFormat="false" ht="15" hidden="false" customHeight="false" outlineLevel="0" collapsed="false">
      <c r="A30" s="5" t="s">
        <v>281</v>
      </c>
      <c r="C30" s="84" t="n">
        <f aca="false">B32+$I$2*(C27+B32)</f>
        <v>0</v>
      </c>
      <c r="D30" s="84" t="n">
        <f aca="false">C32+$I$2*(D27+C32)</f>
        <v>0</v>
      </c>
      <c r="E30" s="84" t="n">
        <f aca="false">D32+$I$2*(E27+D32)</f>
        <v>0</v>
      </c>
      <c r="F30" s="84" t="n">
        <f aca="false">E32+$I$2*(F27+E32)</f>
        <v>0</v>
      </c>
      <c r="G30" s="84" t="n">
        <f aca="false">F32+$I$2*(G27+F32)</f>
        <v>0</v>
      </c>
      <c r="H30" s="84" t="n">
        <f aca="false">G32+$I$2*(H27+G32)</f>
        <v>0</v>
      </c>
      <c r="I30" s="84" t="n">
        <f aca="false">H32+$I$2*(I27+H32)</f>
        <v>0</v>
      </c>
      <c r="J30" s="84" t="n">
        <f aca="false">I32+$I$2*(J27+I32)</f>
        <v>0</v>
      </c>
      <c r="K30" s="84" t="n">
        <f aca="false">J32+$I$2*(K27+J32)</f>
        <v>0</v>
      </c>
      <c r="L30" s="84" t="n">
        <f aca="false">K32+$I$2*(L27+K32)</f>
        <v>0</v>
      </c>
    </row>
    <row r="31" customFormat="false" ht="15" hidden="false" customHeight="false" outlineLevel="0" collapsed="false">
      <c r="A31" s="5" t="s">
        <v>282</v>
      </c>
      <c r="C31" s="84" t="n">
        <f aca="false">MIN(C23-C28,C30)</f>
        <v>0</v>
      </c>
      <c r="D31" s="84" t="n">
        <f aca="false">MIN(D23-D28,D30)</f>
        <v>0</v>
      </c>
      <c r="E31" s="84" t="n">
        <f aca="false">MIN(E23-E28,E30)</f>
        <v>0</v>
      </c>
      <c r="F31" s="84" t="n">
        <f aca="false">MIN(F23-F28,F30)</f>
        <v>0</v>
      </c>
      <c r="G31" s="84" t="n">
        <f aca="false">MIN(G23-G28,G30)</f>
        <v>0</v>
      </c>
      <c r="H31" s="84" t="n">
        <f aca="false">MIN(H23-H28,H30)</f>
        <v>0</v>
      </c>
      <c r="I31" s="84" t="n">
        <f aca="false">MIN(I23-I28,I30)</f>
        <v>0</v>
      </c>
      <c r="J31" s="84" t="n">
        <f aca="false">MIN(J23-J28,J30)</f>
        <v>0</v>
      </c>
      <c r="K31" s="84" t="n">
        <f aca="false">MIN(K23-K28,K30)</f>
        <v>0</v>
      </c>
      <c r="L31" s="84" t="n">
        <f aca="false">MIN(L23-L28,L30)</f>
        <v>0</v>
      </c>
    </row>
    <row r="32" customFormat="false" ht="15" hidden="false" customHeight="false" outlineLevel="0" collapsed="false">
      <c r="A32" s="5" t="s">
        <v>283</v>
      </c>
      <c r="C32" s="84" t="n">
        <f aca="false">C30-C31</f>
        <v>0</v>
      </c>
      <c r="D32" s="84" t="n">
        <f aca="false">D30-D31</f>
        <v>0</v>
      </c>
      <c r="E32" s="84" t="n">
        <f aca="false">E30-E31</f>
        <v>0</v>
      </c>
      <c r="F32" s="84" t="n">
        <f aca="false">F30-F31</f>
        <v>0</v>
      </c>
      <c r="G32" s="84" t="n">
        <f aca="false">G30-G31</f>
        <v>0</v>
      </c>
      <c r="H32" s="84" t="n">
        <f aca="false">H30-H31</f>
        <v>0</v>
      </c>
      <c r="I32" s="84" t="n">
        <f aca="false">I30-I31</f>
        <v>0</v>
      </c>
      <c r="J32" s="84" t="n">
        <f aca="false">J30-J31</f>
        <v>0</v>
      </c>
      <c r="K32" s="84" t="n">
        <f aca="false">K30-K31</f>
        <v>0</v>
      </c>
      <c r="L32" s="84" t="n">
        <f aca="false">L30-L31</f>
        <v>0</v>
      </c>
    </row>
    <row r="33" customFormat="false" ht="15" hidden="false" customHeight="false" outlineLevel="0" collapsed="false">
      <c r="A33" s="5" t="s">
        <v>284</v>
      </c>
      <c r="C33" s="84" t="n">
        <f aca="false">IF($I$3=1,MIN(C23-C28-C31,MAX(0,$F$4/(1-$F$4)*(B37+C31)-B38)),0)</f>
        <v>0</v>
      </c>
      <c r="D33" s="84" t="n">
        <f aca="false">IF($I$3=1,MIN(D23-D28-D31,MAX(0,$F$4/(1-$F$4)*(C37+D31)-C38)),0)</f>
        <v>0</v>
      </c>
      <c r="E33" s="84" t="n">
        <f aca="false">IF($I$3=1,MIN(E23-E28-E31,MAX(0,$F$4/(1-$F$4)*(D37+E31)-D38)),0)</f>
        <v>0</v>
      </c>
      <c r="F33" s="84" t="n">
        <f aca="false">IF($I$3=1,MIN(F23-F28-F31,MAX(0,$F$4/(1-$F$4)*(E37+F31)-E38)),0)</f>
        <v>0</v>
      </c>
      <c r="G33" s="84" t="n">
        <f aca="false">IF($I$3=1,MIN(G23-G28-G31,MAX(0,$F$4/(1-$F$4)*(F37+G31)-F38)),0)</f>
        <v>0</v>
      </c>
      <c r="H33" s="84" t="n">
        <f aca="false">IF($I$3=1,MIN(H23-H28-H31,MAX(0,$F$4/(1-$F$4)*(G37+H31)-G38)),0)</f>
        <v>0</v>
      </c>
      <c r="I33" s="84" t="n">
        <f aca="false">IF($I$3=1,MIN(I23-I28-I31,MAX(0,$F$4/(1-$F$4)*(H37+I31)-H38)),0)</f>
        <v>0</v>
      </c>
      <c r="J33" s="84" t="n">
        <f aca="false">IF($I$3=1,MIN(J23-J28-J31,MAX(0,$F$4/(1-$F$4)*(I37+J31)-I38)),0)</f>
        <v>0</v>
      </c>
      <c r="K33" s="84" t="n">
        <f aca="false">IF($I$3=1,MIN(K23-K28-K31,MAX(0,$F$4/(1-$F$4)*(J37+K31)-J38)),0)</f>
        <v>0</v>
      </c>
      <c r="L33" s="84" t="n">
        <f aca="false">IF($I$3=1,MIN(L23-L28-L31,MAX(0,$F$4/(1-$F$4)*(K37+L31)-K38)),0)</f>
        <v>0</v>
      </c>
    </row>
    <row r="34" customFormat="false" ht="15" hidden="false" customHeight="false" outlineLevel="0" collapsed="false">
      <c r="A34" s="5" t="s">
        <v>285</v>
      </c>
      <c r="C34" s="84" t="n">
        <f aca="false">C23-C28-C31-C33</f>
        <v>0</v>
      </c>
      <c r="D34" s="84" t="n">
        <f aca="false">D23-D28-D31-D33</f>
        <v>0</v>
      </c>
      <c r="E34" s="84" t="n">
        <f aca="false">E23-E28-E31-E33</f>
        <v>0</v>
      </c>
      <c r="F34" s="84" t="n">
        <f aca="false">F23-F28-F31-F33</f>
        <v>0</v>
      </c>
      <c r="G34" s="84" t="n">
        <f aca="false">G23-G28-G31-G33</f>
        <v>0</v>
      </c>
      <c r="H34" s="84" t="n">
        <f aca="false">H23-H28-H31-H33</f>
        <v>0</v>
      </c>
      <c r="I34" s="84" t="n">
        <f aca="false">I23-I28-I31-I33</f>
        <v>0</v>
      </c>
      <c r="J34" s="84" t="n">
        <f aca="false">J23-J28-J31-J33</f>
        <v>4711.74138314752</v>
      </c>
      <c r="K34" s="84" t="n">
        <f aca="false">K23-K28-K31-K33</f>
        <v>5414.0506646741</v>
      </c>
      <c r="L34" s="84" t="n">
        <f aca="false">L23-L28-L31-L33</f>
        <v>25663.4431904357</v>
      </c>
    </row>
    <row r="35" customFormat="false" ht="15" hidden="false" customHeight="false" outlineLevel="0" collapsed="false">
      <c r="A35" s="38" t="s">
        <v>286</v>
      </c>
      <c r="C35" s="86" t="n">
        <f aca="false">C28+C31+$C$4*C34</f>
        <v>0</v>
      </c>
      <c r="D35" s="86" t="n">
        <f aca="false">D28+D31+$C$4*D34</f>
        <v>0</v>
      </c>
      <c r="E35" s="86" t="n">
        <f aca="false">E28+E31+$C$4*E34</f>
        <v>0</v>
      </c>
      <c r="F35" s="86" t="n">
        <f aca="false">F28+F31+$C$4*F34</f>
        <v>0</v>
      </c>
      <c r="G35" s="86" t="n">
        <f aca="false">G28+G31+$C$4*G34</f>
        <v>6661.72032</v>
      </c>
      <c r="H35" s="86" t="n">
        <f aca="false">H28+H31+$C$4*H34</f>
        <v>6330.4515072</v>
      </c>
      <c r="I35" s="86" t="n">
        <f aca="false">I28+I31+$C$4*I34</f>
        <v>6012.433446912</v>
      </c>
      <c r="J35" s="86" t="n">
        <f aca="false">J28+J31+$C$4*J34</f>
        <v>4764.78783240602</v>
      </c>
      <c r="K35" s="86" t="n">
        <f aca="false">K28+K31+$C$4*K34</f>
        <v>4331.24053173928</v>
      </c>
      <c r="L35" s="86" t="n">
        <f aca="false">L28+L31+$C$4*L34</f>
        <v>20530.7545523485</v>
      </c>
    </row>
    <row r="36" customFormat="false" ht="15" hidden="false" customHeight="false" outlineLevel="0" collapsed="false">
      <c r="A36" s="38" t="s">
        <v>287</v>
      </c>
      <c r="C36" s="86" t="n">
        <f aca="false">C33+$F$4*C34</f>
        <v>0</v>
      </c>
      <c r="D36" s="86" t="n">
        <f aca="false">D33+$F$4*D34</f>
        <v>0</v>
      </c>
      <c r="E36" s="86" t="n">
        <f aca="false">E33+$F$4*E34</f>
        <v>0</v>
      </c>
      <c r="F36" s="86" t="n">
        <f aca="false">F33+$F$4*F34</f>
        <v>0</v>
      </c>
      <c r="G36" s="86" t="n">
        <f aca="false">G33+$F$4*G34</f>
        <v>0</v>
      </c>
      <c r="H36" s="86" t="n">
        <f aca="false">H33+$F$4*H34</f>
        <v>0</v>
      </c>
      <c r="I36" s="86" t="n">
        <f aca="false">I33+$F$4*I34</f>
        <v>0</v>
      </c>
      <c r="J36" s="86" t="n">
        <f aca="false">J33+$F$4*J34</f>
        <v>942.348276629504</v>
      </c>
      <c r="K36" s="86" t="n">
        <f aca="false">K33+$F$4*K34</f>
        <v>1082.81013293482</v>
      </c>
      <c r="L36" s="86" t="n">
        <f aca="false">L33+$F$4*L34</f>
        <v>5132.68863808713</v>
      </c>
    </row>
    <row r="37" customFormat="false" ht="15" hidden="false" customHeight="false" outlineLevel="0" collapsed="false">
      <c r="A37" s="5" t="s">
        <v>288</v>
      </c>
      <c r="C37" s="84" t="n">
        <f aca="false">B37+C31+$C$4*C34</f>
        <v>0</v>
      </c>
      <c r="D37" s="84" t="n">
        <f aca="false">C37+D31+$C$4*D34</f>
        <v>0</v>
      </c>
      <c r="E37" s="84" t="n">
        <f aca="false">D37+E31+$C$4*E34</f>
        <v>0</v>
      </c>
      <c r="F37" s="84" t="n">
        <f aca="false">E37+F31+$C$4*F34</f>
        <v>0</v>
      </c>
      <c r="G37" s="84" t="n">
        <f aca="false">F37+G31+$C$4*G34</f>
        <v>0</v>
      </c>
      <c r="H37" s="84" t="n">
        <f aca="false">G37+H31+$C$4*H34</f>
        <v>0</v>
      </c>
      <c r="I37" s="84" t="n">
        <f aca="false">H37+I31+$C$4*I34</f>
        <v>0</v>
      </c>
      <c r="J37" s="84" t="n">
        <f aca="false">I37+J31+$C$4*J34</f>
        <v>3769.39310651802</v>
      </c>
      <c r="K37" s="84" t="n">
        <f aca="false">J37+K31+$C$4*K34</f>
        <v>8100.63363825729</v>
      </c>
      <c r="L37" s="84" t="n">
        <f aca="false">K37+L31+$C$4*L34</f>
        <v>28631.3881906058</v>
      </c>
    </row>
    <row r="38" customFormat="false" ht="15" hidden="false" customHeight="false" outlineLevel="0" collapsed="false">
      <c r="A38" s="48" t="s">
        <v>289</v>
      </c>
      <c r="B38" s="49"/>
      <c r="C38" s="85" t="n">
        <f aca="false">B38+C36</f>
        <v>0</v>
      </c>
      <c r="D38" s="85" t="n">
        <f aca="false">C38+D36</f>
        <v>0</v>
      </c>
      <c r="E38" s="85" t="n">
        <f aca="false">D38+E36</f>
        <v>0</v>
      </c>
      <c r="F38" s="85" t="n">
        <f aca="false">E38+F36</f>
        <v>0</v>
      </c>
      <c r="G38" s="85" t="n">
        <f aca="false">F38+G36</f>
        <v>0</v>
      </c>
      <c r="H38" s="85" t="n">
        <f aca="false">G38+H36</f>
        <v>0</v>
      </c>
      <c r="I38" s="85" t="n">
        <f aca="false">H38+I36</f>
        <v>0</v>
      </c>
      <c r="J38" s="85" t="n">
        <f aca="false">I38+J36</f>
        <v>942.348276629504</v>
      </c>
      <c r="K38" s="85" t="n">
        <f aca="false">J38+K36</f>
        <v>2025.15840956432</v>
      </c>
      <c r="L38" s="85" t="n">
        <f aca="false">K38+L36</f>
        <v>7157.84704765146</v>
      </c>
    </row>
    <row r="40" customFormat="false" ht="15" hidden="false" customHeight="false" outlineLevel="0" collapsed="false">
      <c r="A40" s="3" t="s">
        <v>290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false" outlineLevel="0" collapsed="false">
      <c r="A41" s="5" t="s">
        <v>291</v>
      </c>
      <c r="B41" s="84" t="n">
        <f aca="false">IF(B$8&gt;=COLUMNS($C$15:$L$15),0,-INDEX($C$15:$L$15,B$8+1))</f>
        <v>-4000</v>
      </c>
      <c r="C41" s="84" t="n">
        <f aca="false">IF(C$8&gt;=COLUMNS($C$15:$L$15),0,-INDEX($C$15:$L$15,C$8+1))</f>
        <v>-4000</v>
      </c>
      <c r="D41" s="84" t="n">
        <f aca="false">IF(D$8&gt;=COLUMNS($C$15:$L$15),0,-INDEX($C$15:$L$15,D$8+1))</f>
        <v>-4000</v>
      </c>
      <c r="E41" s="84" t="n">
        <f aca="false">IF(E$8&gt;=COLUMNS($C$15:$L$15),0,-INDEX($C$15:$L$15,E$8+1))</f>
        <v>-4000</v>
      </c>
      <c r="F41" s="84" t="n">
        <f aca="false">IF(F$8&gt;=COLUMNS($C$15:$L$15),0,-INDEX($C$15:$L$15,F$8+1))</f>
        <v>-4000</v>
      </c>
      <c r="G41" s="84" t="n">
        <f aca="false">IF(G$8&gt;=COLUMNS($C$15:$L$15),0,-INDEX($C$15:$L$15,G$8+1))</f>
        <v>-0</v>
      </c>
      <c r="H41" s="84" t="n">
        <f aca="false">IF(H$8&gt;=COLUMNS($C$15:$L$15),0,-INDEX($C$15:$L$15,H$8+1))</f>
        <v>-0</v>
      </c>
      <c r="I41" s="84" t="n">
        <f aca="false">IF(I$8&gt;=COLUMNS($C$15:$L$15),0,-INDEX($C$15:$L$15,I$8+1))</f>
        <v>-0</v>
      </c>
      <c r="J41" s="84" t="n">
        <f aca="false">IF(J$8&gt;=COLUMNS($C$15:$L$15),0,-INDEX($C$15:$L$15,J$8+1))</f>
        <v>-0</v>
      </c>
      <c r="K41" s="84" t="n">
        <f aca="false">IF(K$8&gt;=COLUMNS($C$15:$L$15),0,-INDEX($C$15:$L$15,K$8+1))</f>
        <v>-0</v>
      </c>
      <c r="L41" s="84" t="n">
        <f aca="false">IF(L$8&gt;=COLUMNS($C$15:$L$15),0,-INDEX($C$15:$L$15,L$8+1))</f>
        <v>0</v>
      </c>
    </row>
    <row r="42" customFormat="false" ht="15" hidden="false" customHeight="false" outlineLevel="0" collapsed="false">
      <c r="A42" s="5" t="s">
        <v>292</v>
      </c>
      <c r="B42" s="84" t="n">
        <f aca="false">IF(B$8=0,0,INDEX($C$35:$L$35,B$8))</f>
        <v>0</v>
      </c>
      <c r="C42" s="84" t="n">
        <f aca="false">IF(C$8=0,0,INDEX($C$35:$L$35,C$8))</f>
        <v>0</v>
      </c>
      <c r="D42" s="84" t="n">
        <f aca="false">IF(D$8=0,0,INDEX($C$35:$L$35,D$8))</f>
        <v>0</v>
      </c>
      <c r="E42" s="84" t="n">
        <f aca="false">IF(E$8=0,0,INDEX($C$35:$L$35,E$8))</f>
        <v>0</v>
      </c>
      <c r="F42" s="84" t="n">
        <f aca="false">IF(F$8=0,0,INDEX($C$35:$L$35,F$8))</f>
        <v>0</v>
      </c>
      <c r="G42" s="84" t="n">
        <f aca="false">IF(G$8=0,0,INDEX($C$35:$L$35,G$8))</f>
        <v>6661.72032</v>
      </c>
      <c r="H42" s="84" t="n">
        <f aca="false">IF(H$8=0,0,INDEX($C$35:$L$35,H$8))</f>
        <v>6330.4515072</v>
      </c>
      <c r="I42" s="84" t="n">
        <f aca="false">IF(I$8=0,0,INDEX($C$35:$L$35,I$8))</f>
        <v>6012.433446912</v>
      </c>
      <c r="J42" s="84" t="n">
        <f aca="false">IF(J$8=0,0,INDEX($C$35:$L$35,J$8))</f>
        <v>4764.78783240602</v>
      </c>
      <c r="K42" s="84" t="n">
        <f aca="false">IF(K$8=0,0,INDEX($C$35:$L$35,K$8))</f>
        <v>4331.24053173928</v>
      </c>
      <c r="L42" s="84" t="n">
        <f aca="false">IF(L$8=0,0,INDEX($C$35:$L$35,L$8))</f>
        <v>20530.7545523485</v>
      </c>
    </row>
    <row r="43" customFormat="false" ht="15" hidden="false" customHeight="false" outlineLevel="0" collapsed="false">
      <c r="A43" s="38" t="s">
        <v>293</v>
      </c>
      <c r="B43" s="86" t="n">
        <f aca="false">B41+B42</f>
        <v>-4000</v>
      </c>
      <c r="C43" s="86" t="n">
        <f aca="false">C41+C42</f>
        <v>-4000</v>
      </c>
      <c r="D43" s="86" t="n">
        <f aca="false">D41+D42</f>
        <v>-4000</v>
      </c>
      <c r="E43" s="86" t="n">
        <f aca="false">E41+E42</f>
        <v>-4000</v>
      </c>
      <c r="F43" s="86" t="n">
        <f aca="false">F41+F42</f>
        <v>-4000</v>
      </c>
      <c r="G43" s="86" t="n">
        <f aca="false">G41+G42</f>
        <v>6661.72032</v>
      </c>
      <c r="H43" s="86" t="n">
        <f aca="false">H41+H42</f>
        <v>6330.4515072</v>
      </c>
      <c r="I43" s="86" t="n">
        <f aca="false">I41+I42</f>
        <v>6012.433446912</v>
      </c>
      <c r="J43" s="86" t="n">
        <f aca="false">J41+J42</f>
        <v>4764.78783240602</v>
      </c>
      <c r="K43" s="86" t="n">
        <f aca="false">K41+K42</f>
        <v>4331.24053173928</v>
      </c>
      <c r="L43" s="86" t="n">
        <f aca="false">L41+L42</f>
        <v>20530.7545523485</v>
      </c>
    </row>
    <row r="44" customFormat="false" ht="15" hidden="false" customHeight="false" outlineLevel="0" collapsed="false">
      <c r="A44" s="5" t="s">
        <v>294</v>
      </c>
      <c r="B44" s="84" t="n">
        <f aca="false">IF(B$8&gt;=COLUMNS($C$16:$L$16),0,INDEX($C$16:$L$16,B$8+1))</f>
        <v>270</v>
      </c>
      <c r="C44" s="84" t="n">
        <f aca="false">IF(C$8&gt;=COLUMNS($C$16:$L$16),0,INDEX($C$16:$L$16,C$8+1))</f>
        <v>270</v>
      </c>
      <c r="D44" s="84" t="n">
        <f aca="false">IF(D$8&gt;=COLUMNS($C$16:$L$16),0,INDEX($C$16:$L$16,D$8+1))</f>
        <v>270</v>
      </c>
      <c r="E44" s="84" t="n">
        <f aca="false">IF(E$8&gt;=COLUMNS($C$16:$L$16),0,INDEX($C$16:$L$16,E$8+1))</f>
        <v>270</v>
      </c>
      <c r="F44" s="84" t="n">
        <f aca="false">IF(F$8&gt;=COLUMNS($C$16:$L$16),0,INDEX($C$16:$L$16,F$8+1))</f>
        <v>270</v>
      </c>
      <c r="G44" s="84" t="n">
        <f aca="false">IF(G$8&gt;=COLUMNS($C$16:$L$16),0,INDEX($C$16:$L$16,G$8+1))</f>
        <v>270</v>
      </c>
      <c r="H44" s="84" t="n">
        <f aca="false">IF(H$8&gt;=COLUMNS($C$16:$L$16),0,INDEX($C$16:$L$16,H$8+1))</f>
        <v>270</v>
      </c>
      <c r="I44" s="84" t="n">
        <f aca="false">IF(I$8&gt;=COLUMNS($C$16:$L$16),0,INDEX($C$16:$L$16,I$8+1))</f>
        <v>270</v>
      </c>
      <c r="J44" s="84" t="n">
        <f aca="false">IF(J$8&gt;=COLUMNS($C$16:$L$16),0,INDEX($C$16:$L$16,J$8+1))</f>
        <v>270</v>
      </c>
      <c r="K44" s="84" t="n">
        <f aca="false">IF(K$8&gt;=COLUMNS($C$16:$L$16),0,INDEX($C$16:$L$16,K$8+1))</f>
        <v>270</v>
      </c>
      <c r="L44" s="84" t="n">
        <f aca="false">IF(L$8&gt;=COLUMNS($C$16:$L$16),0,INDEX($C$16:$L$16,L$8+1))</f>
        <v>0</v>
      </c>
    </row>
    <row r="45" customFormat="false" ht="15" hidden="false" customHeight="false" outlineLevel="0" collapsed="false">
      <c r="A45" s="5" t="s">
        <v>295</v>
      </c>
      <c r="B45" s="84" t="n">
        <f aca="false">IF(B$8=0,0,INDEX($C$36:$L$36,B$8))</f>
        <v>0</v>
      </c>
      <c r="C45" s="84" t="n">
        <f aca="false">IF(C$8=0,0,INDEX($C$36:$L$36,C$8))</f>
        <v>0</v>
      </c>
      <c r="D45" s="84" t="n">
        <f aca="false">IF(D$8=0,0,INDEX($C$36:$L$36,D$8))</f>
        <v>0</v>
      </c>
      <c r="E45" s="84" t="n">
        <f aca="false">IF(E$8=0,0,INDEX($C$36:$L$36,E$8))</f>
        <v>0</v>
      </c>
      <c r="F45" s="84" t="n">
        <f aca="false">IF(F$8=0,0,INDEX($C$36:$L$36,F$8))</f>
        <v>0</v>
      </c>
      <c r="G45" s="84" t="n">
        <f aca="false">IF(G$8=0,0,INDEX($C$36:$L$36,G$8))</f>
        <v>0</v>
      </c>
      <c r="H45" s="84" t="n">
        <f aca="false">IF(H$8=0,0,INDEX($C$36:$L$36,H$8))</f>
        <v>0</v>
      </c>
      <c r="I45" s="84" t="n">
        <f aca="false">IF(I$8=0,0,INDEX($C$36:$L$36,I$8))</f>
        <v>0</v>
      </c>
      <c r="J45" s="84" t="n">
        <f aca="false">IF(J$8=0,0,INDEX($C$36:$L$36,J$8))</f>
        <v>942.348276629504</v>
      </c>
      <c r="K45" s="84" t="n">
        <f aca="false">IF(K$8=0,0,INDEX($C$36:$L$36,K$8))</f>
        <v>1082.81013293482</v>
      </c>
      <c r="L45" s="84" t="n">
        <f aca="false">IF(L$8=0,0,INDEX($C$36:$L$36,L$8))</f>
        <v>5132.68863808713</v>
      </c>
    </row>
    <row r="46" customFormat="false" ht="15" hidden="false" customHeight="false" outlineLevel="0" collapsed="false">
      <c r="A46" s="38" t="s">
        <v>296</v>
      </c>
      <c r="B46" s="86" t="n">
        <f aca="false">B44+B45</f>
        <v>270</v>
      </c>
      <c r="C46" s="86" t="n">
        <f aca="false">C44+C45</f>
        <v>270</v>
      </c>
      <c r="D46" s="86" t="n">
        <f aca="false">D44+D45</f>
        <v>270</v>
      </c>
      <c r="E46" s="86" t="n">
        <f aca="false">E44+E45</f>
        <v>270</v>
      </c>
      <c r="F46" s="86" t="n">
        <f aca="false">F44+F45</f>
        <v>270</v>
      </c>
      <c r="G46" s="86" t="n">
        <f aca="false">G44+G45</f>
        <v>270</v>
      </c>
      <c r="H46" s="86" t="n">
        <f aca="false">H44+H45</f>
        <v>270</v>
      </c>
      <c r="I46" s="86" t="n">
        <f aca="false">I44+I45</f>
        <v>270</v>
      </c>
      <c r="J46" s="86" t="n">
        <f aca="false">J44+J45</f>
        <v>1212.3482766295</v>
      </c>
      <c r="K46" s="86" t="n">
        <f aca="false">K44+K45</f>
        <v>1352.81013293482</v>
      </c>
      <c r="L46" s="86" t="n">
        <f aca="false">L44+L45</f>
        <v>5132.68863808713</v>
      </c>
    </row>
    <row r="47" customFormat="false" ht="15" hidden="false" customHeight="false" outlineLevel="0" collapsed="false">
      <c r="A47" s="48" t="s">
        <v>297</v>
      </c>
      <c r="B47" s="85" t="n">
        <f aca="false">$C$63*B43</f>
        <v>-150</v>
      </c>
      <c r="C47" s="85" t="n">
        <f aca="false">$C$63*C43</f>
        <v>-150</v>
      </c>
      <c r="D47" s="85" t="n">
        <f aca="false">$C$63*D43</f>
        <v>-150</v>
      </c>
      <c r="E47" s="85" t="n">
        <f aca="false">$C$63*E43</f>
        <v>-150</v>
      </c>
      <c r="F47" s="85" t="n">
        <f aca="false">$C$63*F43</f>
        <v>-150</v>
      </c>
      <c r="G47" s="85" t="n">
        <f aca="false">$C$63*G43</f>
        <v>249.814512</v>
      </c>
      <c r="H47" s="85" t="n">
        <f aca="false">$C$63*H43</f>
        <v>237.39193152</v>
      </c>
      <c r="I47" s="85" t="n">
        <f aca="false">$C$63*I43</f>
        <v>225.4662542592</v>
      </c>
      <c r="J47" s="85" t="n">
        <f aca="false">$C$63*J43</f>
        <v>178.679543715226</v>
      </c>
      <c r="K47" s="85" t="n">
        <f aca="false">$C$63*K43</f>
        <v>162.421519940223</v>
      </c>
      <c r="L47" s="85" t="n">
        <f aca="false">$C$63*L43</f>
        <v>769.90329571307</v>
      </c>
    </row>
    <row r="49" customFormat="false" ht="15" hidden="false" customHeight="false" outlineLevel="0" collapsed="false">
      <c r="A49" s="3" t="s">
        <v>298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false" outlineLevel="0" collapsed="false">
      <c r="A50" s="38" t="s">
        <v>299</v>
      </c>
      <c r="C50" s="87" t="n">
        <f aca="false">IRR(B43:L43,0.1)</f>
        <v>0.159361408558221</v>
      </c>
      <c r="E50" s="2" t="s">
        <v>300</v>
      </c>
    </row>
    <row r="51" customFormat="false" ht="15" hidden="false" customHeight="false" outlineLevel="0" collapsed="false">
      <c r="A51" s="38" t="s">
        <v>301</v>
      </c>
      <c r="C51" s="46" t="n">
        <f aca="false">B43+NPV($F$3,C43:L43)</f>
        <v>752.979228799433</v>
      </c>
      <c r="E51" s="2" t="s">
        <v>302</v>
      </c>
    </row>
    <row r="52" customFormat="false" ht="15" hidden="false" customHeight="false" outlineLevel="0" collapsed="false">
      <c r="A52" s="5" t="s">
        <v>303</v>
      </c>
      <c r="C52" s="45" t="n">
        <f aca="false">-SUM(B41:L41)</f>
        <v>20000</v>
      </c>
      <c r="E52" s="2" t="s">
        <v>304</v>
      </c>
    </row>
    <row r="53" customFormat="false" ht="15" hidden="false" customHeight="false" outlineLevel="0" collapsed="false">
      <c r="A53" s="5" t="s">
        <v>305</v>
      </c>
      <c r="C53" s="45" t="n">
        <f aca="false">SUM(B42:L42)</f>
        <v>48631.3881906058</v>
      </c>
    </row>
    <row r="54" customFormat="false" ht="15" hidden="false" customHeight="false" outlineLevel="0" collapsed="false">
      <c r="A54" s="5" t="s">
        <v>148</v>
      </c>
      <c r="C54" s="88" t="n">
        <f aca="false">IF(C52=0,0,C53/C52)</f>
        <v>2.43156940953029</v>
      </c>
    </row>
    <row r="55" customFormat="false" ht="15" hidden="false" customHeight="false" outlineLevel="0" collapsed="false">
      <c r="A55" s="5" t="s">
        <v>306</v>
      </c>
      <c r="C55" s="45" t="n">
        <f aca="false">SUM(B44:L44)</f>
        <v>2700</v>
      </c>
    </row>
    <row r="56" customFormat="false" ht="15" hidden="false" customHeight="false" outlineLevel="0" collapsed="false">
      <c r="A56" s="5" t="s">
        <v>307</v>
      </c>
      <c r="C56" s="45" t="n">
        <f aca="false">SUM(B45:L45)</f>
        <v>7157.84704765146</v>
      </c>
    </row>
    <row r="57" customFormat="false" ht="15" hidden="false" customHeight="false" outlineLevel="0" collapsed="false">
      <c r="A57" s="5" t="s">
        <v>308</v>
      </c>
      <c r="C57" s="45" t="n">
        <f aca="false">B44+NPV($F$3,C44:L44)</f>
        <v>1558.32765832774</v>
      </c>
      <c r="E57" s="2" t="s">
        <v>309</v>
      </c>
    </row>
    <row r="58" customFormat="false" ht="15" hidden="false" customHeight="false" outlineLevel="0" collapsed="false">
      <c r="A58" s="5" t="s">
        <v>310</v>
      </c>
      <c r="C58" s="45" t="n">
        <f aca="false">B45+NPV($F$3,C45:L45)</f>
        <v>1884.57967600123</v>
      </c>
    </row>
    <row r="59" customFormat="false" ht="15" hidden="false" customHeight="false" outlineLevel="0" collapsed="false">
      <c r="A59" s="38" t="s">
        <v>311</v>
      </c>
      <c r="C59" s="46" t="n">
        <f aca="false">C57+C58</f>
        <v>3442.90733432897</v>
      </c>
    </row>
    <row r="60" customFormat="false" ht="15" hidden="false" customHeight="false" outlineLevel="0" collapsed="false">
      <c r="A60" s="5" t="s">
        <v>312</v>
      </c>
      <c r="C60" s="32" t="n">
        <f aca="false">IF(C59=0,0,C57/C59)</f>
        <v>0.452619692313461</v>
      </c>
      <c r="E60" s="2" t="s">
        <v>313</v>
      </c>
    </row>
    <row r="61" customFormat="false" ht="15" hidden="false" customHeight="false" outlineLevel="0" collapsed="false">
      <c r="A61" s="5" t="s">
        <v>314</v>
      </c>
      <c r="C61" s="89" t="n">
        <f aca="false">$F$2-C50</f>
        <v>0.0406385914417793</v>
      </c>
    </row>
    <row r="62" customFormat="false" ht="15" hidden="false" customHeight="false" outlineLevel="0" collapsed="false">
      <c r="A62" s="5" t="s">
        <v>315</v>
      </c>
      <c r="C62" s="21" t="n">
        <f aca="false">IF(MAX(C38:L38)&lt;=0,"None",IFERROR(INDEX(C8:L8,MATCH(0,C38:L38,1)+1),C8))</f>
        <v>8</v>
      </c>
    </row>
    <row r="63" customFormat="false" ht="15" hidden="false" customHeight="false" outlineLevel="0" collapsed="false">
      <c r="A63" s="5" t="s">
        <v>316</v>
      </c>
      <c r="C63" s="90" t="n">
        <f aca="false">IF($C$2=0,0,$I$4/$C$2)</f>
        <v>0.0375</v>
      </c>
      <c r="E63" s="2" t="s">
        <v>317</v>
      </c>
    </row>
    <row r="64" customFormat="false" ht="15" hidden="false" customHeight="false" outlineLevel="0" collapsed="false">
      <c r="A64" s="5" t="s">
        <v>318</v>
      </c>
      <c r="C64" s="45" t="n">
        <f aca="false">C63*C51</f>
        <v>28.2367210799787</v>
      </c>
    </row>
    <row r="65" customFormat="false" ht="15" hidden="false" customHeight="false" outlineLevel="0" collapsed="false">
      <c r="A65" s="5" t="s">
        <v>319</v>
      </c>
      <c r="C65" s="45" t="n">
        <f aca="false">C63*C55</f>
        <v>101.25</v>
      </c>
    </row>
    <row r="66" customFormat="false" ht="15" hidden="false" customHeight="false" outlineLevel="0" collapsed="false">
      <c r="A66" s="5" t="s">
        <v>320</v>
      </c>
      <c r="C66" s="45" t="n">
        <f aca="false">C63*C53</f>
        <v>1823.67705714772</v>
      </c>
    </row>
    <row r="68" customFormat="false" ht="15" hidden="false" customHeight="false" outlineLevel="0" collapsed="false">
      <c r="A68" s="3" t="s">
        <v>321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5" t="s">
        <v>322</v>
      </c>
      <c r="C69" s="45" t="n">
        <f aca="false">ROUND(L24,6)</f>
        <v>0</v>
      </c>
    </row>
    <row r="70" customFormat="false" ht="15" hidden="false" customHeight="false" outlineLevel="0" collapsed="false">
      <c r="A70" s="5" t="s">
        <v>323</v>
      </c>
      <c r="C70" s="45" t="n">
        <f aca="false">ROUND(SUM(C23:L23)-SUM(C35:L35)-SUM(C36:L36),6)</f>
        <v>0</v>
      </c>
    </row>
    <row r="71" customFormat="false" ht="15" hidden="false" customHeight="false" outlineLevel="0" collapsed="false">
      <c r="A71" s="5" t="s">
        <v>324</v>
      </c>
      <c r="C71" s="45" t="n">
        <f aca="false">ROUND(SUM(C23:L23)-(SUM(C15:L15)-SUM(C16:L16)+SUM(C20:L20)),6)</f>
        <v>0</v>
      </c>
    </row>
    <row r="72" customFormat="false" ht="15" hidden="false" customHeight="false" outlineLevel="0" collapsed="false">
      <c r="A72" s="8" t="s">
        <v>325</v>
      </c>
      <c r="B72" s="49"/>
      <c r="C72" s="91" t="str">
        <f aca="false">IF(ABS(C69)+ABS(C70)+ABS(C71)&lt;0.001,"OK","CHECK")</f>
        <v>OK</v>
      </c>
      <c r="D72" s="49"/>
      <c r="E72" s="49"/>
      <c r="F72" s="49"/>
      <c r="G72" s="49"/>
      <c r="H72" s="49"/>
      <c r="I72" s="49"/>
      <c r="J72" s="49"/>
      <c r="K72" s="49"/>
      <c r="L72" s="49"/>
    </row>
    <row r="74" customFormat="false" ht="15" hidden="false" customHeight="false" outlineLevel="0" collapsed="false">
      <c r="A74" s="2" t="s">
        <v>326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4"/>
  </cols>
  <sheetData>
    <row r="1" customFormat="false" ht="15" hidden="false" customHeight="false" outlineLevel="0" collapsed="false">
      <c r="A1" s="18" t="s">
        <v>387</v>
      </c>
    </row>
    <row r="2" customFormat="false" ht="15" hidden="false" customHeight="false" outlineLevel="0" collapsed="false">
      <c r="A2" s="2" t="s">
        <v>388</v>
      </c>
    </row>
    <row r="4" customFormat="false" ht="15" hidden="false" customHeight="false" outlineLevel="0" collapsed="false">
      <c r="A4" s="3" t="s">
        <v>389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49"/>
      <c r="B5" s="60" t="s">
        <v>390</v>
      </c>
      <c r="C5" s="60" t="s">
        <v>391</v>
      </c>
      <c r="D5" s="60" t="s">
        <v>392</v>
      </c>
    </row>
    <row r="6" customFormat="false" ht="15" hidden="false" customHeight="false" outlineLevel="0" collapsed="false">
      <c r="A6" s="5" t="s">
        <v>143</v>
      </c>
      <c r="B6" s="35" t="n">
        <f aca="false">'Q3 Base case'!$C$50</f>
        <v>0.15722559423369</v>
      </c>
      <c r="C6" s="35" t="n">
        <f aca="false">'Q4 Fee cut'!$C$50</f>
        <v>0.159361408558221</v>
      </c>
      <c r="D6" s="103" t="n">
        <f aca="false">(C6-B6)*10000</f>
        <v>21.3581432453117</v>
      </c>
    </row>
    <row r="7" customFormat="false" ht="15" hidden="false" customHeight="false" outlineLevel="0" collapsed="false">
      <c r="A7" s="5" t="s">
        <v>331</v>
      </c>
      <c r="B7" s="42" t="n">
        <f aca="false">'Q3 Base case'!$C$51</f>
        <v>578.217140375094</v>
      </c>
      <c r="C7" s="42" t="n">
        <f aca="false">'Q4 Fee cut'!$C$51</f>
        <v>752.979228799433</v>
      </c>
      <c r="D7" s="45" t="n">
        <f aca="false">C7-B7</f>
        <v>174.76208842434</v>
      </c>
    </row>
    <row r="8" customFormat="false" ht="15" hidden="false" customHeight="false" outlineLevel="0" collapsed="false">
      <c r="A8" s="5" t="s">
        <v>393</v>
      </c>
      <c r="B8" s="42" t="n">
        <f aca="false">'Q3 Base case'!$C$53</f>
        <v>48070.520865654</v>
      </c>
      <c r="C8" s="42" t="n">
        <f aca="false">'Q4 Fee cut'!$C$53</f>
        <v>48631.3881906058</v>
      </c>
      <c r="D8" s="45" t="n">
        <f aca="false">C8-B8</f>
        <v>560.867324951782</v>
      </c>
    </row>
    <row r="9" customFormat="false" ht="15" hidden="false" customHeight="false" outlineLevel="0" collapsed="false">
      <c r="A9" s="5" t="s">
        <v>332</v>
      </c>
      <c r="B9" s="43" t="n">
        <f aca="false">'Q3 Base case'!$C$54</f>
        <v>2.4035260432827</v>
      </c>
      <c r="C9" s="43" t="n">
        <f aca="false">'Q4 Fee cut'!$C$54</f>
        <v>2.43156940953029</v>
      </c>
      <c r="D9" s="104" t="n">
        <f aca="false">C9-B9</f>
        <v>0.028043366247589</v>
      </c>
    </row>
    <row r="10" customFormat="false" ht="15" hidden="false" customHeight="false" outlineLevel="0" collapsed="false">
      <c r="A10" s="5" t="s">
        <v>333</v>
      </c>
      <c r="B10" s="42" t="n">
        <f aca="false">'Q3 Base case'!$C$55</f>
        <v>3000</v>
      </c>
      <c r="C10" s="42" t="n">
        <f aca="false">'Q4 Fee cut'!$C$55</f>
        <v>2700</v>
      </c>
      <c r="D10" s="45" t="n">
        <f aca="false">C10-B10</f>
        <v>-300</v>
      </c>
      <c r="E10" s="2" t="s">
        <v>394</v>
      </c>
    </row>
    <row r="11" customFormat="false" ht="15" hidden="false" customHeight="false" outlineLevel="0" collapsed="false">
      <c r="A11" s="5" t="s">
        <v>334</v>
      </c>
      <c r="B11" s="42" t="n">
        <f aca="false">'Q3 Base case'!$C$56</f>
        <v>7017.63021641351</v>
      </c>
      <c r="C11" s="42" t="n">
        <f aca="false">'Q4 Fee cut'!$C$56</f>
        <v>7157.84704765146</v>
      </c>
      <c r="D11" s="45" t="n">
        <f aca="false">C11-B11</f>
        <v>140.216831237946</v>
      </c>
      <c r="E11" s="2" t="s">
        <v>395</v>
      </c>
    </row>
    <row r="12" customFormat="false" ht="15" hidden="false" customHeight="false" outlineLevel="0" collapsed="false">
      <c r="A12" s="5" t="s">
        <v>335</v>
      </c>
      <c r="B12" s="42" t="n">
        <f aca="false">'Q3 Base case'!$C$57</f>
        <v>1731.47517591971</v>
      </c>
      <c r="C12" s="42" t="n">
        <f aca="false">'Q4 Fee cut'!$C$57</f>
        <v>1558.32765832774</v>
      </c>
      <c r="D12" s="45" t="n">
        <f aca="false">C12-B12</f>
        <v>-173.147517591971</v>
      </c>
    </row>
    <row r="13" customFormat="false" ht="15" hidden="false" customHeight="false" outlineLevel="0" collapsed="false">
      <c r="A13" s="5" t="s">
        <v>336</v>
      </c>
      <c r="B13" s="42" t="n">
        <f aca="false">'Q3 Base case'!$C$58</f>
        <v>1845.49373575418</v>
      </c>
      <c r="C13" s="42" t="n">
        <f aca="false">'Q4 Fee cut'!$C$58</f>
        <v>1884.57967600123</v>
      </c>
      <c r="D13" s="45" t="n">
        <f aca="false">C13-B13</f>
        <v>39.0859402470567</v>
      </c>
    </row>
    <row r="14" customFormat="false" ht="15" hidden="false" customHeight="false" outlineLevel="0" collapsed="false">
      <c r="A14" s="48" t="s">
        <v>311</v>
      </c>
      <c r="B14" s="67" t="n">
        <f aca="false">'Q3 Base case'!$C$59</f>
        <v>3576.96891167389</v>
      </c>
      <c r="C14" s="67" t="n">
        <f aca="false">'Q4 Fee cut'!$C$59</f>
        <v>3442.90733432897</v>
      </c>
      <c r="D14" s="101" t="n">
        <f aca="false">C14-B14</f>
        <v>-134.061577344914</v>
      </c>
    </row>
    <row r="16" customFormat="false" ht="15" hidden="false" customHeight="false" outlineLevel="0" collapsed="false">
      <c r="A16" s="3" t="s">
        <v>396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5" t="s">
        <v>397</v>
      </c>
      <c r="C17" s="105" t="n">
        <f aca="false">'Q4 Fee cut'!$C$63</f>
        <v>0.0375</v>
      </c>
    </row>
    <row r="18" customFormat="false" ht="15" hidden="false" customHeight="false" outlineLevel="0" collapsed="false">
      <c r="A18" s="5" t="s">
        <v>398</v>
      </c>
      <c r="C18" s="106" t="n">
        <f aca="false">Inputs!$C$26*Inputs!$C$18</f>
        <v>11.25</v>
      </c>
    </row>
    <row r="19" customFormat="false" ht="15" hidden="false" customHeight="false" outlineLevel="0" collapsed="false">
      <c r="A19" s="5" t="s">
        <v>399</v>
      </c>
      <c r="C19" s="106" t="n">
        <f aca="false">Inputs!$C$26*Inputs!$C$19</f>
        <v>10.125</v>
      </c>
    </row>
    <row r="20" customFormat="false" ht="15" hidden="false" customHeight="false" outlineLevel="0" collapsed="false">
      <c r="A20" s="38" t="s">
        <v>400</v>
      </c>
      <c r="C20" s="107" t="n">
        <f aca="false">C18-C19</f>
        <v>1.125</v>
      </c>
    </row>
    <row r="21" customFormat="false" ht="15" hidden="false" customHeight="false" outlineLevel="0" collapsed="false">
      <c r="A21" s="5" t="s">
        <v>401</v>
      </c>
      <c r="C21" s="42" t="n">
        <f aca="false">C20*Inputs!$C$7</f>
        <v>11.25</v>
      </c>
    </row>
    <row r="22" customFormat="false" ht="15" hidden="false" customHeight="false" outlineLevel="0" collapsed="false">
      <c r="A22" s="5" t="s">
        <v>402</v>
      </c>
      <c r="C22" s="45" t="n">
        <f aca="false">C17*(B12-C12)</f>
        <v>6.49303190969892</v>
      </c>
    </row>
    <row r="23" customFormat="false" ht="15" hidden="false" customHeight="false" outlineLevel="0" collapsed="false">
      <c r="A23" s="5" t="s">
        <v>403</v>
      </c>
      <c r="C23" s="42" t="n">
        <f aca="false">C17*(NPV(Inputs!$C$9,'Q4 Fee cut'!$C$23:$L$23)-NPV(Inputs!$C$9,'Q3 Base case'!$C$23:$L$23))</f>
        <v>8.01930107517737</v>
      </c>
      <c r="E23" s="2" t="s">
        <v>404</v>
      </c>
    </row>
    <row r="24" customFormat="false" ht="15" hidden="false" customHeight="false" outlineLevel="0" collapsed="false">
      <c r="A24" s="5" t="s">
        <v>405</v>
      </c>
      <c r="C24" s="45" t="n">
        <f aca="false">-C17*(C13-B13)</f>
        <v>-1.46572275926463</v>
      </c>
      <c r="E24" s="2" t="s">
        <v>406</v>
      </c>
    </row>
    <row r="25" customFormat="false" ht="15" hidden="false" customHeight="false" outlineLevel="0" collapsed="false">
      <c r="A25" s="38" t="s">
        <v>407</v>
      </c>
      <c r="C25" s="46" t="n">
        <f aca="false">C23+C24</f>
        <v>6.55357831591275</v>
      </c>
    </row>
    <row r="26" customFormat="false" ht="15" hidden="false" customHeight="false" outlineLevel="0" collapsed="false">
      <c r="A26" s="5" t="s">
        <v>408</v>
      </c>
      <c r="C26" s="42" t="n">
        <f aca="false">ROUND(C25-('Q4 Fee cut'!$C$64-'Q3 Base case'!$C$64),6)</f>
        <v>0</v>
      </c>
    </row>
    <row r="27" customFormat="false" ht="15" hidden="false" customHeight="false" outlineLevel="0" collapsed="false">
      <c r="A27" s="5" t="s">
        <v>409</v>
      </c>
      <c r="C27" s="105" t="n">
        <f aca="false">IF(Inputs!$C$26=0,0,C25/Inputs!$C$26)</f>
        <v>0.008738104421217</v>
      </c>
    </row>
    <row r="28" customFormat="false" ht="15" hidden="false" customHeight="false" outlineLevel="0" collapsed="false">
      <c r="A28" s="48" t="s">
        <v>410</v>
      </c>
      <c r="B28" s="49"/>
      <c r="C28" s="108" t="n">
        <f aca="false">D6</f>
        <v>21.3581432453117</v>
      </c>
      <c r="D28" s="49"/>
    </row>
    <row r="30" customFormat="false" ht="15" hidden="false" customHeight="false" outlineLevel="0" collapsed="false">
      <c r="A30" s="3" t="s">
        <v>411</v>
      </c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49"/>
      <c r="B31" s="60" t="s">
        <v>412</v>
      </c>
      <c r="C31" s="60" t="s">
        <v>413</v>
      </c>
      <c r="D31" s="60" t="s">
        <v>414</v>
      </c>
      <c r="E31" s="60" t="s">
        <v>415</v>
      </c>
      <c r="F31" s="60" t="s">
        <v>416</v>
      </c>
    </row>
    <row r="32" customFormat="false" ht="15" hidden="false" customHeight="false" outlineLevel="0" collapsed="false">
      <c r="A32" s="5" t="s">
        <v>417</v>
      </c>
      <c r="B32" s="35" t="n">
        <f aca="false">Engine!$K$16</f>
        <v>0.19999999999999</v>
      </c>
      <c r="C32" s="35" t="n">
        <f aca="false">Engine!$K$17</f>
        <v>0.178048924579342</v>
      </c>
      <c r="D32" s="35" t="n">
        <f aca="false">'Q3 Base case'!$C$50</f>
        <v>0.15722559423369</v>
      </c>
      <c r="E32" s="103" t="n">
        <f aca="false">(B32-C32)*10000</f>
        <v>219.510754206475</v>
      </c>
      <c r="F32" s="103" t="n">
        <f aca="false">(C32-D32)*10000</f>
        <v>208.233303456528</v>
      </c>
    </row>
    <row r="33" customFormat="false" ht="15" hidden="false" customHeight="false" outlineLevel="0" collapsed="false">
      <c r="A33" s="48" t="s">
        <v>418</v>
      </c>
      <c r="B33" s="70" t="n">
        <f aca="false">Engine!$K$16</f>
        <v>0.19999999999999</v>
      </c>
      <c r="C33" s="70" t="n">
        <f aca="false">Engine!$K$18</f>
        <v>0.180349642375779</v>
      </c>
      <c r="D33" s="70" t="n">
        <f aca="false">'Q4 Fee cut'!$C$50</f>
        <v>0.159361408558221</v>
      </c>
      <c r="E33" s="108" t="n">
        <f aca="false">(B33-C33)*10000</f>
        <v>196.50357624211</v>
      </c>
      <c r="F33" s="108" t="n">
        <f aca="false">(C33-D33)*10000</f>
        <v>209.882338175581</v>
      </c>
    </row>
    <row r="35" customFormat="false" ht="15" hidden="false" customHeight="false" outlineLevel="0" collapsed="false">
      <c r="A35" s="3" t="s">
        <v>419</v>
      </c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8" t="s">
        <v>246</v>
      </c>
      <c r="B36" s="60" t="s">
        <v>420</v>
      </c>
      <c r="C36" s="60" t="s">
        <v>421</v>
      </c>
      <c r="D36" s="60" t="s">
        <v>422</v>
      </c>
      <c r="E36" s="60" t="s">
        <v>423</v>
      </c>
    </row>
    <row r="37" customFormat="false" ht="15" hidden="false" customHeight="false" outlineLevel="0" collapsed="false">
      <c r="A37" s="68" t="n">
        <f aca="false">Engine!$I$21</f>
        <v>0</v>
      </c>
      <c r="B37" s="35" t="n">
        <f aca="false">Engine!$K$21</f>
        <v>-0.0287406320352517</v>
      </c>
      <c r="C37" s="35" t="n">
        <f aca="false">Engine!$K$52</f>
        <v>-0.025625197842692</v>
      </c>
      <c r="D37" s="92" t="n">
        <f aca="false">(C37-B37)*10000</f>
        <v>31.1543419255966</v>
      </c>
      <c r="E37" s="42" t="n">
        <f aca="false">$C$17*(Engine!$L$52-Engine!$L$21)</f>
        <v>3.5465952235822</v>
      </c>
    </row>
    <row r="38" customFormat="false" ht="15" hidden="false" customHeight="false" outlineLevel="0" collapsed="false">
      <c r="A38" s="68" t="n">
        <f aca="false">Engine!$I$26</f>
        <v>0.05</v>
      </c>
      <c r="B38" s="35" t="n">
        <f aca="false">Engine!$K$26</f>
        <v>0.0195060544311213</v>
      </c>
      <c r="C38" s="35" t="n">
        <f aca="false">Engine!$K$57</f>
        <v>0.0218360808430908</v>
      </c>
      <c r="D38" s="92" t="n">
        <f aca="false">(C38-B38)*10000</f>
        <v>23.3002641196949</v>
      </c>
      <c r="E38" s="42" t="n">
        <f aca="false">$C$17*(Engine!$L$57-Engine!$L$26)</f>
        <v>3.63493563916094</v>
      </c>
    </row>
    <row r="39" customFormat="false" ht="15" hidden="false" customHeight="false" outlineLevel="0" collapsed="false">
      <c r="A39" s="68" t="n">
        <f aca="false">Engine!$I$31</f>
        <v>0.1</v>
      </c>
      <c r="B39" s="35" t="n">
        <f aca="false">Engine!$K$31</f>
        <v>0.0641907883459574</v>
      </c>
      <c r="C39" s="35" t="n">
        <f aca="false">Engine!$K$62</f>
        <v>0.0664745873122854</v>
      </c>
      <c r="D39" s="92" t="n">
        <f aca="false">(C39-B39)*10000</f>
        <v>22.8379896632799</v>
      </c>
      <c r="E39" s="42" t="n">
        <f aca="false">$C$17*(Engine!$L$62-Engine!$L$31)</f>
        <v>4.4405712418936</v>
      </c>
    </row>
    <row r="40" customFormat="false" ht="15" hidden="false" customHeight="false" outlineLevel="0" collapsed="false">
      <c r="A40" s="68" t="n">
        <f aca="false">Engine!$I$36</f>
        <v>0.15</v>
      </c>
      <c r="B40" s="35" t="n">
        <f aca="false">Engine!$K$36</f>
        <v>0.110445197701687</v>
      </c>
      <c r="C40" s="35" t="n">
        <f aca="false">Engine!$K$67</f>
        <v>0.11263957351201</v>
      </c>
      <c r="D40" s="92" t="n">
        <f aca="false">(C40-B40)*10000</f>
        <v>21.9437581032246</v>
      </c>
      <c r="E40" s="42" t="n">
        <f aca="false">$C$17*(Engine!$L$67-Engine!$L$36)</f>
        <v>5.32895033952358</v>
      </c>
    </row>
    <row r="41" customFormat="false" ht="15" hidden="false" customHeight="false" outlineLevel="0" collapsed="false">
      <c r="A41" s="68" t="n">
        <f aca="false">Engine!$I$41</f>
        <v>0.2</v>
      </c>
      <c r="B41" s="35" t="n">
        <f aca="false">Engine!$K$41</f>
        <v>0.15722559423369</v>
      </c>
      <c r="C41" s="35" t="n">
        <f aca="false">Engine!$K$72</f>
        <v>0.159361408558221</v>
      </c>
      <c r="D41" s="92" t="n">
        <f aca="false">(C41-B41)*10000</f>
        <v>21.3581432453136</v>
      </c>
      <c r="E41" s="42" t="n">
        <f aca="false">$C$17*(Engine!$L$72-Engine!$L$41)</f>
        <v>6.55357831591264</v>
      </c>
    </row>
    <row r="42" customFormat="false" ht="15" hidden="false" customHeight="false" outlineLevel="0" collapsed="false">
      <c r="A42" s="68" t="n">
        <f aca="false">Engine!$I$46</f>
        <v>0.25</v>
      </c>
      <c r="B42" s="35" t="n">
        <f aca="false">Engine!$K$46</f>
        <v>0.20431317294718</v>
      </c>
      <c r="C42" s="35" t="n">
        <f aca="false">Engine!$K$77</f>
        <v>0.206384877129988</v>
      </c>
      <c r="D42" s="92" t="n">
        <f aca="false">(C42-B42)*10000</f>
        <v>20.7170418280842</v>
      </c>
      <c r="E42" s="42" t="n">
        <f aca="false">$C$17*(Engine!$L$77-Engine!$L$46)</f>
        <v>8.03993195973919</v>
      </c>
    </row>
    <row r="43" customFormat="false" ht="15" hidden="false" customHeight="false" outlineLevel="0" collapsed="false">
      <c r="A43" s="69" t="n">
        <f aca="false">Engine!$I$51</f>
        <v>0.3</v>
      </c>
      <c r="B43" s="70" t="n">
        <f aca="false">Engine!$K$51</f>
        <v>0.251645670816069</v>
      </c>
      <c r="C43" s="70" t="n">
        <f aca="false">Engine!$K$82</f>
        <v>0.253691211589088</v>
      </c>
      <c r="D43" s="109" t="n">
        <f aca="false">(C43-B43)*10000</f>
        <v>20.4554077301922</v>
      </c>
      <c r="E43" s="67" t="n">
        <f aca="false">$C$17*(Engine!$L$82-Engine!$L$51)</f>
        <v>9.99446237688385</v>
      </c>
    </row>
    <row r="44" customFormat="false" ht="15" hidden="false" customHeight="false" outlineLevel="0" collapsed="false">
      <c r="A44" s="2" t="s">
        <v>424</v>
      </c>
    </row>
    <row r="46" customFormat="false" ht="15" hidden="false" customHeight="false" outlineLevel="0" collapsed="false">
      <c r="A46" s="3" t="s">
        <v>425</v>
      </c>
      <c r="B46" s="4"/>
      <c r="C46" s="4"/>
      <c r="D46" s="4"/>
      <c r="E46" s="4"/>
      <c r="F46" s="4"/>
      <c r="G46" s="4"/>
      <c r="H46" s="4"/>
    </row>
    <row r="47" customFormat="false" ht="15" hidden="false" customHeight="false" outlineLevel="0" collapsed="false">
      <c r="A47" s="5" t="s">
        <v>426</v>
      </c>
      <c r="C47" s="40" t="n">
        <f aca="false">Summary!C12</f>
        <v>21.3581432453117</v>
      </c>
    </row>
    <row r="48" customFormat="false" ht="15" hidden="false" customHeight="false" outlineLevel="0" collapsed="false">
      <c r="A48" s="5" t="s">
        <v>427</v>
      </c>
      <c r="C48" s="40" t="n">
        <f aca="false">Summary!D12</f>
        <v>86.9263009407248</v>
      </c>
    </row>
    <row r="49" customFormat="false" ht="15" hidden="false" customHeight="false" outlineLevel="0" collapsed="false">
      <c r="A49" s="5" t="s">
        <v>428</v>
      </c>
      <c r="C49" s="40" t="n">
        <f aca="false">Summary!E12</f>
        <v>30.6664345961769</v>
      </c>
    </row>
    <row r="50" customFormat="false" ht="15" hidden="false" customHeight="false" outlineLevel="0" collapsed="false">
      <c r="A50" s="48" t="s">
        <v>429</v>
      </c>
      <c r="B50" s="49"/>
      <c r="C50" s="110" t="n">
        <f aca="false">Summary!F12</f>
        <v>76.8538834730498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2" min="2" style="0" width="9.7"/>
  </cols>
  <sheetData>
    <row r="1" customFormat="false" ht="15" hidden="false" customHeight="false" outlineLevel="0" collapsed="false">
      <c r="A1" s="71" t="s">
        <v>253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customFormat="false" ht="15" hidden="false" customHeight="false" outlineLevel="0" collapsed="false">
      <c r="B2" s="72" t="s">
        <v>254</v>
      </c>
      <c r="C2" s="73" t="n">
        <f aca="false">Inputs!$C$6</f>
        <v>20000</v>
      </c>
      <c r="E2" s="72" t="s">
        <v>255</v>
      </c>
      <c r="F2" s="74" t="n">
        <f aca="false">Inputs!$C$8</f>
        <v>0.2</v>
      </c>
      <c r="H2" s="72" t="s">
        <v>256</v>
      </c>
      <c r="I2" s="74" t="n">
        <f aca="false">Inputs!$C$22</f>
        <v>0.08</v>
      </c>
    </row>
    <row r="3" customFormat="false" ht="15" hidden="false" customHeight="false" outlineLevel="0" collapsed="false">
      <c r="B3" s="72" t="s">
        <v>257</v>
      </c>
      <c r="C3" s="76" t="n">
        <f aca="false">Inputs!$C$19</f>
        <v>0.0135</v>
      </c>
      <c r="E3" s="72" t="s">
        <v>258</v>
      </c>
      <c r="F3" s="74" t="n">
        <f aca="false">Inputs!$C$9</f>
        <v>0.15</v>
      </c>
      <c r="H3" s="72" t="s">
        <v>259</v>
      </c>
      <c r="I3" s="77" t="n">
        <v>0</v>
      </c>
    </row>
    <row r="4" customFormat="false" ht="15" hidden="false" customHeight="false" outlineLevel="0" collapsed="false">
      <c r="B4" s="72" t="s">
        <v>260</v>
      </c>
      <c r="C4" s="78" t="n">
        <f aca="false">1-F4</f>
        <v>0.8</v>
      </c>
      <c r="E4" s="72" t="s">
        <v>261</v>
      </c>
      <c r="F4" s="74" t="n">
        <f aca="false">Inputs!$C$20</f>
        <v>0.2</v>
      </c>
      <c r="H4" s="72" t="s">
        <v>262</v>
      </c>
      <c r="I4" s="73" t="n">
        <f aca="false">Inputs!$C$26</f>
        <v>750</v>
      </c>
    </row>
    <row r="6" customFormat="false" ht="15" hidden="false" customHeight="false" outlineLevel="0" collapsed="false">
      <c r="A6" s="79" t="str">
        <f aca="false">"Scenario: "&amp;"TPG offer + hard hurdle — "&amp;TEXT(C3,"0.00%")&amp;" fee on committed capital, "&amp;TEXT(F4,"0%")&amp;" carry, "&amp;IF(I2=0,"no hurdle",TEXT(I2,"0%")&amp;" hurdle"&amp;IF(I3=1," with 100% GP catch-up (soft)"," with no catch-up (hard)"))</f>
        <v>Scenario: TPG offer + hard hurdle — 1.35% fee on committed capital, 20% carry, 8% hurdle with no catch-up (hard)</v>
      </c>
      <c r="J6" s="2" t="s">
        <v>430</v>
      </c>
    </row>
    <row r="8" customFormat="false" ht="15" hidden="false" customHeight="false" outlineLevel="0" collapsed="false">
      <c r="A8" s="33" t="s">
        <v>91</v>
      </c>
      <c r="B8" s="80" t="n">
        <v>0</v>
      </c>
      <c r="C8" s="81" t="n">
        <v>1</v>
      </c>
      <c r="D8" s="81" t="n">
        <v>2</v>
      </c>
      <c r="E8" s="81" t="n">
        <v>3</v>
      </c>
      <c r="F8" s="81" t="n">
        <v>4</v>
      </c>
      <c r="G8" s="81" t="n">
        <v>5</v>
      </c>
      <c r="H8" s="81" t="n">
        <v>6</v>
      </c>
      <c r="I8" s="81" t="n">
        <v>7</v>
      </c>
      <c r="J8" s="81" t="n">
        <v>8</v>
      </c>
      <c r="K8" s="81" t="n">
        <v>9</v>
      </c>
      <c r="L8" s="81" t="n">
        <v>10</v>
      </c>
    </row>
    <row r="9" customFormat="false" ht="15" hidden="false" customHeight="false" outlineLevel="0" collapsed="false">
      <c r="A9" s="82" t="s">
        <v>264</v>
      </c>
    </row>
    <row r="10" customFormat="false" ht="15" hidden="false" customHeight="false" outlineLevel="0" collapsed="false">
      <c r="A10" s="5" t="s">
        <v>265</v>
      </c>
      <c r="C10" s="83" t="n">
        <f aca="false">Inputs!C$13</f>
        <v>0.2</v>
      </c>
      <c r="D10" s="83" t="n">
        <f aca="false">Inputs!D$13</f>
        <v>0.2</v>
      </c>
      <c r="E10" s="83" t="n">
        <f aca="false">Inputs!E$13</f>
        <v>0.2</v>
      </c>
      <c r="F10" s="83" t="n">
        <f aca="false">Inputs!F$13</f>
        <v>0.2</v>
      </c>
      <c r="G10" s="83" t="n">
        <f aca="false">Inputs!G$13</f>
        <v>0.2</v>
      </c>
      <c r="H10" s="83" t="n">
        <f aca="false">Inputs!H$13</f>
        <v>0</v>
      </c>
      <c r="I10" s="83" t="n">
        <f aca="false">Inputs!I$13</f>
        <v>0</v>
      </c>
      <c r="J10" s="83" t="n">
        <f aca="false">Inputs!J$13</f>
        <v>0</v>
      </c>
      <c r="K10" s="83" t="n">
        <f aca="false">Inputs!K$13</f>
        <v>0</v>
      </c>
      <c r="L10" s="83" t="n">
        <f aca="false">Inputs!L$13</f>
        <v>0</v>
      </c>
    </row>
    <row r="11" customFormat="false" ht="15" hidden="false" customHeight="false" outlineLevel="0" collapsed="false">
      <c r="A11" s="5" t="s">
        <v>266</v>
      </c>
      <c r="C11" s="83" t="n">
        <f aca="false">Inputs!C$14</f>
        <v>0</v>
      </c>
      <c r="D11" s="83" t="n">
        <f aca="false">Inputs!D$14</f>
        <v>0</v>
      </c>
      <c r="E11" s="83" t="n">
        <f aca="false">Inputs!E$14</f>
        <v>0</v>
      </c>
      <c r="F11" s="83" t="n">
        <f aca="false">Inputs!F$14</f>
        <v>0</v>
      </c>
      <c r="G11" s="83" t="n">
        <f aca="false">Inputs!G$14</f>
        <v>0.2</v>
      </c>
      <c r="H11" s="83" t="n">
        <f aca="false">Inputs!H$14</f>
        <v>0.2</v>
      </c>
      <c r="I11" s="83" t="n">
        <f aca="false">Inputs!I$14</f>
        <v>0.2</v>
      </c>
      <c r="J11" s="83" t="n">
        <f aca="false">Inputs!J$14</f>
        <v>0.2</v>
      </c>
      <c r="K11" s="83" t="n">
        <f aca="false">Inputs!K$14</f>
        <v>0.2</v>
      </c>
      <c r="L11" s="83" t="n">
        <f aca="false">Inputs!L$14</f>
        <v>1</v>
      </c>
    </row>
    <row r="13" customFormat="false" ht="15" hidden="false" customHeight="false" outlineLevel="0" collapsed="false">
      <c r="A13" s="3" t="s">
        <v>267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5" t="s">
        <v>268</v>
      </c>
      <c r="C14" s="84" t="n">
        <f aca="false">B24</f>
        <v>0</v>
      </c>
      <c r="D14" s="84" t="n">
        <f aca="false">C24</f>
        <v>4476</v>
      </c>
      <c r="E14" s="84" t="n">
        <f aca="false">D24</f>
        <v>9847.2</v>
      </c>
      <c r="F14" s="84" t="n">
        <f aca="false">E24</f>
        <v>16292.64</v>
      </c>
      <c r="G14" s="84" t="n">
        <f aca="false">F24</f>
        <v>24027.168</v>
      </c>
      <c r="H14" s="84" t="n">
        <f aca="false">G24</f>
        <v>26646.88128</v>
      </c>
      <c r="I14" s="84" t="n">
        <f aca="false">H24</f>
        <v>25321.8060288</v>
      </c>
      <c r="J14" s="84" t="n">
        <f aca="false">I24</f>
        <v>24049.733787648</v>
      </c>
      <c r="K14" s="84" t="n">
        <f aca="false">J24</f>
        <v>22828.5444361421</v>
      </c>
      <c r="L14" s="84" t="n">
        <f aca="false">K24</f>
        <v>21656.2026586964</v>
      </c>
    </row>
    <row r="15" customFormat="false" ht="15" hidden="false" customHeight="false" outlineLevel="0" collapsed="false">
      <c r="A15" s="5" t="s">
        <v>269</v>
      </c>
      <c r="C15" s="84" t="n">
        <f aca="false">$C$2*C10</f>
        <v>4000</v>
      </c>
      <c r="D15" s="84" t="n">
        <f aca="false">$C$2*D10</f>
        <v>4000</v>
      </c>
      <c r="E15" s="84" t="n">
        <f aca="false">$C$2*E10</f>
        <v>4000</v>
      </c>
      <c r="F15" s="84" t="n">
        <f aca="false">$C$2*F10</f>
        <v>4000</v>
      </c>
      <c r="G15" s="84" t="n">
        <f aca="false">$C$2*G10</f>
        <v>4000</v>
      </c>
      <c r="H15" s="84" t="n">
        <f aca="false">$C$2*H10</f>
        <v>0</v>
      </c>
      <c r="I15" s="84" t="n">
        <f aca="false">$C$2*I10</f>
        <v>0</v>
      </c>
      <c r="J15" s="84" t="n">
        <f aca="false">$C$2*J10</f>
        <v>0</v>
      </c>
      <c r="K15" s="84" t="n">
        <f aca="false">$C$2*K10</f>
        <v>0</v>
      </c>
      <c r="L15" s="84" t="n">
        <f aca="false">$C$2*L10</f>
        <v>0</v>
      </c>
    </row>
    <row r="16" customFormat="false" ht="15" hidden="false" customHeight="false" outlineLevel="0" collapsed="false">
      <c r="A16" s="5" t="s">
        <v>270</v>
      </c>
      <c r="C16" s="84" t="n">
        <f aca="false">$C$2*$C$3</f>
        <v>270</v>
      </c>
      <c r="D16" s="84" t="n">
        <f aca="false">$C$2*$C$3</f>
        <v>270</v>
      </c>
      <c r="E16" s="84" t="n">
        <f aca="false">$C$2*$C$3</f>
        <v>270</v>
      </c>
      <c r="F16" s="84" t="n">
        <f aca="false">$C$2*$C$3</f>
        <v>270</v>
      </c>
      <c r="G16" s="84" t="n">
        <f aca="false">$C$2*$C$3</f>
        <v>270</v>
      </c>
      <c r="H16" s="84" t="n">
        <f aca="false">$C$2*$C$3</f>
        <v>270</v>
      </c>
      <c r="I16" s="84" t="n">
        <f aca="false">$C$2*$C$3</f>
        <v>270</v>
      </c>
      <c r="J16" s="84" t="n">
        <f aca="false">$C$2*$C$3</f>
        <v>270</v>
      </c>
      <c r="K16" s="84" t="n">
        <f aca="false">$C$2*$C$3</f>
        <v>270</v>
      </c>
      <c r="L16" s="84" t="n">
        <f aca="false">$C$2*$C$3</f>
        <v>270</v>
      </c>
    </row>
    <row r="17" customFormat="false" ht="15" hidden="false" customHeight="false" outlineLevel="0" collapsed="false">
      <c r="A17" s="5" t="s">
        <v>271</v>
      </c>
      <c r="C17" s="84" t="n">
        <f aca="false">C14+C15-C16</f>
        <v>3730</v>
      </c>
      <c r="D17" s="84" t="n">
        <f aca="false">D14+D15-D16</f>
        <v>8206</v>
      </c>
      <c r="E17" s="84" t="n">
        <f aca="false">E14+E15-E16</f>
        <v>13577.2</v>
      </c>
      <c r="F17" s="84" t="n">
        <f aca="false">F14+F15-F16</f>
        <v>20022.64</v>
      </c>
      <c r="G17" s="84" t="n">
        <f aca="false">G14+G15-G16</f>
        <v>27757.168</v>
      </c>
      <c r="H17" s="84" t="n">
        <f aca="false">H14+H15-H16</f>
        <v>26376.88128</v>
      </c>
      <c r="I17" s="84" t="n">
        <f aca="false">I14+I15-I16</f>
        <v>25051.8060288</v>
      </c>
      <c r="J17" s="84" t="n">
        <f aca="false">J14+J15-J16</f>
        <v>23779.733787648</v>
      </c>
      <c r="K17" s="84" t="n">
        <f aca="false">K14+K15-K16</f>
        <v>22558.5444361421</v>
      </c>
      <c r="L17" s="84" t="n">
        <f aca="false">L14+L15-L16</f>
        <v>21386.2026586964</v>
      </c>
    </row>
    <row r="19" customFormat="false" ht="15" hidden="false" customHeight="false" outlineLevel="0" collapsed="false">
      <c r="A19" s="3" t="s">
        <v>272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5" t="s">
        <v>273</v>
      </c>
      <c r="C20" s="84" t="n">
        <f aca="false">C17*$F$2</f>
        <v>746</v>
      </c>
      <c r="D20" s="84" t="n">
        <f aca="false">D17*$F$2</f>
        <v>1641.2</v>
      </c>
      <c r="E20" s="84" t="n">
        <f aca="false">E17*$F$2</f>
        <v>2715.44</v>
      </c>
      <c r="F20" s="84" t="n">
        <f aca="false">F17*$F$2</f>
        <v>4004.528</v>
      </c>
      <c r="G20" s="84" t="n">
        <f aca="false">G17*$F$2</f>
        <v>5551.4336</v>
      </c>
      <c r="H20" s="84" t="n">
        <f aca="false">H17*$F$2</f>
        <v>5275.376256</v>
      </c>
      <c r="I20" s="84" t="n">
        <f aca="false">I17*$F$2</f>
        <v>5010.36120576</v>
      </c>
      <c r="J20" s="84" t="n">
        <f aca="false">J17*$F$2</f>
        <v>4755.9467575296</v>
      </c>
      <c r="K20" s="84" t="n">
        <f aca="false">K17*$F$2</f>
        <v>4511.70888722842</v>
      </c>
      <c r="L20" s="84" t="n">
        <f aca="false">L17*$F$2</f>
        <v>4277.24053173928</v>
      </c>
    </row>
    <row r="21" customFormat="false" ht="15" hidden="false" customHeight="false" outlineLevel="0" collapsed="false">
      <c r="A21" s="5" t="s">
        <v>274</v>
      </c>
      <c r="C21" s="84" t="n">
        <f aca="false">C17+C20</f>
        <v>4476</v>
      </c>
      <c r="D21" s="84" t="n">
        <f aca="false">D17+D20</f>
        <v>9847.2</v>
      </c>
      <c r="E21" s="84" t="n">
        <f aca="false">E17+E20</f>
        <v>16292.64</v>
      </c>
      <c r="F21" s="84" t="n">
        <f aca="false">F17+F20</f>
        <v>24027.168</v>
      </c>
      <c r="G21" s="84" t="n">
        <f aca="false">G17+G20</f>
        <v>33308.6016</v>
      </c>
      <c r="H21" s="84" t="n">
        <f aca="false">H17+H20</f>
        <v>31652.257536</v>
      </c>
      <c r="I21" s="84" t="n">
        <f aca="false">I17+I20</f>
        <v>30062.16723456</v>
      </c>
      <c r="J21" s="84" t="n">
        <f aca="false">J17+J20</f>
        <v>28535.6805451776</v>
      </c>
      <c r="K21" s="84" t="n">
        <f aca="false">K17+K20</f>
        <v>27070.2533233705</v>
      </c>
      <c r="L21" s="84" t="n">
        <f aca="false">L17+L20</f>
        <v>25663.4431904357</v>
      </c>
    </row>
    <row r="23" customFormat="false" ht="15" hidden="false" customHeight="false" outlineLevel="0" collapsed="false">
      <c r="A23" s="5" t="s">
        <v>275</v>
      </c>
      <c r="C23" s="84" t="n">
        <f aca="false">C21*C11</f>
        <v>0</v>
      </c>
      <c r="D23" s="84" t="n">
        <f aca="false">D21*D11</f>
        <v>0</v>
      </c>
      <c r="E23" s="84" t="n">
        <f aca="false">E21*E11</f>
        <v>0</v>
      </c>
      <c r="F23" s="84" t="n">
        <f aca="false">F21*F11</f>
        <v>0</v>
      </c>
      <c r="G23" s="84" t="n">
        <f aca="false">G21*G11</f>
        <v>6661.72032</v>
      </c>
      <c r="H23" s="84" t="n">
        <f aca="false">H21*H11</f>
        <v>6330.4515072</v>
      </c>
      <c r="I23" s="84" t="n">
        <f aca="false">I21*I11</f>
        <v>6012.433446912</v>
      </c>
      <c r="J23" s="84" t="n">
        <f aca="false">J21*J11</f>
        <v>5707.13610903552</v>
      </c>
      <c r="K23" s="84" t="n">
        <f aca="false">K21*K11</f>
        <v>5414.0506646741</v>
      </c>
      <c r="L23" s="84" t="n">
        <f aca="false">L21*L11</f>
        <v>25663.4431904357</v>
      </c>
    </row>
    <row r="24" customFormat="false" ht="15" hidden="false" customHeight="false" outlineLevel="0" collapsed="false">
      <c r="A24" s="48" t="s">
        <v>276</v>
      </c>
      <c r="B24" s="49"/>
      <c r="C24" s="85" t="n">
        <f aca="false">C21-C23</f>
        <v>4476</v>
      </c>
      <c r="D24" s="85" t="n">
        <f aca="false">D21-D23</f>
        <v>9847.2</v>
      </c>
      <c r="E24" s="85" t="n">
        <f aca="false">E21-E23</f>
        <v>16292.64</v>
      </c>
      <c r="F24" s="85" t="n">
        <f aca="false">F21-F23</f>
        <v>24027.168</v>
      </c>
      <c r="G24" s="85" t="n">
        <f aca="false">G21-G23</f>
        <v>26646.88128</v>
      </c>
      <c r="H24" s="85" t="n">
        <f aca="false">H21-H23</f>
        <v>25321.8060288</v>
      </c>
      <c r="I24" s="85" t="n">
        <f aca="false">I21-I23</f>
        <v>24049.733787648</v>
      </c>
      <c r="J24" s="85" t="n">
        <f aca="false">J21-J23</f>
        <v>22828.5444361421</v>
      </c>
      <c r="K24" s="85" t="n">
        <f aca="false">K21-K23</f>
        <v>21656.2026586964</v>
      </c>
      <c r="L24" s="85" t="n">
        <f aca="false">L21-L23</f>
        <v>0</v>
      </c>
    </row>
    <row r="26" customFormat="false" ht="15" hidden="false" customHeight="false" outlineLevel="0" collapsed="false">
      <c r="A26" s="3" t="s">
        <v>277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5" t="s">
        <v>278</v>
      </c>
      <c r="C27" s="84" t="n">
        <f aca="false">B29+C15</f>
        <v>4000</v>
      </c>
      <c r="D27" s="84" t="n">
        <f aca="false">C29+D15</f>
        <v>8000</v>
      </c>
      <c r="E27" s="84" t="n">
        <f aca="false">D29+E15</f>
        <v>12000</v>
      </c>
      <c r="F27" s="84" t="n">
        <f aca="false">E29+F15</f>
        <v>16000</v>
      </c>
      <c r="G27" s="84" t="n">
        <f aca="false">F29+G15</f>
        <v>20000</v>
      </c>
      <c r="H27" s="84" t="n">
        <f aca="false">G29+H15</f>
        <v>13338.27968</v>
      </c>
      <c r="I27" s="84" t="n">
        <f aca="false">H29+I15</f>
        <v>7007.8281728</v>
      </c>
      <c r="J27" s="84" t="n">
        <f aca="false">I29+J15</f>
        <v>995.394725888001</v>
      </c>
      <c r="K27" s="84" t="n">
        <f aca="false">J29+K15</f>
        <v>0</v>
      </c>
      <c r="L27" s="84" t="n">
        <f aca="false">K29+L15</f>
        <v>0</v>
      </c>
    </row>
    <row r="28" customFormat="false" ht="15" hidden="false" customHeight="false" outlineLevel="0" collapsed="false">
      <c r="A28" s="5" t="s">
        <v>279</v>
      </c>
      <c r="C28" s="84" t="n">
        <f aca="false">MIN(C23,C27)</f>
        <v>0</v>
      </c>
      <c r="D28" s="84" t="n">
        <f aca="false">MIN(D23,D27)</f>
        <v>0</v>
      </c>
      <c r="E28" s="84" t="n">
        <f aca="false">MIN(E23,E27)</f>
        <v>0</v>
      </c>
      <c r="F28" s="84" t="n">
        <f aca="false">MIN(F23,F27)</f>
        <v>0</v>
      </c>
      <c r="G28" s="84" t="n">
        <f aca="false">MIN(G23,G27)</f>
        <v>6661.72032</v>
      </c>
      <c r="H28" s="84" t="n">
        <f aca="false">MIN(H23,H27)</f>
        <v>6330.4515072</v>
      </c>
      <c r="I28" s="84" t="n">
        <f aca="false">MIN(I23,I27)</f>
        <v>6012.433446912</v>
      </c>
      <c r="J28" s="84" t="n">
        <f aca="false">MIN(J23,J27)</f>
        <v>995.394725888001</v>
      </c>
      <c r="K28" s="84" t="n">
        <f aca="false">MIN(K23,K27)</f>
        <v>0</v>
      </c>
      <c r="L28" s="84" t="n">
        <f aca="false">MIN(L23,L27)</f>
        <v>0</v>
      </c>
    </row>
    <row r="29" customFormat="false" ht="15" hidden="false" customHeight="false" outlineLevel="0" collapsed="false">
      <c r="A29" s="5" t="s">
        <v>280</v>
      </c>
      <c r="C29" s="84" t="n">
        <f aca="false">C27-C28</f>
        <v>4000</v>
      </c>
      <c r="D29" s="84" t="n">
        <f aca="false">D27-D28</f>
        <v>8000</v>
      </c>
      <c r="E29" s="84" t="n">
        <f aca="false">E27-E28</f>
        <v>12000</v>
      </c>
      <c r="F29" s="84" t="n">
        <f aca="false">F27-F28</f>
        <v>16000</v>
      </c>
      <c r="G29" s="84" t="n">
        <f aca="false">G27-G28</f>
        <v>13338.27968</v>
      </c>
      <c r="H29" s="84" t="n">
        <f aca="false">H27-H28</f>
        <v>7007.8281728</v>
      </c>
      <c r="I29" s="84" t="n">
        <f aca="false">I27-I28</f>
        <v>995.394725888001</v>
      </c>
      <c r="J29" s="84" t="n">
        <f aca="false">J27-J28</f>
        <v>0</v>
      </c>
      <c r="K29" s="84" t="n">
        <f aca="false">K27-K28</f>
        <v>0</v>
      </c>
      <c r="L29" s="84" t="n">
        <f aca="false">L27-L28</f>
        <v>0</v>
      </c>
    </row>
    <row r="30" customFormat="false" ht="15" hidden="false" customHeight="false" outlineLevel="0" collapsed="false">
      <c r="A30" s="5" t="s">
        <v>281</v>
      </c>
      <c r="C30" s="84" t="n">
        <f aca="false">B32+$I$2*(C27+B32)</f>
        <v>320</v>
      </c>
      <c r="D30" s="84" t="n">
        <f aca="false">C32+$I$2*(D27+C32)</f>
        <v>985.6</v>
      </c>
      <c r="E30" s="84" t="n">
        <f aca="false">D32+$I$2*(E27+D32)</f>
        <v>2024.448</v>
      </c>
      <c r="F30" s="84" t="n">
        <f aca="false">E32+$I$2*(F27+E32)</f>
        <v>3466.40384</v>
      </c>
      <c r="G30" s="84" t="n">
        <f aca="false">F32+$I$2*(G27+F32)</f>
        <v>5343.7161472</v>
      </c>
      <c r="H30" s="84" t="n">
        <f aca="false">G32+$I$2*(H27+G32)</f>
        <v>6838.275813376</v>
      </c>
      <c r="I30" s="84" t="n">
        <f aca="false">H32+$I$2*(I27+H32)</f>
        <v>7945.96413227008</v>
      </c>
      <c r="J30" s="84" t="n">
        <f aca="false">I32+$I$2*(J27+I32)</f>
        <v>8661.27284092273</v>
      </c>
      <c r="K30" s="84" t="n">
        <f aca="false">J32+$I$2*(K27+J32)</f>
        <v>4265.49397439722</v>
      </c>
      <c r="L30" s="84" t="n">
        <f aca="false">K32+$I$2*(L27+K32)</f>
        <v>0</v>
      </c>
    </row>
    <row r="31" customFormat="false" ht="15" hidden="false" customHeight="false" outlineLevel="0" collapsed="false">
      <c r="A31" s="5" t="s">
        <v>282</v>
      </c>
      <c r="C31" s="84" t="n">
        <f aca="false">MIN(C23-C28,C30)</f>
        <v>0</v>
      </c>
      <c r="D31" s="84" t="n">
        <f aca="false">MIN(D23-D28,D30)</f>
        <v>0</v>
      </c>
      <c r="E31" s="84" t="n">
        <f aca="false">MIN(E23-E28,E30)</f>
        <v>0</v>
      </c>
      <c r="F31" s="84" t="n">
        <f aca="false">MIN(F23-F28,F30)</f>
        <v>0</v>
      </c>
      <c r="G31" s="84" t="n">
        <f aca="false">MIN(G23-G28,G30)</f>
        <v>0</v>
      </c>
      <c r="H31" s="84" t="n">
        <f aca="false">MIN(H23-H28,H30)</f>
        <v>0</v>
      </c>
      <c r="I31" s="84" t="n">
        <f aca="false">MIN(I23-I28,I30)</f>
        <v>0</v>
      </c>
      <c r="J31" s="84" t="n">
        <f aca="false">MIN(J23-J28,J30)</f>
        <v>4711.74138314752</v>
      </c>
      <c r="K31" s="84" t="n">
        <f aca="false">MIN(K23-K28,K30)</f>
        <v>4265.49397439722</v>
      </c>
      <c r="L31" s="84" t="n">
        <f aca="false">MIN(L23-L28,L30)</f>
        <v>0</v>
      </c>
    </row>
    <row r="32" customFormat="false" ht="15" hidden="false" customHeight="false" outlineLevel="0" collapsed="false">
      <c r="A32" s="5" t="s">
        <v>283</v>
      </c>
      <c r="C32" s="84" t="n">
        <f aca="false">C30-C31</f>
        <v>320</v>
      </c>
      <c r="D32" s="84" t="n">
        <f aca="false">D30-D31</f>
        <v>985.6</v>
      </c>
      <c r="E32" s="84" t="n">
        <f aca="false">E30-E31</f>
        <v>2024.448</v>
      </c>
      <c r="F32" s="84" t="n">
        <f aca="false">F30-F31</f>
        <v>3466.40384</v>
      </c>
      <c r="G32" s="84" t="n">
        <f aca="false">G30-G31</f>
        <v>5343.7161472</v>
      </c>
      <c r="H32" s="84" t="n">
        <f aca="false">H30-H31</f>
        <v>6838.275813376</v>
      </c>
      <c r="I32" s="84" t="n">
        <f aca="false">I30-I31</f>
        <v>7945.96413227008</v>
      </c>
      <c r="J32" s="84" t="n">
        <f aca="false">J30-J31</f>
        <v>3949.53145777521</v>
      </c>
      <c r="K32" s="84" t="n">
        <f aca="false">K30-K31</f>
        <v>0</v>
      </c>
      <c r="L32" s="84" t="n">
        <f aca="false">L30-L31</f>
        <v>0</v>
      </c>
    </row>
    <row r="33" customFormat="false" ht="15" hidden="false" customHeight="false" outlineLevel="0" collapsed="false">
      <c r="A33" s="5" t="s">
        <v>284</v>
      </c>
      <c r="C33" s="84" t="n">
        <f aca="false">IF($I$3=1,MIN(C23-C28-C31,MAX(0,$F$4/(1-$F$4)*(B37+C31)-B38)),0)</f>
        <v>0</v>
      </c>
      <c r="D33" s="84" t="n">
        <f aca="false">IF($I$3=1,MIN(D23-D28-D31,MAX(0,$F$4/(1-$F$4)*(C37+D31)-C38)),0)</f>
        <v>0</v>
      </c>
      <c r="E33" s="84" t="n">
        <f aca="false">IF($I$3=1,MIN(E23-E28-E31,MAX(0,$F$4/(1-$F$4)*(D37+E31)-D38)),0)</f>
        <v>0</v>
      </c>
      <c r="F33" s="84" t="n">
        <f aca="false">IF($I$3=1,MIN(F23-F28-F31,MAX(0,$F$4/(1-$F$4)*(E37+F31)-E38)),0)</f>
        <v>0</v>
      </c>
      <c r="G33" s="84" t="n">
        <f aca="false">IF($I$3=1,MIN(G23-G28-G31,MAX(0,$F$4/(1-$F$4)*(F37+G31)-F38)),0)</f>
        <v>0</v>
      </c>
      <c r="H33" s="84" t="n">
        <f aca="false">IF($I$3=1,MIN(H23-H28-H31,MAX(0,$F$4/(1-$F$4)*(G37+H31)-G38)),0)</f>
        <v>0</v>
      </c>
      <c r="I33" s="84" t="n">
        <f aca="false">IF($I$3=1,MIN(I23-I28-I31,MAX(0,$F$4/(1-$F$4)*(H37+I31)-H38)),0)</f>
        <v>0</v>
      </c>
      <c r="J33" s="84" t="n">
        <f aca="false">IF($I$3=1,MIN(J23-J28-J31,MAX(0,$F$4/(1-$F$4)*(I37+J31)-I38)),0)</f>
        <v>0</v>
      </c>
      <c r="K33" s="84" t="n">
        <f aca="false">IF($I$3=1,MIN(K23-K28-K31,MAX(0,$F$4/(1-$F$4)*(J37+K31)-J38)),0)</f>
        <v>0</v>
      </c>
      <c r="L33" s="84" t="n">
        <f aca="false">IF($I$3=1,MIN(L23-L28-L31,MAX(0,$F$4/(1-$F$4)*(K37+L31)-K38)),0)</f>
        <v>0</v>
      </c>
    </row>
    <row r="34" customFormat="false" ht="15" hidden="false" customHeight="false" outlineLevel="0" collapsed="false">
      <c r="A34" s="5" t="s">
        <v>285</v>
      </c>
      <c r="C34" s="84" t="n">
        <f aca="false">C23-C28-C31-C33</f>
        <v>0</v>
      </c>
      <c r="D34" s="84" t="n">
        <f aca="false">D23-D28-D31-D33</f>
        <v>0</v>
      </c>
      <c r="E34" s="84" t="n">
        <f aca="false">E23-E28-E31-E33</f>
        <v>0</v>
      </c>
      <c r="F34" s="84" t="n">
        <f aca="false">F23-F28-F31-F33</f>
        <v>0</v>
      </c>
      <c r="G34" s="84" t="n">
        <f aca="false">G23-G28-G31-G33</f>
        <v>0</v>
      </c>
      <c r="H34" s="84" t="n">
        <f aca="false">H23-H28-H31-H33</f>
        <v>0</v>
      </c>
      <c r="I34" s="84" t="n">
        <f aca="false">I23-I28-I31-I33</f>
        <v>0</v>
      </c>
      <c r="J34" s="84" t="n">
        <f aca="false">J23-J28-J31-J33</f>
        <v>0</v>
      </c>
      <c r="K34" s="84" t="n">
        <f aca="false">K23-K28-K31-K33</f>
        <v>1148.55669027687</v>
      </c>
      <c r="L34" s="84" t="n">
        <f aca="false">L23-L28-L31-L33</f>
        <v>25663.4431904357</v>
      </c>
    </row>
    <row r="35" customFormat="false" ht="15" hidden="false" customHeight="false" outlineLevel="0" collapsed="false">
      <c r="A35" s="38" t="s">
        <v>286</v>
      </c>
      <c r="C35" s="86" t="n">
        <f aca="false">C28+C31+$C$4*C34</f>
        <v>0</v>
      </c>
      <c r="D35" s="86" t="n">
        <f aca="false">D28+D31+$C$4*D34</f>
        <v>0</v>
      </c>
      <c r="E35" s="86" t="n">
        <f aca="false">E28+E31+$C$4*E34</f>
        <v>0</v>
      </c>
      <c r="F35" s="86" t="n">
        <f aca="false">F28+F31+$C$4*F34</f>
        <v>0</v>
      </c>
      <c r="G35" s="86" t="n">
        <f aca="false">G28+G31+$C$4*G34</f>
        <v>6661.72032</v>
      </c>
      <c r="H35" s="86" t="n">
        <f aca="false">H28+H31+$C$4*H34</f>
        <v>6330.4515072</v>
      </c>
      <c r="I35" s="86" t="n">
        <f aca="false">I28+I31+$C$4*I34</f>
        <v>6012.433446912</v>
      </c>
      <c r="J35" s="86" t="n">
        <f aca="false">J28+J31+$C$4*J34</f>
        <v>5707.13610903552</v>
      </c>
      <c r="K35" s="86" t="n">
        <f aca="false">K28+K31+$C$4*K34</f>
        <v>5184.33932661872</v>
      </c>
      <c r="L35" s="86" t="n">
        <f aca="false">L28+L31+$C$4*L34</f>
        <v>20530.7545523485</v>
      </c>
    </row>
    <row r="36" customFormat="false" ht="15" hidden="false" customHeight="false" outlineLevel="0" collapsed="false">
      <c r="A36" s="38" t="s">
        <v>287</v>
      </c>
      <c r="C36" s="86" t="n">
        <f aca="false">C33+$F$4*C34</f>
        <v>0</v>
      </c>
      <c r="D36" s="86" t="n">
        <f aca="false">D33+$F$4*D34</f>
        <v>0</v>
      </c>
      <c r="E36" s="86" t="n">
        <f aca="false">E33+$F$4*E34</f>
        <v>0</v>
      </c>
      <c r="F36" s="86" t="n">
        <f aca="false">F33+$F$4*F34</f>
        <v>0</v>
      </c>
      <c r="G36" s="86" t="n">
        <f aca="false">G33+$F$4*G34</f>
        <v>0</v>
      </c>
      <c r="H36" s="86" t="n">
        <f aca="false">H33+$F$4*H34</f>
        <v>0</v>
      </c>
      <c r="I36" s="86" t="n">
        <f aca="false">I33+$F$4*I34</f>
        <v>0</v>
      </c>
      <c r="J36" s="86" t="n">
        <f aca="false">J33+$F$4*J34</f>
        <v>0</v>
      </c>
      <c r="K36" s="86" t="n">
        <f aca="false">K33+$F$4*K34</f>
        <v>229.711338055375</v>
      </c>
      <c r="L36" s="86" t="n">
        <f aca="false">L33+$F$4*L34</f>
        <v>5132.68863808713</v>
      </c>
    </row>
    <row r="37" customFormat="false" ht="15" hidden="false" customHeight="false" outlineLevel="0" collapsed="false">
      <c r="A37" s="5" t="s">
        <v>288</v>
      </c>
      <c r="C37" s="84" t="n">
        <f aca="false">B37+C31+$C$4*C34</f>
        <v>0</v>
      </c>
      <c r="D37" s="84" t="n">
        <f aca="false">C37+D31+$C$4*D34</f>
        <v>0</v>
      </c>
      <c r="E37" s="84" t="n">
        <f aca="false">D37+E31+$C$4*E34</f>
        <v>0</v>
      </c>
      <c r="F37" s="84" t="n">
        <f aca="false">E37+F31+$C$4*F34</f>
        <v>0</v>
      </c>
      <c r="G37" s="84" t="n">
        <f aca="false">F37+G31+$C$4*G34</f>
        <v>0</v>
      </c>
      <c r="H37" s="84" t="n">
        <f aca="false">G37+H31+$C$4*H34</f>
        <v>0</v>
      </c>
      <c r="I37" s="84" t="n">
        <f aca="false">H37+I31+$C$4*I34</f>
        <v>0</v>
      </c>
      <c r="J37" s="84" t="n">
        <f aca="false">I37+J31+$C$4*J34</f>
        <v>4711.74138314752</v>
      </c>
      <c r="K37" s="84" t="n">
        <f aca="false">J37+K31+$C$4*K34</f>
        <v>9896.08070976624</v>
      </c>
      <c r="L37" s="84" t="n">
        <f aca="false">K37+L31+$C$4*L34</f>
        <v>30426.8352621148</v>
      </c>
    </row>
    <row r="38" customFormat="false" ht="15" hidden="false" customHeight="false" outlineLevel="0" collapsed="false">
      <c r="A38" s="48" t="s">
        <v>289</v>
      </c>
      <c r="B38" s="49"/>
      <c r="C38" s="85" t="n">
        <f aca="false">B38+C36</f>
        <v>0</v>
      </c>
      <c r="D38" s="85" t="n">
        <f aca="false">C38+D36</f>
        <v>0</v>
      </c>
      <c r="E38" s="85" t="n">
        <f aca="false">D38+E36</f>
        <v>0</v>
      </c>
      <c r="F38" s="85" t="n">
        <f aca="false">E38+F36</f>
        <v>0</v>
      </c>
      <c r="G38" s="85" t="n">
        <f aca="false">F38+G36</f>
        <v>0</v>
      </c>
      <c r="H38" s="85" t="n">
        <f aca="false">G38+H36</f>
        <v>0</v>
      </c>
      <c r="I38" s="85" t="n">
        <f aca="false">H38+I36</f>
        <v>0</v>
      </c>
      <c r="J38" s="85" t="n">
        <f aca="false">I38+J36</f>
        <v>0</v>
      </c>
      <c r="K38" s="85" t="n">
        <f aca="false">J38+K36</f>
        <v>229.711338055375</v>
      </c>
      <c r="L38" s="85" t="n">
        <f aca="false">K38+L36</f>
        <v>5362.39997614251</v>
      </c>
    </row>
    <row r="40" customFormat="false" ht="15" hidden="false" customHeight="false" outlineLevel="0" collapsed="false">
      <c r="A40" s="3" t="s">
        <v>290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false" outlineLevel="0" collapsed="false">
      <c r="A41" s="5" t="s">
        <v>291</v>
      </c>
      <c r="B41" s="84" t="n">
        <f aca="false">IF(B$8&gt;=COLUMNS($C$15:$L$15),0,-INDEX($C$15:$L$15,B$8+1))</f>
        <v>-4000</v>
      </c>
      <c r="C41" s="84" t="n">
        <f aca="false">IF(C$8&gt;=COLUMNS($C$15:$L$15),0,-INDEX($C$15:$L$15,C$8+1))</f>
        <v>-4000</v>
      </c>
      <c r="D41" s="84" t="n">
        <f aca="false">IF(D$8&gt;=COLUMNS($C$15:$L$15),0,-INDEX($C$15:$L$15,D$8+1))</f>
        <v>-4000</v>
      </c>
      <c r="E41" s="84" t="n">
        <f aca="false">IF(E$8&gt;=COLUMNS($C$15:$L$15),0,-INDEX($C$15:$L$15,E$8+1))</f>
        <v>-4000</v>
      </c>
      <c r="F41" s="84" t="n">
        <f aca="false">IF(F$8&gt;=COLUMNS($C$15:$L$15),0,-INDEX($C$15:$L$15,F$8+1))</f>
        <v>-4000</v>
      </c>
      <c r="G41" s="84" t="n">
        <f aca="false">IF(G$8&gt;=COLUMNS($C$15:$L$15),0,-INDEX($C$15:$L$15,G$8+1))</f>
        <v>-0</v>
      </c>
      <c r="H41" s="84" t="n">
        <f aca="false">IF(H$8&gt;=COLUMNS($C$15:$L$15),0,-INDEX($C$15:$L$15,H$8+1))</f>
        <v>-0</v>
      </c>
      <c r="I41" s="84" t="n">
        <f aca="false">IF(I$8&gt;=COLUMNS($C$15:$L$15),0,-INDEX($C$15:$L$15,I$8+1))</f>
        <v>-0</v>
      </c>
      <c r="J41" s="84" t="n">
        <f aca="false">IF(J$8&gt;=COLUMNS($C$15:$L$15),0,-INDEX($C$15:$L$15,J$8+1))</f>
        <v>-0</v>
      </c>
      <c r="K41" s="84" t="n">
        <f aca="false">IF(K$8&gt;=COLUMNS($C$15:$L$15),0,-INDEX($C$15:$L$15,K$8+1))</f>
        <v>-0</v>
      </c>
      <c r="L41" s="84" t="n">
        <f aca="false">IF(L$8&gt;=COLUMNS($C$15:$L$15),0,-INDEX($C$15:$L$15,L$8+1))</f>
        <v>0</v>
      </c>
    </row>
    <row r="42" customFormat="false" ht="15" hidden="false" customHeight="false" outlineLevel="0" collapsed="false">
      <c r="A42" s="5" t="s">
        <v>292</v>
      </c>
      <c r="B42" s="84" t="n">
        <f aca="false">IF(B$8=0,0,INDEX($C$35:$L$35,B$8))</f>
        <v>0</v>
      </c>
      <c r="C42" s="84" t="n">
        <f aca="false">IF(C$8=0,0,INDEX($C$35:$L$35,C$8))</f>
        <v>0</v>
      </c>
      <c r="D42" s="84" t="n">
        <f aca="false">IF(D$8=0,0,INDEX($C$35:$L$35,D$8))</f>
        <v>0</v>
      </c>
      <c r="E42" s="84" t="n">
        <f aca="false">IF(E$8=0,0,INDEX($C$35:$L$35,E$8))</f>
        <v>0</v>
      </c>
      <c r="F42" s="84" t="n">
        <f aca="false">IF(F$8=0,0,INDEX($C$35:$L$35,F$8))</f>
        <v>0</v>
      </c>
      <c r="G42" s="84" t="n">
        <f aca="false">IF(G$8=0,0,INDEX($C$35:$L$35,G$8))</f>
        <v>6661.72032</v>
      </c>
      <c r="H42" s="84" t="n">
        <f aca="false">IF(H$8=0,0,INDEX($C$35:$L$35,H$8))</f>
        <v>6330.4515072</v>
      </c>
      <c r="I42" s="84" t="n">
        <f aca="false">IF(I$8=0,0,INDEX($C$35:$L$35,I$8))</f>
        <v>6012.433446912</v>
      </c>
      <c r="J42" s="84" t="n">
        <f aca="false">IF(J$8=0,0,INDEX($C$35:$L$35,J$8))</f>
        <v>5707.13610903552</v>
      </c>
      <c r="K42" s="84" t="n">
        <f aca="false">IF(K$8=0,0,INDEX($C$35:$L$35,K$8))</f>
        <v>5184.33932661872</v>
      </c>
      <c r="L42" s="84" t="n">
        <f aca="false">IF(L$8=0,0,INDEX($C$35:$L$35,L$8))</f>
        <v>20530.7545523485</v>
      </c>
    </row>
    <row r="43" customFormat="false" ht="15" hidden="false" customHeight="false" outlineLevel="0" collapsed="false">
      <c r="A43" s="38" t="s">
        <v>293</v>
      </c>
      <c r="B43" s="86" t="n">
        <f aca="false">B41+B42</f>
        <v>-4000</v>
      </c>
      <c r="C43" s="86" t="n">
        <f aca="false">C41+C42</f>
        <v>-4000</v>
      </c>
      <c r="D43" s="86" t="n">
        <f aca="false">D41+D42</f>
        <v>-4000</v>
      </c>
      <c r="E43" s="86" t="n">
        <f aca="false">E41+E42</f>
        <v>-4000</v>
      </c>
      <c r="F43" s="86" t="n">
        <f aca="false">F41+F42</f>
        <v>-4000</v>
      </c>
      <c r="G43" s="86" t="n">
        <f aca="false">G41+G42</f>
        <v>6661.72032</v>
      </c>
      <c r="H43" s="86" t="n">
        <f aca="false">H41+H42</f>
        <v>6330.4515072</v>
      </c>
      <c r="I43" s="86" t="n">
        <f aca="false">I41+I42</f>
        <v>6012.433446912</v>
      </c>
      <c r="J43" s="86" t="n">
        <f aca="false">J41+J42</f>
        <v>5707.13610903552</v>
      </c>
      <c r="K43" s="86" t="n">
        <f aca="false">K41+K42</f>
        <v>5184.33932661872</v>
      </c>
      <c r="L43" s="86" t="n">
        <f aca="false">L41+L42</f>
        <v>20530.7545523485</v>
      </c>
    </row>
    <row r="44" customFormat="false" ht="15" hidden="false" customHeight="false" outlineLevel="0" collapsed="false">
      <c r="A44" s="5" t="s">
        <v>294</v>
      </c>
      <c r="B44" s="84" t="n">
        <f aca="false">IF(B$8&gt;=COLUMNS($C$16:$L$16),0,INDEX($C$16:$L$16,B$8+1))</f>
        <v>270</v>
      </c>
      <c r="C44" s="84" t="n">
        <f aca="false">IF(C$8&gt;=COLUMNS($C$16:$L$16),0,INDEX($C$16:$L$16,C$8+1))</f>
        <v>270</v>
      </c>
      <c r="D44" s="84" t="n">
        <f aca="false">IF(D$8&gt;=COLUMNS($C$16:$L$16),0,INDEX($C$16:$L$16,D$8+1))</f>
        <v>270</v>
      </c>
      <c r="E44" s="84" t="n">
        <f aca="false">IF(E$8&gt;=COLUMNS($C$16:$L$16),0,INDEX($C$16:$L$16,E$8+1))</f>
        <v>270</v>
      </c>
      <c r="F44" s="84" t="n">
        <f aca="false">IF(F$8&gt;=COLUMNS($C$16:$L$16),0,INDEX($C$16:$L$16,F$8+1))</f>
        <v>270</v>
      </c>
      <c r="G44" s="84" t="n">
        <f aca="false">IF(G$8&gt;=COLUMNS($C$16:$L$16),0,INDEX($C$16:$L$16,G$8+1))</f>
        <v>270</v>
      </c>
      <c r="H44" s="84" t="n">
        <f aca="false">IF(H$8&gt;=COLUMNS($C$16:$L$16),0,INDEX($C$16:$L$16,H$8+1))</f>
        <v>270</v>
      </c>
      <c r="I44" s="84" t="n">
        <f aca="false">IF(I$8&gt;=COLUMNS($C$16:$L$16),0,INDEX($C$16:$L$16,I$8+1))</f>
        <v>270</v>
      </c>
      <c r="J44" s="84" t="n">
        <f aca="false">IF(J$8&gt;=COLUMNS($C$16:$L$16),0,INDEX($C$16:$L$16,J$8+1))</f>
        <v>270</v>
      </c>
      <c r="K44" s="84" t="n">
        <f aca="false">IF(K$8&gt;=COLUMNS($C$16:$L$16),0,INDEX($C$16:$L$16,K$8+1))</f>
        <v>270</v>
      </c>
      <c r="L44" s="84" t="n">
        <f aca="false">IF(L$8&gt;=COLUMNS($C$16:$L$16),0,INDEX($C$16:$L$16,L$8+1))</f>
        <v>0</v>
      </c>
    </row>
    <row r="45" customFormat="false" ht="15" hidden="false" customHeight="false" outlineLevel="0" collapsed="false">
      <c r="A45" s="5" t="s">
        <v>295</v>
      </c>
      <c r="B45" s="84" t="n">
        <f aca="false">IF(B$8=0,0,INDEX($C$36:$L$36,B$8))</f>
        <v>0</v>
      </c>
      <c r="C45" s="84" t="n">
        <f aca="false">IF(C$8=0,0,INDEX($C$36:$L$36,C$8))</f>
        <v>0</v>
      </c>
      <c r="D45" s="84" t="n">
        <f aca="false">IF(D$8=0,0,INDEX($C$36:$L$36,D$8))</f>
        <v>0</v>
      </c>
      <c r="E45" s="84" t="n">
        <f aca="false">IF(E$8=0,0,INDEX($C$36:$L$36,E$8))</f>
        <v>0</v>
      </c>
      <c r="F45" s="84" t="n">
        <f aca="false">IF(F$8=0,0,INDEX($C$36:$L$36,F$8))</f>
        <v>0</v>
      </c>
      <c r="G45" s="84" t="n">
        <f aca="false">IF(G$8=0,0,INDEX($C$36:$L$36,G$8))</f>
        <v>0</v>
      </c>
      <c r="H45" s="84" t="n">
        <f aca="false">IF(H$8=0,0,INDEX($C$36:$L$36,H$8))</f>
        <v>0</v>
      </c>
      <c r="I45" s="84" t="n">
        <f aca="false">IF(I$8=0,0,INDEX($C$36:$L$36,I$8))</f>
        <v>0</v>
      </c>
      <c r="J45" s="84" t="n">
        <f aca="false">IF(J$8=0,0,INDEX($C$36:$L$36,J$8))</f>
        <v>0</v>
      </c>
      <c r="K45" s="84" t="n">
        <f aca="false">IF(K$8=0,0,INDEX($C$36:$L$36,K$8))</f>
        <v>229.711338055375</v>
      </c>
      <c r="L45" s="84" t="n">
        <f aca="false">IF(L$8=0,0,INDEX($C$36:$L$36,L$8))</f>
        <v>5132.68863808713</v>
      </c>
    </row>
    <row r="46" customFormat="false" ht="15" hidden="false" customHeight="false" outlineLevel="0" collapsed="false">
      <c r="A46" s="38" t="s">
        <v>296</v>
      </c>
      <c r="B46" s="86" t="n">
        <f aca="false">B44+B45</f>
        <v>270</v>
      </c>
      <c r="C46" s="86" t="n">
        <f aca="false">C44+C45</f>
        <v>270</v>
      </c>
      <c r="D46" s="86" t="n">
        <f aca="false">D44+D45</f>
        <v>270</v>
      </c>
      <c r="E46" s="86" t="n">
        <f aca="false">E44+E45</f>
        <v>270</v>
      </c>
      <c r="F46" s="86" t="n">
        <f aca="false">F44+F45</f>
        <v>270</v>
      </c>
      <c r="G46" s="86" t="n">
        <f aca="false">G44+G45</f>
        <v>270</v>
      </c>
      <c r="H46" s="86" t="n">
        <f aca="false">H44+H45</f>
        <v>270</v>
      </c>
      <c r="I46" s="86" t="n">
        <f aca="false">I44+I45</f>
        <v>270</v>
      </c>
      <c r="J46" s="86" t="n">
        <f aca="false">J44+J45</f>
        <v>270</v>
      </c>
      <c r="K46" s="86" t="n">
        <f aca="false">K44+K45</f>
        <v>499.711338055375</v>
      </c>
      <c r="L46" s="86" t="n">
        <f aca="false">L44+L45</f>
        <v>5132.68863808713</v>
      </c>
    </row>
    <row r="47" customFormat="false" ht="15" hidden="false" customHeight="false" outlineLevel="0" collapsed="false">
      <c r="A47" s="48" t="s">
        <v>297</v>
      </c>
      <c r="B47" s="85" t="n">
        <f aca="false">$C$63*B43</f>
        <v>-150</v>
      </c>
      <c r="C47" s="85" t="n">
        <f aca="false">$C$63*C43</f>
        <v>-150</v>
      </c>
      <c r="D47" s="85" t="n">
        <f aca="false">$C$63*D43</f>
        <v>-150</v>
      </c>
      <c r="E47" s="85" t="n">
        <f aca="false">$C$63*E43</f>
        <v>-150</v>
      </c>
      <c r="F47" s="85" t="n">
        <f aca="false">$C$63*F43</f>
        <v>-150</v>
      </c>
      <c r="G47" s="85" t="n">
        <f aca="false">$C$63*G43</f>
        <v>249.814512</v>
      </c>
      <c r="H47" s="85" t="n">
        <f aca="false">$C$63*H43</f>
        <v>237.39193152</v>
      </c>
      <c r="I47" s="85" t="n">
        <f aca="false">$C$63*I43</f>
        <v>225.4662542592</v>
      </c>
      <c r="J47" s="85" t="n">
        <f aca="false">$C$63*J43</f>
        <v>214.017604088832</v>
      </c>
      <c r="K47" s="85" t="n">
        <f aca="false">$C$63*K43</f>
        <v>194.412724748202</v>
      </c>
      <c r="L47" s="85" t="n">
        <f aca="false">$C$63*L43</f>
        <v>769.90329571307</v>
      </c>
    </row>
    <row r="49" customFormat="false" ht="15" hidden="false" customHeight="false" outlineLevel="0" collapsed="false">
      <c r="A49" s="3" t="s">
        <v>298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false" outlineLevel="0" collapsed="false">
      <c r="A50" s="38" t="s">
        <v>299</v>
      </c>
      <c r="C50" s="87" t="n">
        <f aca="false">IRR(B43:L43,0.1)</f>
        <v>0.165918224327762</v>
      </c>
      <c r="E50" s="2" t="s">
        <v>300</v>
      </c>
    </row>
    <row r="51" customFormat="false" ht="15" hidden="false" customHeight="false" outlineLevel="0" collapsed="false">
      <c r="A51" s="38" t="s">
        <v>301</v>
      </c>
      <c r="C51" s="46" t="n">
        <f aca="false">B43+NPV($F$3,C43:L43)</f>
        <v>1303.53847315147</v>
      </c>
      <c r="E51" s="2" t="s">
        <v>302</v>
      </c>
    </row>
    <row r="52" customFormat="false" ht="15" hidden="false" customHeight="false" outlineLevel="0" collapsed="false">
      <c r="A52" s="5" t="s">
        <v>303</v>
      </c>
      <c r="C52" s="45" t="n">
        <f aca="false">-SUM(B41:L41)</f>
        <v>20000</v>
      </c>
      <c r="E52" s="2" t="s">
        <v>304</v>
      </c>
    </row>
    <row r="53" customFormat="false" ht="15" hidden="false" customHeight="false" outlineLevel="0" collapsed="false">
      <c r="A53" s="5" t="s">
        <v>305</v>
      </c>
      <c r="C53" s="45" t="n">
        <f aca="false">SUM(B42:L42)</f>
        <v>50426.8352621148</v>
      </c>
    </row>
    <row r="54" customFormat="false" ht="15" hidden="false" customHeight="false" outlineLevel="0" collapsed="false">
      <c r="A54" s="5" t="s">
        <v>148</v>
      </c>
      <c r="C54" s="88" t="n">
        <f aca="false">IF(C52=0,0,C53/C52)</f>
        <v>2.52134176310574</v>
      </c>
    </row>
    <row r="55" customFormat="false" ht="15" hidden="false" customHeight="false" outlineLevel="0" collapsed="false">
      <c r="A55" s="5" t="s">
        <v>306</v>
      </c>
      <c r="C55" s="45" t="n">
        <f aca="false">SUM(B44:L44)</f>
        <v>2700</v>
      </c>
    </row>
    <row r="56" customFormat="false" ht="15" hidden="false" customHeight="false" outlineLevel="0" collapsed="false">
      <c r="A56" s="5" t="s">
        <v>307</v>
      </c>
      <c r="C56" s="45" t="n">
        <f aca="false">SUM(B45:L45)</f>
        <v>5362.39997614251</v>
      </c>
    </row>
    <row r="57" customFormat="false" ht="15" hidden="false" customHeight="false" outlineLevel="0" collapsed="false">
      <c r="A57" s="5" t="s">
        <v>308</v>
      </c>
      <c r="C57" s="45" t="n">
        <f aca="false">B44+NPV($F$3,C44:L44)</f>
        <v>1558.32765832774</v>
      </c>
      <c r="E57" s="2" t="s">
        <v>309</v>
      </c>
    </row>
    <row r="58" customFormat="false" ht="15" hidden="false" customHeight="false" outlineLevel="0" collapsed="false">
      <c r="A58" s="5" t="s">
        <v>310</v>
      </c>
      <c r="C58" s="45" t="n">
        <f aca="false">B45+NPV($F$3,C45:L45)</f>
        <v>1334.0204316492</v>
      </c>
    </row>
    <row r="59" customFormat="false" ht="15" hidden="false" customHeight="false" outlineLevel="0" collapsed="false">
      <c r="A59" s="38" t="s">
        <v>311</v>
      </c>
      <c r="C59" s="46" t="n">
        <f aca="false">C57+C58</f>
        <v>2892.34808997694</v>
      </c>
    </row>
    <row r="60" customFormat="false" ht="15" hidden="false" customHeight="false" outlineLevel="0" collapsed="false">
      <c r="A60" s="5" t="s">
        <v>312</v>
      </c>
      <c r="C60" s="32" t="n">
        <f aca="false">IF(C59=0,0,C57/C59)</f>
        <v>0.538775973655427</v>
      </c>
      <c r="E60" s="2" t="s">
        <v>313</v>
      </c>
    </row>
    <row r="61" customFormat="false" ht="15" hidden="false" customHeight="false" outlineLevel="0" collapsed="false">
      <c r="A61" s="5" t="s">
        <v>314</v>
      </c>
      <c r="C61" s="89" t="n">
        <f aca="false">$F$2-C50</f>
        <v>0.0340817756722379</v>
      </c>
    </row>
    <row r="62" customFormat="false" ht="15" hidden="false" customHeight="false" outlineLevel="0" collapsed="false">
      <c r="A62" s="5" t="s">
        <v>315</v>
      </c>
      <c r="C62" s="21" t="n">
        <f aca="false">IF(MAX(C38:L38)&lt;=0,"None",IFERROR(INDEX(C8:L8,MATCH(0,C38:L38,1)+1),C8))</f>
        <v>9</v>
      </c>
    </row>
    <row r="63" customFormat="false" ht="15" hidden="false" customHeight="false" outlineLevel="0" collapsed="false">
      <c r="A63" s="5" t="s">
        <v>316</v>
      </c>
      <c r="C63" s="90" t="n">
        <f aca="false">IF($C$2=0,0,$I$4/$C$2)</f>
        <v>0.0375</v>
      </c>
      <c r="E63" s="2" t="s">
        <v>317</v>
      </c>
    </row>
    <row r="64" customFormat="false" ht="15" hidden="false" customHeight="false" outlineLevel="0" collapsed="false">
      <c r="A64" s="5" t="s">
        <v>318</v>
      </c>
      <c r="C64" s="45" t="n">
        <f aca="false">C63*C51</f>
        <v>48.8826927431801</v>
      </c>
    </row>
    <row r="65" customFormat="false" ht="15" hidden="false" customHeight="false" outlineLevel="0" collapsed="false">
      <c r="A65" s="5" t="s">
        <v>319</v>
      </c>
      <c r="C65" s="45" t="n">
        <f aca="false">C63*C55</f>
        <v>101.25</v>
      </c>
    </row>
    <row r="66" customFormat="false" ht="15" hidden="false" customHeight="false" outlineLevel="0" collapsed="false">
      <c r="A66" s="5" t="s">
        <v>320</v>
      </c>
      <c r="C66" s="45" t="n">
        <f aca="false">C63*C53</f>
        <v>1891.0063223293</v>
      </c>
    </row>
    <row r="68" customFormat="false" ht="15" hidden="false" customHeight="false" outlineLevel="0" collapsed="false">
      <c r="A68" s="3" t="s">
        <v>321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5" t="s">
        <v>322</v>
      </c>
      <c r="C69" s="45" t="n">
        <f aca="false">ROUND(L24,6)</f>
        <v>0</v>
      </c>
    </row>
    <row r="70" customFormat="false" ht="15" hidden="false" customHeight="false" outlineLevel="0" collapsed="false">
      <c r="A70" s="5" t="s">
        <v>323</v>
      </c>
      <c r="C70" s="45" t="n">
        <f aca="false">ROUND(SUM(C23:L23)-SUM(C35:L35)-SUM(C36:L36),6)</f>
        <v>0</v>
      </c>
    </row>
    <row r="71" customFormat="false" ht="15" hidden="false" customHeight="false" outlineLevel="0" collapsed="false">
      <c r="A71" s="5" t="s">
        <v>324</v>
      </c>
      <c r="C71" s="45" t="n">
        <f aca="false">ROUND(SUM(C23:L23)-(SUM(C15:L15)-SUM(C16:L16)+SUM(C20:L20)),6)</f>
        <v>0</v>
      </c>
    </row>
    <row r="72" customFormat="false" ht="15" hidden="false" customHeight="false" outlineLevel="0" collapsed="false">
      <c r="A72" s="8" t="s">
        <v>325</v>
      </c>
      <c r="B72" s="49"/>
      <c r="C72" s="91" t="str">
        <f aca="false">IF(ABS(C69)+ABS(C70)+ABS(C71)&lt;0.001,"OK","CHECK")</f>
        <v>OK</v>
      </c>
      <c r="D72" s="49"/>
      <c r="E72" s="49"/>
      <c r="F72" s="49"/>
      <c r="G72" s="49"/>
      <c r="H72" s="49"/>
      <c r="I72" s="49"/>
      <c r="J72" s="49"/>
      <c r="K72" s="49"/>
      <c r="L72" s="49"/>
    </row>
    <row r="74" customFormat="false" ht="15" hidden="false" customHeight="false" outlineLevel="0" collapsed="false">
      <c r="A74" s="2" t="s">
        <v>326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2" min="2" style="0" width="9.7"/>
  </cols>
  <sheetData>
    <row r="1" customFormat="false" ht="15" hidden="false" customHeight="false" outlineLevel="0" collapsed="false">
      <c r="A1" s="71" t="s">
        <v>253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customFormat="false" ht="15" hidden="false" customHeight="false" outlineLevel="0" collapsed="false">
      <c r="B2" s="72" t="s">
        <v>254</v>
      </c>
      <c r="C2" s="73" t="n">
        <f aca="false">Inputs!$C$6</f>
        <v>20000</v>
      </c>
      <c r="E2" s="72" t="s">
        <v>255</v>
      </c>
      <c r="F2" s="74" t="n">
        <f aca="false">Inputs!$C$8</f>
        <v>0.2</v>
      </c>
      <c r="H2" s="72" t="s">
        <v>256</v>
      </c>
      <c r="I2" s="74" t="n">
        <f aca="false">Inputs!$C$22</f>
        <v>0.08</v>
      </c>
    </row>
    <row r="3" customFormat="false" ht="15" hidden="false" customHeight="false" outlineLevel="0" collapsed="false">
      <c r="B3" s="72" t="s">
        <v>257</v>
      </c>
      <c r="C3" s="76" t="n">
        <f aca="false">Inputs!$C$19</f>
        <v>0.0135</v>
      </c>
      <c r="E3" s="72" t="s">
        <v>258</v>
      </c>
      <c r="F3" s="74" t="n">
        <f aca="false">Inputs!$C$9</f>
        <v>0.15</v>
      </c>
      <c r="H3" s="72" t="s">
        <v>259</v>
      </c>
      <c r="I3" s="111" t="n">
        <f aca="false">Inputs!$C$23</f>
        <v>1</v>
      </c>
    </row>
    <row r="4" customFormat="false" ht="15" hidden="false" customHeight="false" outlineLevel="0" collapsed="false">
      <c r="B4" s="72" t="s">
        <v>260</v>
      </c>
      <c r="C4" s="78" t="n">
        <f aca="false">1-F4</f>
        <v>0.8</v>
      </c>
      <c r="E4" s="72" t="s">
        <v>261</v>
      </c>
      <c r="F4" s="74" t="n">
        <f aca="false">Inputs!$C$20</f>
        <v>0.2</v>
      </c>
      <c r="H4" s="72" t="s">
        <v>262</v>
      </c>
      <c r="I4" s="73" t="n">
        <f aca="false">Inputs!$C$26</f>
        <v>750</v>
      </c>
    </row>
    <row r="6" customFormat="false" ht="15" hidden="false" customHeight="false" outlineLevel="0" collapsed="false">
      <c r="A6" s="79" t="str">
        <f aca="false">"Scenario: "&amp;"TPG offer + soft hurdle — "&amp;TEXT(C3,"0.00%")&amp;" fee on committed capital, "&amp;TEXT(F4,"0%")&amp;" carry, "&amp;IF(I2=0,"no hurdle",TEXT(I2,"0%")&amp;" hurdle"&amp;IF(I3=1," with 100% GP catch-up (soft)"," with no catch-up (hard)"))</f>
        <v>Scenario: TPG offer + soft hurdle — 1.35% fee on committed capital, 20% carry, 8% hurdle with 100% GP catch-up (soft)</v>
      </c>
      <c r="J6" s="2" t="s">
        <v>431</v>
      </c>
    </row>
    <row r="8" customFormat="false" ht="15" hidden="false" customHeight="false" outlineLevel="0" collapsed="false">
      <c r="A8" s="33" t="s">
        <v>91</v>
      </c>
      <c r="B8" s="80" t="n">
        <v>0</v>
      </c>
      <c r="C8" s="81" t="n">
        <v>1</v>
      </c>
      <c r="D8" s="81" t="n">
        <v>2</v>
      </c>
      <c r="E8" s="81" t="n">
        <v>3</v>
      </c>
      <c r="F8" s="81" t="n">
        <v>4</v>
      </c>
      <c r="G8" s="81" t="n">
        <v>5</v>
      </c>
      <c r="H8" s="81" t="n">
        <v>6</v>
      </c>
      <c r="I8" s="81" t="n">
        <v>7</v>
      </c>
      <c r="J8" s="81" t="n">
        <v>8</v>
      </c>
      <c r="K8" s="81" t="n">
        <v>9</v>
      </c>
      <c r="L8" s="81" t="n">
        <v>10</v>
      </c>
    </row>
    <row r="9" customFormat="false" ht="15" hidden="false" customHeight="false" outlineLevel="0" collapsed="false">
      <c r="A9" s="82" t="s">
        <v>264</v>
      </c>
    </row>
    <row r="10" customFormat="false" ht="15" hidden="false" customHeight="false" outlineLevel="0" collapsed="false">
      <c r="A10" s="5" t="s">
        <v>265</v>
      </c>
      <c r="C10" s="83" t="n">
        <f aca="false">Inputs!C$13</f>
        <v>0.2</v>
      </c>
      <c r="D10" s="83" t="n">
        <f aca="false">Inputs!D$13</f>
        <v>0.2</v>
      </c>
      <c r="E10" s="83" t="n">
        <f aca="false">Inputs!E$13</f>
        <v>0.2</v>
      </c>
      <c r="F10" s="83" t="n">
        <f aca="false">Inputs!F$13</f>
        <v>0.2</v>
      </c>
      <c r="G10" s="83" t="n">
        <f aca="false">Inputs!G$13</f>
        <v>0.2</v>
      </c>
      <c r="H10" s="83" t="n">
        <f aca="false">Inputs!H$13</f>
        <v>0</v>
      </c>
      <c r="I10" s="83" t="n">
        <f aca="false">Inputs!I$13</f>
        <v>0</v>
      </c>
      <c r="J10" s="83" t="n">
        <f aca="false">Inputs!J$13</f>
        <v>0</v>
      </c>
      <c r="K10" s="83" t="n">
        <f aca="false">Inputs!K$13</f>
        <v>0</v>
      </c>
      <c r="L10" s="83" t="n">
        <f aca="false">Inputs!L$13</f>
        <v>0</v>
      </c>
    </row>
    <row r="11" customFormat="false" ht="15" hidden="false" customHeight="false" outlineLevel="0" collapsed="false">
      <c r="A11" s="5" t="s">
        <v>266</v>
      </c>
      <c r="C11" s="83" t="n">
        <f aca="false">Inputs!C$14</f>
        <v>0</v>
      </c>
      <c r="D11" s="83" t="n">
        <f aca="false">Inputs!D$14</f>
        <v>0</v>
      </c>
      <c r="E11" s="83" t="n">
        <f aca="false">Inputs!E$14</f>
        <v>0</v>
      </c>
      <c r="F11" s="83" t="n">
        <f aca="false">Inputs!F$14</f>
        <v>0</v>
      </c>
      <c r="G11" s="83" t="n">
        <f aca="false">Inputs!G$14</f>
        <v>0.2</v>
      </c>
      <c r="H11" s="83" t="n">
        <f aca="false">Inputs!H$14</f>
        <v>0.2</v>
      </c>
      <c r="I11" s="83" t="n">
        <f aca="false">Inputs!I$14</f>
        <v>0.2</v>
      </c>
      <c r="J11" s="83" t="n">
        <f aca="false">Inputs!J$14</f>
        <v>0.2</v>
      </c>
      <c r="K11" s="83" t="n">
        <f aca="false">Inputs!K$14</f>
        <v>0.2</v>
      </c>
      <c r="L11" s="83" t="n">
        <f aca="false">Inputs!L$14</f>
        <v>1</v>
      </c>
    </row>
    <row r="13" customFormat="false" ht="15" hidden="false" customHeight="false" outlineLevel="0" collapsed="false">
      <c r="A13" s="3" t="s">
        <v>267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5" t="s">
        <v>268</v>
      </c>
      <c r="C14" s="84" t="n">
        <f aca="false">B24</f>
        <v>0</v>
      </c>
      <c r="D14" s="84" t="n">
        <f aca="false">C24</f>
        <v>4476</v>
      </c>
      <c r="E14" s="84" t="n">
        <f aca="false">D24</f>
        <v>9847.2</v>
      </c>
      <c r="F14" s="84" t="n">
        <f aca="false">E24</f>
        <v>16292.64</v>
      </c>
      <c r="G14" s="84" t="n">
        <f aca="false">F24</f>
        <v>24027.168</v>
      </c>
      <c r="H14" s="84" t="n">
        <f aca="false">G24</f>
        <v>26646.88128</v>
      </c>
      <c r="I14" s="84" t="n">
        <f aca="false">H24</f>
        <v>25321.8060288</v>
      </c>
      <c r="J14" s="84" t="n">
        <f aca="false">I24</f>
        <v>24049.733787648</v>
      </c>
      <c r="K14" s="84" t="n">
        <f aca="false">J24</f>
        <v>22828.5444361421</v>
      </c>
      <c r="L14" s="84" t="n">
        <f aca="false">K24</f>
        <v>21656.2026586964</v>
      </c>
    </row>
    <row r="15" customFormat="false" ht="15" hidden="false" customHeight="false" outlineLevel="0" collapsed="false">
      <c r="A15" s="5" t="s">
        <v>269</v>
      </c>
      <c r="C15" s="84" t="n">
        <f aca="false">$C$2*C10</f>
        <v>4000</v>
      </c>
      <c r="D15" s="84" t="n">
        <f aca="false">$C$2*D10</f>
        <v>4000</v>
      </c>
      <c r="E15" s="84" t="n">
        <f aca="false">$C$2*E10</f>
        <v>4000</v>
      </c>
      <c r="F15" s="84" t="n">
        <f aca="false">$C$2*F10</f>
        <v>4000</v>
      </c>
      <c r="G15" s="84" t="n">
        <f aca="false">$C$2*G10</f>
        <v>4000</v>
      </c>
      <c r="H15" s="84" t="n">
        <f aca="false">$C$2*H10</f>
        <v>0</v>
      </c>
      <c r="I15" s="84" t="n">
        <f aca="false">$C$2*I10</f>
        <v>0</v>
      </c>
      <c r="J15" s="84" t="n">
        <f aca="false">$C$2*J10</f>
        <v>0</v>
      </c>
      <c r="K15" s="84" t="n">
        <f aca="false">$C$2*K10</f>
        <v>0</v>
      </c>
      <c r="L15" s="84" t="n">
        <f aca="false">$C$2*L10</f>
        <v>0</v>
      </c>
    </row>
    <row r="16" customFormat="false" ht="15" hidden="false" customHeight="false" outlineLevel="0" collapsed="false">
      <c r="A16" s="5" t="s">
        <v>270</v>
      </c>
      <c r="C16" s="84" t="n">
        <f aca="false">$C$2*$C$3</f>
        <v>270</v>
      </c>
      <c r="D16" s="84" t="n">
        <f aca="false">$C$2*$C$3</f>
        <v>270</v>
      </c>
      <c r="E16" s="84" t="n">
        <f aca="false">$C$2*$C$3</f>
        <v>270</v>
      </c>
      <c r="F16" s="84" t="n">
        <f aca="false">$C$2*$C$3</f>
        <v>270</v>
      </c>
      <c r="G16" s="84" t="n">
        <f aca="false">$C$2*$C$3</f>
        <v>270</v>
      </c>
      <c r="H16" s="84" t="n">
        <f aca="false">$C$2*$C$3</f>
        <v>270</v>
      </c>
      <c r="I16" s="84" t="n">
        <f aca="false">$C$2*$C$3</f>
        <v>270</v>
      </c>
      <c r="J16" s="84" t="n">
        <f aca="false">$C$2*$C$3</f>
        <v>270</v>
      </c>
      <c r="K16" s="84" t="n">
        <f aca="false">$C$2*$C$3</f>
        <v>270</v>
      </c>
      <c r="L16" s="84" t="n">
        <f aca="false">$C$2*$C$3</f>
        <v>270</v>
      </c>
    </row>
    <row r="17" customFormat="false" ht="15" hidden="false" customHeight="false" outlineLevel="0" collapsed="false">
      <c r="A17" s="5" t="s">
        <v>271</v>
      </c>
      <c r="C17" s="84" t="n">
        <f aca="false">C14+C15-C16</f>
        <v>3730</v>
      </c>
      <c r="D17" s="84" t="n">
        <f aca="false">D14+D15-D16</f>
        <v>8206</v>
      </c>
      <c r="E17" s="84" t="n">
        <f aca="false">E14+E15-E16</f>
        <v>13577.2</v>
      </c>
      <c r="F17" s="84" t="n">
        <f aca="false">F14+F15-F16</f>
        <v>20022.64</v>
      </c>
      <c r="G17" s="84" t="n">
        <f aca="false">G14+G15-G16</f>
        <v>27757.168</v>
      </c>
      <c r="H17" s="84" t="n">
        <f aca="false">H14+H15-H16</f>
        <v>26376.88128</v>
      </c>
      <c r="I17" s="84" t="n">
        <f aca="false">I14+I15-I16</f>
        <v>25051.8060288</v>
      </c>
      <c r="J17" s="84" t="n">
        <f aca="false">J14+J15-J16</f>
        <v>23779.733787648</v>
      </c>
      <c r="K17" s="84" t="n">
        <f aca="false">K14+K15-K16</f>
        <v>22558.5444361421</v>
      </c>
      <c r="L17" s="84" t="n">
        <f aca="false">L14+L15-L16</f>
        <v>21386.2026586964</v>
      </c>
    </row>
    <row r="19" customFormat="false" ht="15" hidden="false" customHeight="false" outlineLevel="0" collapsed="false">
      <c r="A19" s="3" t="s">
        <v>272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5" t="s">
        <v>273</v>
      </c>
      <c r="C20" s="84" t="n">
        <f aca="false">C17*$F$2</f>
        <v>746</v>
      </c>
      <c r="D20" s="84" t="n">
        <f aca="false">D17*$F$2</f>
        <v>1641.2</v>
      </c>
      <c r="E20" s="84" t="n">
        <f aca="false">E17*$F$2</f>
        <v>2715.44</v>
      </c>
      <c r="F20" s="84" t="n">
        <f aca="false">F17*$F$2</f>
        <v>4004.528</v>
      </c>
      <c r="G20" s="84" t="n">
        <f aca="false">G17*$F$2</f>
        <v>5551.4336</v>
      </c>
      <c r="H20" s="84" t="n">
        <f aca="false">H17*$F$2</f>
        <v>5275.376256</v>
      </c>
      <c r="I20" s="84" t="n">
        <f aca="false">I17*$F$2</f>
        <v>5010.36120576</v>
      </c>
      <c r="J20" s="84" t="n">
        <f aca="false">J17*$F$2</f>
        <v>4755.9467575296</v>
      </c>
      <c r="K20" s="84" t="n">
        <f aca="false">K17*$F$2</f>
        <v>4511.70888722842</v>
      </c>
      <c r="L20" s="84" t="n">
        <f aca="false">L17*$F$2</f>
        <v>4277.24053173928</v>
      </c>
    </row>
    <row r="21" customFormat="false" ht="15" hidden="false" customHeight="false" outlineLevel="0" collapsed="false">
      <c r="A21" s="5" t="s">
        <v>274</v>
      </c>
      <c r="C21" s="84" t="n">
        <f aca="false">C17+C20</f>
        <v>4476</v>
      </c>
      <c r="D21" s="84" t="n">
        <f aca="false">D17+D20</f>
        <v>9847.2</v>
      </c>
      <c r="E21" s="84" t="n">
        <f aca="false">E17+E20</f>
        <v>16292.64</v>
      </c>
      <c r="F21" s="84" t="n">
        <f aca="false">F17+F20</f>
        <v>24027.168</v>
      </c>
      <c r="G21" s="84" t="n">
        <f aca="false">G17+G20</f>
        <v>33308.6016</v>
      </c>
      <c r="H21" s="84" t="n">
        <f aca="false">H17+H20</f>
        <v>31652.257536</v>
      </c>
      <c r="I21" s="84" t="n">
        <f aca="false">I17+I20</f>
        <v>30062.16723456</v>
      </c>
      <c r="J21" s="84" t="n">
        <f aca="false">J17+J20</f>
        <v>28535.6805451776</v>
      </c>
      <c r="K21" s="84" t="n">
        <f aca="false">K17+K20</f>
        <v>27070.2533233705</v>
      </c>
      <c r="L21" s="84" t="n">
        <f aca="false">L17+L20</f>
        <v>25663.4431904357</v>
      </c>
    </row>
    <row r="23" customFormat="false" ht="15" hidden="false" customHeight="false" outlineLevel="0" collapsed="false">
      <c r="A23" s="5" t="s">
        <v>275</v>
      </c>
      <c r="C23" s="84" t="n">
        <f aca="false">C21*C11</f>
        <v>0</v>
      </c>
      <c r="D23" s="84" t="n">
        <f aca="false">D21*D11</f>
        <v>0</v>
      </c>
      <c r="E23" s="84" t="n">
        <f aca="false">E21*E11</f>
        <v>0</v>
      </c>
      <c r="F23" s="84" t="n">
        <f aca="false">F21*F11</f>
        <v>0</v>
      </c>
      <c r="G23" s="84" t="n">
        <f aca="false">G21*G11</f>
        <v>6661.72032</v>
      </c>
      <c r="H23" s="84" t="n">
        <f aca="false">H21*H11</f>
        <v>6330.4515072</v>
      </c>
      <c r="I23" s="84" t="n">
        <f aca="false">I21*I11</f>
        <v>6012.433446912</v>
      </c>
      <c r="J23" s="84" t="n">
        <f aca="false">J21*J11</f>
        <v>5707.13610903552</v>
      </c>
      <c r="K23" s="84" t="n">
        <f aca="false">K21*K11</f>
        <v>5414.0506646741</v>
      </c>
      <c r="L23" s="84" t="n">
        <f aca="false">L21*L11</f>
        <v>25663.4431904357</v>
      </c>
    </row>
    <row r="24" customFormat="false" ht="15" hidden="false" customHeight="false" outlineLevel="0" collapsed="false">
      <c r="A24" s="48" t="s">
        <v>276</v>
      </c>
      <c r="B24" s="49"/>
      <c r="C24" s="85" t="n">
        <f aca="false">C21-C23</f>
        <v>4476</v>
      </c>
      <c r="D24" s="85" t="n">
        <f aca="false">D21-D23</f>
        <v>9847.2</v>
      </c>
      <c r="E24" s="85" t="n">
        <f aca="false">E21-E23</f>
        <v>16292.64</v>
      </c>
      <c r="F24" s="85" t="n">
        <f aca="false">F21-F23</f>
        <v>24027.168</v>
      </c>
      <c r="G24" s="85" t="n">
        <f aca="false">G21-G23</f>
        <v>26646.88128</v>
      </c>
      <c r="H24" s="85" t="n">
        <f aca="false">H21-H23</f>
        <v>25321.8060288</v>
      </c>
      <c r="I24" s="85" t="n">
        <f aca="false">I21-I23</f>
        <v>24049.733787648</v>
      </c>
      <c r="J24" s="85" t="n">
        <f aca="false">J21-J23</f>
        <v>22828.5444361421</v>
      </c>
      <c r="K24" s="85" t="n">
        <f aca="false">K21-K23</f>
        <v>21656.2026586964</v>
      </c>
      <c r="L24" s="85" t="n">
        <f aca="false">L21-L23</f>
        <v>0</v>
      </c>
    </row>
    <row r="26" customFormat="false" ht="15" hidden="false" customHeight="false" outlineLevel="0" collapsed="false">
      <c r="A26" s="3" t="s">
        <v>277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5" t="s">
        <v>278</v>
      </c>
      <c r="C27" s="84" t="n">
        <f aca="false">B29+C15</f>
        <v>4000</v>
      </c>
      <c r="D27" s="84" t="n">
        <f aca="false">C29+D15</f>
        <v>8000</v>
      </c>
      <c r="E27" s="84" t="n">
        <f aca="false">D29+E15</f>
        <v>12000</v>
      </c>
      <c r="F27" s="84" t="n">
        <f aca="false">E29+F15</f>
        <v>16000</v>
      </c>
      <c r="G27" s="84" t="n">
        <f aca="false">F29+G15</f>
        <v>20000</v>
      </c>
      <c r="H27" s="84" t="n">
        <f aca="false">G29+H15</f>
        <v>13338.27968</v>
      </c>
      <c r="I27" s="84" t="n">
        <f aca="false">H29+I15</f>
        <v>7007.8281728</v>
      </c>
      <c r="J27" s="84" t="n">
        <f aca="false">I29+J15</f>
        <v>995.394725888001</v>
      </c>
      <c r="K27" s="84" t="n">
        <f aca="false">J29+K15</f>
        <v>0</v>
      </c>
      <c r="L27" s="84" t="n">
        <f aca="false">K29+L15</f>
        <v>0</v>
      </c>
    </row>
    <row r="28" customFormat="false" ht="15" hidden="false" customHeight="false" outlineLevel="0" collapsed="false">
      <c r="A28" s="5" t="s">
        <v>279</v>
      </c>
      <c r="C28" s="84" t="n">
        <f aca="false">MIN(C23,C27)</f>
        <v>0</v>
      </c>
      <c r="D28" s="84" t="n">
        <f aca="false">MIN(D23,D27)</f>
        <v>0</v>
      </c>
      <c r="E28" s="84" t="n">
        <f aca="false">MIN(E23,E27)</f>
        <v>0</v>
      </c>
      <c r="F28" s="84" t="n">
        <f aca="false">MIN(F23,F27)</f>
        <v>0</v>
      </c>
      <c r="G28" s="84" t="n">
        <f aca="false">MIN(G23,G27)</f>
        <v>6661.72032</v>
      </c>
      <c r="H28" s="84" t="n">
        <f aca="false">MIN(H23,H27)</f>
        <v>6330.4515072</v>
      </c>
      <c r="I28" s="84" t="n">
        <f aca="false">MIN(I23,I27)</f>
        <v>6012.433446912</v>
      </c>
      <c r="J28" s="84" t="n">
        <f aca="false">MIN(J23,J27)</f>
        <v>995.394725888001</v>
      </c>
      <c r="K28" s="84" t="n">
        <f aca="false">MIN(K23,K27)</f>
        <v>0</v>
      </c>
      <c r="L28" s="84" t="n">
        <f aca="false">MIN(L23,L27)</f>
        <v>0</v>
      </c>
    </row>
    <row r="29" customFormat="false" ht="15" hidden="false" customHeight="false" outlineLevel="0" collapsed="false">
      <c r="A29" s="5" t="s">
        <v>280</v>
      </c>
      <c r="C29" s="84" t="n">
        <f aca="false">C27-C28</f>
        <v>4000</v>
      </c>
      <c r="D29" s="84" t="n">
        <f aca="false">D27-D28</f>
        <v>8000</v>
      </c>
      <c r="E29" s="84" t="n">
        <f aca="false">E27-E28</f>
        <v>12000</v>
      </c>
      <c r="F29" s="84" t="n">
        <f aca="false">F27-F28</f>
        <v>16000</v>
      </c>
      <c r="G29" s="84" t="n">
        <f aca="false">G27-G28</f>
        <v>13338.27968</v>
      </c>
      <c r="H29" s="84" t="n">
        <f aca="false">H27-H28</f>
        <v>7007.8281728</v>
      </c>
      <c r="I29" s="84" t="n">
        <f aca="false">I27-I28</f>
        <v>995.394725888001</v>
      </c>
      <c r="J29" s="84" t="n">
        <f aca="false">J27-J28</f>
        <v>0</v>
      </c>
      <c r="K29" s="84" t="n">
        <f aca="false">K27-K28</f>
        <v>0</v>
      </c>
      <c r="L29" s="84" t="n">
        <f aca="false">L27-L28</f>
        <v>0</v>
      </c>
    </row>
    <row r="30" customFormat="false" ht="15" hidden="false" customHeight="false" outlineLevel="0" collapsed="false">
      <c r="A30" s="5" t="s">
        <v>281</v>
      </c>
      <c r="C30" s="84" t="n">
        <f aca="false">B32+$I$2*(C27+B32)</f>
        <v>320</v>
      </c>
      <c r="D30" s="84" t="n">
        <f aca="false">C32+$I$2*(D27+C32)</f>
        <v>985.6</v>
      </c>
      <c r="E30" s="84" t="n">
        <f aca="false">D32+$I$2*(E27+D32)</f>
        <v>2024.448</v>
      </c>
      <c r="F30" s="84" t="n">
        <f aca="false">E32+$I$2*(F27+E32)</f>
        <v>3466.40384</v>
      </c>
      <c r="G30" s="84" t="n">
        <f aca="false">F32+$I$2*(G27+F32)</f>
        <v>5343.7161472</v>
      </c>
      <c r="H30" s="84" t="n">
        <f aca="false">G32+$I$2*(H27+G32)</f>
        <v>6838.275813376</v>
      </c>
      <c r="I30" s="84" t="n">
        <f aca="false">H32+$I$2*(I27+H32)</f>
        <v>7945.96413227008</v>
      </c>
      <c r="J30" s="84" t="n">
        <f aca="false">I32+$I$2*(J27+I32)</f>
        <v>8661.27284092273</v>
      </c>
      <c r="K30" s="84" t="n">
        <f aca="false">J32+$I$2*(K27+J32)</f>
        <v>4265.49397439722</v>
      </c>
      <c r="L30" s="84" t="n">
        <f aca="false">K32+$I$2*(L27+K32)</f>
        <v>0</v>
      </c>
    </row>
    <row r="31" customFormat="false" ht="15" hidden="false" customHeight="false" outlineLevel="0" collapsed="false">
      <c r="A31" s="5" t="s">
        <v>282</v>
      </c>
      <c r="C31" s="84" t="n">
        <f aca="false">MIN(C23-C28,C30)</f>
        <v>0</v>
      </c>
      <c r="D31" s="84" t="n">
        <f aca="false">MIN(D23-D28,D30)</f>
        <v>0</v>
      </c>
      <c r="E31" s="84" t="n">
        <f aca="false">MIN(E23-E28,E30)</f>
        <v>0</v>
      </c>
      <c r="F31" s="84" t="n">
        <f aca="false">MIN(F23-F28,F30)</f>
        <v>0</v>
      </c>
      <c r="G31" s="84" t="n">
        <f aca="false">MIN(G23-G28,G30)</f>
        <v>0</v>
      </c>
      <c r="H31" s="84" t="n">
        <f aca="false">MIN(H23-H28,H30)</f>
        <v>0</v>
      </c>
      <c r="I31" s="84" t="n">
        <f aca="false">MIN(I23-I28,I30)</f>
        <v>0</v>
      </c>
      <c r="J31" s="84" t="n">
        <f aca="false">MIN(J23-J28,J30)</f>
        <v>4711.74138314752</v>
      </c>
      <c r="K31" s="84" t="n">
        <f aca="false">MIN(K23-K28,K30)</f>
        <v>4265.49397439722</v>
      </c>
      <c r="L31" s="84" t="n">
        <f aca="false">MIN(L23-L28,L30)</f>
        <v>0</v>
      </c>
    </row>
    <row r="32" customFormat="false" ht="15" hidden="false" customHeight="false" outlineLevel="0" collapsed="false">
      <c r="A32" s="5" t="s">
        <v>283</v>
      </c>
      <c r="C32" s="84" t="n">
        <f aca="false">C30-C31</f>
        <v>320</v>
      </c>
      <c r="D32" s="84" t="n">
        <f aca="false">D30-D31</f>
        <v>985.6</v>
      </c>
      <c r="E32" s="84" t="n">
        <f aca="false">E30-E31</f>
        <v>2024.448</v>
      </c>
      <c r="F32" s="84" t="n">
        <f aca="false">F30-F31</f>
        <v>3466.40384</v>
      </c>
      <c r="G32" s="84" t="n">
        <f aca="false">G30-G31</f>
        <v>5343.7161472</v>
      </c>
      <c r="H32" s="84" t="n">
        <f aca="false">H30-H31</f>
        <v>6838.275813376</v>
      </c>
      <c r="I32" s="84" t="n">
        <f aca="false">I30-I31</f>
        <v>7945.96413227008</v>
      </c>
      <c r="J32" s="84" t="n">
        <f aca="false">J30-J31</f>
        <v>3949.53145777521</v>
      </c>
      <c r="K32" s="84" t="n">
        <f aca="false">K30-K31</f>
        <v>0</v>
      </c>
      <c r="L32" s="84" t="n">
        <f aca="false">L30-L31</f>
        <v>0</v>
      </c>
    </row>
    <row r="33" customFormat="false" ht="15" hidden="false" customHeight="false" outlineLevel="0" collapsed="false">
      <c r="A33" s="5" t="s">
        <v>284</v>
      </c>
      <c r="C33" s="84" t="n">
        <f aca="false">IF($I$3=1,MIN(C23-C28-C31,MAX(0,$F$4/(1-$F$4)*(B37+C31)-B38)),0)</f>
        <v>0</v>
      </c>
      <c r="D33" s="84" t="n">
        <f aca="false">IF($I$3=1,MIN(D23-D28-D31,MAX(0,$F$4/(1-$F$4)*(C37+D31)-C38)),0)</f>
        <v>0</v>
      </c>
      <c r="E33" s="84" t="n">
        <f aca="false">IF($I$3=1,MIN(E23-E28-E31,MAX(0,$F$4/(1-$F$4)*(D37+E31)-D38)),0)</f>
        <v>0</v>
      </c>
      <c r="F33" s="84" t="n">
        <f aca="false">IF($I$3=1,MIN(F23-F28-F31,MAX(0,$F$4/(1-$F$4)*(E37+F31)-E38)),0)</f>
        <v>0</v>
      </c>
      <c r="G33" s="84" t="n">
        <f aca="false">IF($I$3=1,MIN(G23-G28-G31,MAX(0,$F$4/(1-$F$4)*(F37+G31)-F38)),0)</f>
        <v>0</v>
      </c>
      <c r="H33" s="84" t="n">
        <f aca="false">IF($I$3=1,MIN(H23-H28-H31,MAX(0,$F$4/(1-$F$4)*(G37+H31)-G38)),0)</f>
        <v>0</v>
      </c>
      <c r="I33" s="84" t="n">
        <f aca="false">IF($I$3=1,MIN(I23-I28-I31,MAX(0,$F$4/(1-$F$4)*(H37+I31)-H38)),0)</f>
        <v>0</v>
      </c>
      <c r="J33" s="84" t="n">
        <f aca="false">IF($I$3=1,MIN(J23-J28-J31,MAX(0,$F$4/(1-$F$4)*(I37+J31)-I38)),0)</f>
        <v>0</v>
      </c>
      <c r="K33" s="84" t="n">
        <f aca="false">IF($I$3=1,MIN(K23-K28-K31,MAX(0,$F$4/(1-$F$4)*(J37+K31)-J38)),0)</f>
        <v>1148.55669027687</v>
      </c>
      <c r="L33" s="84" t="n">
        <f aca="false">IF($I$3=1,MIN(L23-L28-L31,MAX(0,$F$4/(1-$F$4)*(K37+L31)-K38)),0)</f>
        <v>1095.75214910931</v>
      </c>
    </row>
    <row r="34" customFormat="false" ht="15" hidden="false" customHeight="false" outlineLevel="0" collapsed="false">
      <c r="A34" s="5" t="s">
        <v>285</v>
      </c>
      <c r="C34" s="84" t="n">
        <f aca="false">C23-C28-C31-C33</f>
        <v>0</v>
      </c>
      <c r="D34" s="84" t="n">
        <f aca="false">D23-D28-D31-D33</f>
        <v>0</v>
      </c>
      <c r="E34" s="84" t="n">
        <f aca="false">E23-E28-E31-E33</f>
        <v>0</v>
      </c>
      <c r="F34" s="84" t="n">
        <f aca="false">F23-F28-F31-F33</f>
        <v>0</v>
      </c>
      <c r="G34" s="84" t="n">
        <f aca="false">G23-G28-G31-G33</f>
        <v>0</v>
      </c>
      <c r="H34" s="84" t="n">
        <f aca="false">H23-H28-H31-H33</f>
        <v>0</v>
      </c>
      <c r="I34" s="84" t="n">
        <f aca="false">I23-I28-I31-I33</f>
        <v>0</v>
      </c>
      <c r="J34" s="84" t="n">
        <f aca="false">J23-J28-J31-J33</f>
        <v>0</v>
      </c>
      <c r="K34" s="84" t="n">
        <f aca="false">K23-K28-K31-K33</f>
        <v>0</v>
      </c>
      <c r="L34" s="84" t="n">
        <f aca="false">L23-L28-L31-L33</f>
        <v>24567.6910413264</v>
      </c>
    </row>
    <row r="35" customFormat="false" ht="15" hidden="false" customHeight="false" outlineLevel="0" collapsed="false">
      <c r="A35" s="38" t="s">
        <v>286</v>
      </c>
      <c r="C35" s="86" t="n">
        <f aca="false">C28+C31+$C$4*C34</f>
        <v>0</v>
      </c>
      <c r="D35" s="86" t="n">
        <f aca="false">D28+D31+$C$4*D34</f>
        <v>0</v>
      </c>
      <c r="E35" s="86" t="n">
        <f aca="false">E28+E31+$C$4*E34</f>
        <v>0</v>
      </c>
      <c r="F35" s="86" t="n">
        <f aca="false">F28+F31+$C$4*F34</f>
        <v>0</v>
      </c>
      <c r="G35" s="86" t="n">
        <f aca="false">G28+G31+$C$4*G34</f>
        <v>6661.72032</v>
      </c>
      <c r="H35" s="86" t="n">
        <f aca="false">H28+H31+$C$4*H34</f>
        <v>6330.4515072</v>
      </c>
      <c r="I35" s="86" t="n">
        <f aca="false">I28+I31+$C$4*I34</f>
        <v>6012.433446912</v>
      </c>
      <c r="J35" s="86" t="n">
        <f aca="false">J28+J31+$C$4*J34</f>
        <v>5707.13610903552</v>
      </c>
      <c r="K35" s="86" t="n">
        <f aca="false">K28+K31+$C$4*K34</f>
        <v>4265.49397439722</v>
      </c>
      <c r="L35" s="86" t="n">
        <f aca="false">L28+L31+$C$4*L34</f>
        <v>19654.1528330611</v>
      </c>
    </row>
    <row r="36" customFormat="false" ht="15" hidden="false" customHeight="false" outlineLevel="0" collapsed="false">
      <c r="A36" s="38" t="s">
        <v>287</v>
      </c>
      <c r="C36" s="86" t="n">
        <f aca="false">C33+$F$4*C34</f>
        <v>0</v>
      </c>
      <c r="D36" s="86" t="n">
        <f aca="false">D33+$F$4*D34</f>
        <v>0</v>
      </c>
      <c r="E36" s="86" t="n">
        <f aca="false">E33+$F$4*E34</f>
        <v>0</v>
      </c>
      <c r="F36" s="86" t="n">
        <f aca="false">F33+$F$4*F34</f>
        <v>0</v>
      </c>
      <c r="G36" s="86" t="n">
        <f aca="false">G33+$F$4*G34</f>
        <v>0</v>
      </c>
      <c r="H36" s="86" t="n">
        <f aca="false">H33+$F$4*H34</f>
        <v>0</v>
      </c>
      <c r="I36" s="86" t="n">
        <f aca="false">I33+$F$4*I34</f>
        <v>0</v>
      </c>
      <c r="J36" s="86" t="n">
        <f aca="false">J33+$F$4*J34</f>
        <v>0</v>
      </c>
      <c r="K36" s="86" t="n">
        <f aca="false">K33+$F$4*K34</f>
        <v>1148.55669027687</v>
      </c>
      <c r="L36" s="86" t="n">
        <f aca="false">L33+$F$4*L34</f>
        <v>6009.29035737458</v>
      </c>
    </row>
    <row r="37" customFormat="false" ht="15" hidden="false" customHeight="false" outlineLevel="0" collapsed="false">
      <c r="A37" s="5" t="s">
        <v>288</v>
      </c>
      <c r="C37" s="84" t="n">
        <f aca="false">B37+C31+$C$4*C34</f>
        <v>0</v>
      </c>
      <c r="D37" s="84" t="n">
        <f aca="false">C37+D31+$C$4*D34</f>
        <v>0</v>
      </c>
      <c r="E37" s="84" t="n">
        <f aca="false">D37+E31+$C$4*E34</f>
        <v>0</v>
      </c>
      <c r="F37" s="84" t="n">
        <f aca="false">E37+F31+$C$4*F34</f>
        <v>0</v>
      </c>
      <c r="G37" s="84" t="n">
        <f aca="false">F37+G31+$C$4*G34</f>
        <v>0</v>
      </c>
      <c r="H37" s="84" t="n">
        <f aca="false">G37+H31+$C$4*H34</f>
        <v>0</v>
      </c>
      <c r="I37" s="84" t="n">
        <f aca="false">H37+I31+$C$4*I34</f>
        <v>0</v>
      </c>
      <c r="J37" s="84" t="n">
        <f aca="false">I37+J31+$C$4*J34</f>
        <v>4711.74138314752</v>
      </c>
      <c r="K37" s="84" t="n">
        <f aca="false">J37+K31+$C$4*K34</f>
        <v>8977.23535754474</v>
      </c>
      <c r="L37" s="84" t="n">
        <f aca="false">K37+L31+$C$4*L34</f>
        <v>28631.3881906058</v>
      </c>
    </row>
    <row r="38" customFormat="false" ht="15" hidden="false" customHeight="false" outlineLevel="0" collapsed="false">
      <c r="A38" s="48" t="s">
        <v>289</v>
      </c>
      <c r="B38" s="49"/>
      <c r="C38" s="85" t="n">
        <f aca="false">B38+C36</f>
        <v>0</v>
      </c>
      <c r="D38" s="85" t="n">
        <f aca="false">C38+D36</f>
        <v>0</v>
      </c>
      <c r="E38" s="85" t="n">
        <f aca="false">D38+E36</f>
        <v>0</v>
      </c>
      <c r="F38" s="85" t="n">
        <f aca="false">E38+F36</f>
        <v>0</v>
      </c>
      <c r="G38" s="85" t="n">
        <f aca="false">F38+G36</f>
        <v>0</v>
      </c>
      <c r="H38" s="85" t="n">
        <f aca="false">G38+H36</f>
        <v>0</v>
      </c>
      <c r="I38" s="85" t="n">
        <f aca="false">H38+I36</f>
        <v>0</v>
      </c>
      <c r="J38" s="85" t="n">
        <f aca="false">I38+J36</f>
        <v>0</v>
      </c>
      <c r="K38" s="85" t="n">
        <f aca="false">J38+K36</f>
        <v>1148.55669027687</v>
      </c>
      <c r="L38" s="85" t="n">
        <f aca="false">K38+L36</f>
        <v>7157.84704765146</v>
      </c>
    </row>
    <row r="40" customFormat="false" ht="15" hidden="false" customHeight="false" outlineLevel="0" collapsed="false">
      <c r="A40" s="3" t="s">
        <v>290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false" outlineLevel="0" collapsed="false">
      <c r="A41" s="5" t="s">
        <v>291</v>
      </c>
      <c r="B41" s="84" t="n">
        <f aca="false">IF(B$8&gt;=COLUMNS($C$15:$L$15),0,-INDEX($C$15:$L$15,B$8+1))</f>
        <v>-4000</v>
      </c>
      <c r="C41" s="84" t="n">
        <f aca="false">IF(C$8&gt;=COLUMNS($C$15:$L$15),0,-INDEX($C$15:$L$15,C$8+1))</f>
        <v>-4000</v>
      </c>
      <c r="D41" s="84" t="n">
        <f aca="false">IF(D$8&gt;=COLUMNS($C$15:$L$15),0,-INDEX($C$15:$L$15,D$8+1))</f>
        <v>-4000</v>
      </c>
      <c r="E41" s="84" t="n">
        <f aca="false">IF(E$8&gt;=COLUMNS($C$15:$L$15),0,-INDEX($C$15:$L$15,E$8+1))</f>
        <v>-4000</v>
      </c>
      <c r="F41" s="84" t="n">
        <f aca="false">IF(F$8&gt;=COLUMNS($C$15:$L$15),0,-INDEX($C$15:$L$15,F$8+1))</f>
        <v>-4000</v>
      </c>
      <c r="G41" s="84" t="n">
        <f aca="false">IF(G$8&gt;=COLUMNS($C$15:$L$15),0,-INDEX($C$15:$L$15,G$8+1))</f>
        <v>-0</v>
      </c>
      <c r="H41" s="84" t="n">
        <f aca="false">IF(H$8&gt;=COLUMNS($C$15:$L$15),0,-INDEX($C$15:$L$15,H$8+1))</f>
        <v>-0</v>
      </c>
      <c r="I41" s="84" t="n">
        <f aca="false">IF(I$8&gt;=COLUMNS($C$15:$L$15),0,-INDEX($C$15:$L$15,I$8+1))</f>
        <v>-0</v>
      </c>
      <c r="J41" s="84" t="n">
        <f aca="false">IF(J$8&gt;=COLUMNS($C$15:$L$15),0,-INDEX($C$15:$L$15,J$8+1))</f>
        <v>-0</v>
      </c>
      <c r="K41" s="84" t="n">
        <f aca="false">IF(K$8&gt;=COLUMNS($C$15:$L$15),0,-INDEX($C$15:$L$15,K$8+1))</f>
        <v>-0</v>
      </c>
      <c r="L41" s="84" t="n">
        <f aca="false">IF(L$8&gt;=COLUMNS($C$15:$L$15),0,-INDEX($C$15:$L$15,L$8+1))</f>
        <v>0</v>
      </c>
    </row>
    <row r="42" customFormat="false" ht="15" hidden="false" customHeight="false" outlineLevel="0" collapsed="false">
      <c r="A42" s="5" t="s">
        <v>292</v>
      </c>
      <c r="B42" s="84" t="n">
        <f aca="false">IF(B$8=0,0,INDEX($C$35:$L$35,B$8))</f>
        <v>0</v>
      </c>
      <c r="C42" s="84" t="n">
        <f aca="false">IF(C$8=0,0,INDEX($C$35:$L$35,C$8))</f>
        <v>0</v>
      </c>
      <c r="D42" s="84" t="n">
        <f aca="false">IF(D$8=0,0,INDEX($C$35:$L$35,D$8))</f>
        <v>0</v>
      </c>
      <c r="E42" s="84" t="n">
        <f aca="false">IF(E$8=0,0,INDEX($C$35:$L$35,E$8))</f>
        <v>0</v>
      </c>
      <c r="F42" s="84" t="n">
        <f aca="false">IF(F$8=0,0,INDEX($C$35:$L$35,F$8))</f>
        <v>0</v>
      </c>
      <c r="G42" s="84" t="n">
        <f aca="false">IF(G$8=0,0,INDEX($C$35:$L$35,G$8))</f>
        <v>6661.72032</v>
      </c>
      <c r="H42" s="84" t="n">
        <f aca="false">IF(H$8=0,0,INDEX($C$35:$L$35,H$8))</f>
        <v>6330.4515072</v>
      </c>
      <c r="I42" s="84" t="n">
        <f aca="false">IF(I$8=0,0,INDEX($C$35:$L$35,I$8))</f>
        <v>6012.433446912</v>
      </c>
      <c r="J42" s="84" t="n">
        <f aca="false">IF(J$8=0,0,INDEX($C$35:$L$35,J$8))</f>
        <v>5707.13610903552</v>
      </c>
      <c r="K42" s="84" t="n">
        <f aca="false">IF(K$8=0,0,INDEX($C$35:$L$35,K$8))</f>
        <v>4265.49397439722</v>
      </c>
      <c r="L42" s="84" t="n">
        <f aca="false">IF(L$8=0,0,INDEX($C$35:$L$35,L$8))</f>
        <v>19654.1528330611</v>
      </c>
    </row>
    <row r="43" customFormat="false" ht="15" hidden="false" customHeight="false" outlineLevel="0" collapsed="false">
      <c r="A43" s="38" t="s">
        <v>293</v>
      </c>
      <c r="B43" s="86" t="n">
        <f aca="false">B41+B42</f>
        <v>-4000</v>
      </c>
      <c r="C43" s="86" t="n">
        <f aca="false">C41+C42</f>
        <v>-4000</v>
      </c>
      <c r="D43" s="86" t="n">
        <f aca="false">D41+D42</f>
        <v>-4000</v>
      </c>
      <c r="E43" s="86" t="n">
        <f aca="false">E41+E42</f>
        <v>-4000</v>
      </c>
      <c r="F43" s="86" t="n">
        <f aca="false">F41+F42</f>
        <v>-4000</v>
      </c>
      <c r="G43" s="86" t="n">
        <f aca="false">G41+G42</f>
        <v>6661.72032</v>
      </c>
      <c r="H43" s="86" t="n">
        <f aca="false">H41+H42</f>
        <v>6330.4515072</v>
      </c>
      <c r="I43" s="86" t="n">
        <f aca="false">I41+I42</f>
        <v>6012.433446912</v>
      </c>
      <c r="J43" s="86" t="n">
        <f aca="false">J41+J42</f>
        <v>5707.13610903552</v>
      </c>
      <c r="K43" s="86" t="n">
        <f aca="false">K41+K42</f>
        <v>4265.49397439722</v>
      </c>
      <c r="L43" s="86" t="n">
        <f aca="false">L41+L42</f>
        <v>19654.1528330611</v>
      </c>
    </row>
    <row r="44" customFormat="false" ht="15" hidden="false" customHeight="false" outlineLevel="0" collapsed="false">
      <c r="A44" s="5" t="s">
        <v>294</v>
      </c>
      <c r="B44" s="84" t="n">
        <f aca="false">IF(B$8&gt;=COLUMNS($C$16:$L$16),0,INDEX($C$16:$L$16,B$8+1))</f>
        <v>270</v>
      </c>
      <c r="C44" s="84" t="n">
        <f aca="false">IF(C$8&gt;=COLUMNS($C$16:$L$16),0,INDEX($C$16:$L$16,C$8+1))</f>
        <v>270</v>
      </c>
      <c r="D44" s="84" t="n">
        <f aca="false">IF(D$8&gt;=COLUMNS($C$16:$L$16),0,INDEX($C$16:$L$16,D$8+1))</f>
        <v>270</v>
      </c>
      <c r="E44" s="84" t="n">
        <f aca="false">IF(E$8&gt;=COLUMNS($C$16:$L$16),0,INDEX($C$16:$L$16,E$8+1))</f>
        <v>270</v>
      </c>
      <c r="F44" s="84" t="n">
        <f aca="false">IF(F$8&gt;=COLUMNS($C$16:$L$16),0,INDEX($C$16:$L$16,F$8+1))</f>
        <v>270</v>
      </c>
      <c r="G44" s="84" t="n">
        <f aca="false">IF(G$8&gt;=COLUMNS($C$16:$L$16),0,INDEX($C$16:$L$16,G$8+1))</f>
        <v>270</v>
      </c>
      <c r="H44" s="84" t="n">
        <f aca="false">IF(H$8&gt;=COLUMNS($C$16:$L$16),0,INDEX($C$16:$L$16,H$8+1))</f>
        <v>270</v>
      </c>
      <c r="I44" s="84" t="n">
        <f aca="false">IF(I$8&gt;=COLUMNS($C$16:$L$16),0,INDEX($C$16:$L$16,I$8+1))</f>
        <v>270</v>
      </c>
      <c r="J44" s="84" t="n">
        <f aca="false">IF(J$8&gt;=COLUMNS($C$16:$L$16),0,INDEX($C$16:$L$16,J$8+1))</f>
        <v>270</v>
      </c>
      <c r="K44" s="84" t="n">
        <f aca="false">IF(K$8&gt;=COLUMNS($C$16:$L$16),0,INDEX($C$16:$L$16,K$8+1))</f>
        <v>270</v>
      </c>
      <c r="L44" s="84" t="n">
        <f aca="false">IF(L$8&gt;=COLUMNS($C$16:$L$16),0,INDEX($C$16:$L$16,L$8+1))</f>
        <v>0</v>
      </c>
    </row>
    <row r="45" customFormat="false" ht="15" hidden="false" customHeight="false" outlineLevel="0" collapsed="false">
      <c r="A45" s="5" t="s">
        <v>295</v>
      </c>
      <c r="B45" s="84" t="n">
        <f aca="false">IF(B$8=0,0,INDEX($C$36:$L$36,B$8))</f>
        <v>0</v>
      </c>
      <c r="C45" s="84" t="n">
        <f aca="false">IF(C$8=0,0,INDEX($C$36:$L$36,C$8))</f>
        <v>0</v>
      </c>
      <c r="D45" s="84" t="n">
        <f aca="false">IF(D$8=0,0,INDEX($C$36:$L$36,D$8))</f>
        <v>0</v>
      </c>
      <c r="E45" s="84" t="n">
        <f aca="false">IF(E$8=0,0,INDEX($C$36:$L$36,E$8))</f>
        <v>0</v>
      </c>
      <c r="F45" s="84" t="n">
        <f aca="false">IF(F$8=0,0,INDEX($C$36:$L$36,F$8))</f>
        <v>0</v>
      </c>
      <c r="G45" s="84" t="n">
        <f aca="false">IF(G$8=0,0,INDEX($C$36:$L$36,G$8))</f>
        <v>0</v>
      </c>
      <c r="H45" s="84" t="n">
        <f aca="false">IF(H$8=0,0,INDEX($C$36:$L$36,H$8))</f>
        <v>0</v>
      </c>
      <c r="I45" s="84" t="n">
        <f aca="false">IF(I$8=0,0,INDEX($C$36:$L$36,I$8))</f>
        <v>0</v>
      </c>
      <c r="J45" s="84" t="n">
        <f aca="false">IF(J$8=0,0,INDEX($C$36:$L$36,J$8))</f>
        <v>0</v>
      </c>
      <c r="K45" s="84" t="n">
        <f aca="false">IF(K$8=0,0,INDEX($C$36:$L$36,K$8))</f>
        <v>1148.55669027687</v>
      </c>
      <c r="L45" s="84" t="n">
        <f aca="false">IF(L$8=0,0,INDEX($C$36:$L$36,L$8))</f>
        <v>6009.29035737458</v>
      </c>
    </row>
    <row r="46" customFormat="false" ht="15" hidden="false" customHeight="false" outlineLevel="0" collapsed="false">
      <c r="A46" s="38" t="s">
        <v>296</v>
      </c>
      <c r="B46" s="86" t="n">
        <f aca="false">B44+B45</f>
        <v>270</v>
      </c>
      <c r="C46" s="86" t="n">
        <f aca="false">C44+C45</f>
        <v>270</v>
      </c>
      <c r="D46" s="86" t="n">
        <f aca="false">D44+D45</f>
        <v>270</v>
      </c>
      <c r="E46" s="86" t="n">
        <f aca="false">E44+E45</f>
        <v>270</v>
      </c>
      <c r="F46" s="86" t="n">
        <f aca="false">F44+F45</f>
        <v>270</v>
      </c>
      <c r="G46" s="86" t="n">
        <f aca="false">G44+G45</f>
        <v>270</v>
      </c>
      <c r="H46" s="86" t="n">
        <f aca="false">H44+H45</f>
        <v>270</v>
      </c>
      <c r="I46" s="86" t="n">
        <f aca="false">I44+I45</f>
        <v>270</v>
      </c>
      <c r="J46" s="86" t="n">
        <f aca="false">J44+J45</f>
        <v>270</v>
      </c>
      <c r="K46" s="86" t="n">
        <f aca="false">K44+K45</f>
        <v>1418.55669027687</v>
      </c>
      <c r="L46" s="86" t="n">
        <f aca="false">L44+L45</f>
        <v>6009.29035737458</v>
      </c>
    </row>
    <row r="47" customFormat="false" ht="15" hidden="false" customHeight="false" outlineLevel="0" collapsed="false">
      <c r="A47" s="48" t="s">
        <v>297</v>
      </c>
      <c r="B47" s="85" t="n">
        <f aca="false">$C$63*B43</f>
        <v>-150</v>
      </c>
      <c r="C47" s="85" t="n">
        <f aca="false">$C$63*C43</f>
        <v>-150</v>
      </c>
      <c r="D47" s="85" t="n">
        <f aca="false">$C$63*D43</f>
        <v>-150</v>
      </c>
      <c r="E47" s="85" t="n">
        <f aca="false">$C$63*E43</f>
        <v>-150</v>
      </c>
      <c r="F47" s="85" t="n">
        <f aca="false">$C$63*F43</f>
        <v>-150</v>
      </c>
      <c r="G47" s="85" t="n">
        <f aca="false">$C$63*G43</f>
        <v>249.814512</v>
      </c>
      <c r="H47" s="85" t="n">
        <f aca="false">$C$63*H43</f>
        <v>237.39193152</v>
      </c>
      <c r="I47" s="85" t="n">
        <f aca="false">$C$63*I43</f>
        <v>225.4662542592</v>
      </c>
      <c r="J47" s="85" t="n">
        <f aca="false">$C$63*J43</f>
        <v>214.017604088832</v>
      </c>
      <c r="K47" s="85" t="n">
        <f aca="false">$C$63*K43</f>
        <v>159.956024039896</v>
      </c>
      <c r="L47" s="85" t="n">
        <f aca="false">$C$63*L43</f>
        <v>737.030731239791</v>
      </c>
    </row>
    <row r="49" customFormat="false" ht="15" hidden="false" customHeight="false" outlineLevel="0" collapsed="false">
      <c r="A49" s="3" t="s">
        <v>298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false" outlineLevel="0" collapsed="false">
      <c r="A50" s="38" t="s">
        <v>299</v>
      </c>
      <c r="C50" s="87" t="n">
        <f aca="false">IRR(B43:L43,0.1)</f>
        <v>0.160292237693307</v>
      </c>
      <c r="E50" s="2" t="s">
        <v>300</v>
      </c>
    </row>
    <row r="51" customFormat="false" ht="15" hidden="false" customHeight="false" outlineLevel="0" collapsed="false">
      <c r="A51" s="38" t="s">
        <v>301</v>
      </c>
      <c r="C51" s="46" t="n">
        <f aca="false">B43+NPV($F$3,C43:L43)</f>
        <v>825.662738669118</v>
      </c>
      <c r="E51" s="2" t="s">
        <v>302</v>
      </c>
    </row>
    <row r="52" customFormat="false" ht="15" hidden="false" customHeight="false" outlineLevel="0" collapsed="false">
      <c r="A52" s="5" t="s">
        <v>303</v>
      </c>
      <c r="C52" s="45" t="n">
        <f aca="false">-SUM(B41:L41)</f>
        <v>20000</v>
      </c>
      <c r="E52" s="2" t="s">
        <v>304</v>
      </c>
    </row>
    <row r="53" customFormat="false" ht="15" hidden="false" customHeight="false" outlineLevel="0" collapsed="false">
      <c r="A53" s="5" t="s">
        <v>305</v>
      </c>
      <c r="C53" s="45" t="n">
        <f aca="false">SUM(B42:L42)</f>
        <v>48631.3881906058</v>
      </c>
    </row>
    <row r="54" customFormat="false" ht="15" hidden="false" customHeight="false" outlineLevel="0" collapsed="false">
      <c r="A54" s="5" t="s">
        <v>148</v>
      </c>
      <c r="C54" s="88" t="n">
        <f aca="false">IF(C52=0,0,C53/C52)</f>
        <v>2.43156940953029</v>
      </c>
    </row>
    <row r="55" customFormat="false" ht="15" hidden="false" customHeight="false" outlineLevel="0" collapsed="false">
      <c r="A55" s="5" t="s">
        <v>306</v>
      </c>
      <c r="C55" s="45" t="n">
        <f aca="false">SUM(B44:L44)</f>
        <v>2700</v>
      </c>
    </row>
    <row r="56" customFormat="false" ht="15" hidden="false" customHeight="false" outlineLevel="0" collapsed="false">
      <c r="A56" s="5" t="s">
        <v>307</v>
      </c>
      <c r="C56" s="45" t="n">
        <f aca="false">SUM(B45:L45)</f>
        <v>7157.84704765146</v>
      </c>
    </row>
    <row r="57" customFormat="false" ht="15" hidden="false" customHeight="false" outlineLevel="0" collapsed="false">
      <c r="A57" s="5" t="s">
        <v>308</v>
      </c>
      <c r="C57" s="45" t="n">
        <f aca="false">B44+NPV($F$3,C44:L44)</f>
        <v>1558.32765832774</v>
      </c>
      <c r="E57" s="2" t="s">
        <v>309</v>
      </c>
    </row>
    <row r="58" customFormat="false" ht="15" hidden="false" customHeight="false" outlineLevel="0" collapsed="false">
      <c r="A58" s="5" t="s">
        <v>310</v>
      </c>
      <c r="C58" s="45" t="n">
        <f aca="false">B45+NPV($F$3,C45:L45)</f>
        <v>1811.89616613155</v>
      </c>
    </row>
    <row r="59" customFormat="false" ht="15" hidden="false" customHeight="false" outlineLevel="0" collapsed="false">
      <c r="A59" s="38" t="s">
        <v>311</v>
      </c>
      <c r="C59" s="46" t="n">
        <f aca="false">C57+C58</f>
        <v>3370.22382445929</v>
      </c>
    </row>
    <row r="60" customFormat="false" ht="15" hidden="false" customHeight="false" outlineLevel="0" collapsed="false">
      <c r="A60" s="5" t="s">
        <v>312</v>
      </c>
      <c r="C60" s="32" t="n">
        <f aca="false">IF(C59=0,0,C57/C59)</f>
        <v>0.462381058201009</v>
      </c>
      <c r="E60" s="2" t="s">
        <v>313</v>
      </c>
    </row>
    <row r="61" customFormat="false" ht="15" hidden="false" customHeight="false" outlineLevel="0" collapsed="false">
      <c r="A61" s="5" t="s">
        <v>314</v>
      </c>
      <c r="C61" s="89" t="n">
        <f aca="false">$F$2-C50</f>
        <v>0.0397077623066927</v>
      </c>
    </row>
    <row r="62" customFormat="false" ht="15" hidden="false" customHeight="false" outlineLevel="0" collapsed="false">
      <c r="A62" s="5" t="s">
        <v>315</v>
      </c>
      <c r="C62" s="21" t="n">
        <f aca="false">IF(MAX(C38:L38)&lt;=0,"None",IFERROR(INDEX(C8:L8,MATCH(0,C38:L38,1)+1),C8))</f>
        <v>9</v>
      </c>
    </row>
    <row r="63" customFormat="false" ht="15" hidden="false" customHeight="false" outlineLevel="0" collapsed="false">
      <c r="A63" s="5" t="s">
        <v>316</v>
      </c>
      <c r="C63" s="90" t="n">
        <f aca="false">IF($C$2=0,0,$I$4/$C$2)</f>
        <v>0.0375</v>
      </c>
      <c r="E63" s="2" t="s">
        <v>317</v>
      </c>
    </row>
    <row r="64" customFormat="false" ht="15" hidden="false" customHeight="false" outlineLevel="0" collapsed="false">
      <c r="A64" s="5" t="s">
        <v>318</v>
      </c>
      <c r="C64" s="45" t="n">
        <f aca="false">C63*C51</f>
        <v>30.9623527000919</v>
      </c>
    </row>
    <row r="65" customFormat="false" ht="15" hidden="false" customHeight="false" outlineLevel="0" collapsed="false">
      <c r="A65" s="5" t="s">
        <v>319</v>
      </c>
      <c r="C65" s="45" t="n">
        <f aca="false">C63*C55</f>
        <v>101.25</v>
      </c>
    </row>
    <row r="66" customFormat="false" ht="15" hidden="false" customHeight="false" outlineLevel="0" collapsed="false">
      <c r="A66" s="5" t="s">
        <v>320</v>
      </c>
      <c r="C66" s="45" t="n">
        <f aca="false">C63*C53</f>
        <v>1823.67705714772</v>
      </c>
    </row>
    <row r="68" customFormat="false" ht="15" hidden="false" customHeight="false" outlineLevel="0" collapsed="false">
      <c r="A68" s="3" t="s">
        <v>321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5" t="s">
        <v>322</v>
      </c>
      <c r="C69" s="45" t="n">
        <f aca="false">ROUND(L24,6)</f>
        <v>0</v>
      </c>
    </row>
    <row r="70" customFormat="false" ht="15" hidden="false" customHeight="false" outlineLevel="0" collapsed="false">
      <c r="A70" s="5" t="s">
        <v>323</v>
      </c>
      <c r="C70" s="45" t="n">
        <f aca="false">ROUND(SUM(C23:L23)-SUM(C35:L35)-SUM(C36:L36),6)</f>
        <v>0</v>
      </c>
    </row>
    <row r="71" customFormat="false" ht="15" hidden="false" customHeight="false" outlineLevel="0" collapsed="false">
      <c r="A71" s="5" t="s">
        <v>324</v>
      </c>
      <c r="C71" s="45" t="n">
        <f aca="false">ROUND(SUM(C23:L23)-(SUM(C15:L15)-SUM(C16:L16)+SUM(C20:L20)),6)</f>
        <v>0</v>
      </c>
    </row>
    <row r="72" customFormat="false" ht="15" hidden="false" customHeight="false" outlineLevel="0" collapsed="false">
      <c r="A72" s="8" t="s">
        <v>325</v>
      </c>
      <c r="B72" s="49"/>
      <c r="C72" s="91" t="str">
        <f aca="false">IF(ABS(C69)+ABS(C70)+ABS(C71)&lt;0.001,"OK","CHECK")</f>
        <v>OK</v>
      </c>
      <c r="D72" s="49"/>
      <c r="E72" s="49"/>
      <c r="F72" s="49"/>
      <c r="G72" s="49"/>
      <c r="H72" s="49"/>
      <c r="I72" s="49"/>
      <c r="J72" s="49"/>
      <c r="K72" s="49"/>
      <c r="L72" s="49"/>
    </row>
    <row r="74" customFormat="false" ht="15" hidden="false" customHeight="false" outlineLevel="0" collapsed="false">
      <c r="A74" s="2" t="s">
        <v>326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2" min="2" style="0" width="9.7"/>
  </cols>
  <sheetData>
    <row r="1" customFormat="false" ht="15" hidden="false" customHeight="false" outlineLevel="0" collapsed="false">
      <c r="A1" s="71" t="s">
        <v>253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customFormat="false" ht="15" hidden="false" customHeight="false" outlineLevel="0" collapsed="false">
      <c r="B2" s="72" t="s">
        <v>254</v>
      </c>
      <c r="C2" s="73" t="n">
        <f aca="false">Inputs!$C$6</f>
        <v>20000</v>
      </c>
      <c r="E2" s="72" t="s">
        <v>255</v>
      </c>
      <c r="F2" s="74" t="n">
        <f aca="false">Inputs!$C$8</f>
        <v>0.2</v>
      </c>
      <c r="H2" s="72" t="s">
        <v>256</v>
      </c>
      <c r="I2" s="75" t="n">
        <v>0</v>
      </c>
    </row>
    <row r="3" customFormat="false" ht="15" hidden="false" customHeight="false" outlineLevel="0" collapsed="false">
      <c r="B3" s="72" t="s">
        <v>257</v>
      </c>
      <c r="C3" s="76" t="n">
        <f aca="false">Inputs!$C$19</f>
        <v>0.0135</v>
      </c>
      <c r="E3" s="72" t="s">
        <v>258</v>
      </c>
      <c r="F3" s="74" t="n">
        <f aca="false">Inputs!$C$9</f>
        <v>0.15</v>
      </c>
      <c r="H3" s="72" t="s">
        <v>259</v>
      </c>
      <c r="I3" s="77" t="n">
        <v>0</v>
      </c>
    </row>
    <row r="4" customFormat="false" ht="15" hidden="false" customHeight="false" outlineLevel="0" collapsed="false">
      <c r="B4" s="72" t="s">
        <v>260</v>
      </c>
      <c r="C4" s="78" t="n">
        <f aca="false">1-F4</f>
        <v>0.85</v>
      </c>
      <c r="E4" s="72" t="s">
        <v>261</v>
      </c>
      <c r="F4" s="74" t="n">
        <f aca="false">Inputs!$C$21</f>
        <v>0.15</v>
      </c>
      <c r="H4" s="72" t="s">
        <v>262</v>
      </c>
      <c r="I4" s="73" t="n">
        <f aca="false">Inputs!$C$26</f>
        <v>750</v>
      </c>
    </row>
    <row r="6" customFormat="false" ht="15" hidden="false" customHeight="false" outlineLevel="0" collapsed="false">
      <c r="A6" s="79" t="str">
        <f aca="false">"Scenario: "&amp;"TPG offer + lower carry — "&amp;TEXT(C3,"0.00%")&amp;" fee on committed capital, "&amp;TEXT(F4,"0%")&amp;" carry, "&amp;IF(I2=0,"no hurdle",TEXT(I2,"0%")&amp;" hurdle"&amp;IF(I3=1," with 100% GP catch-up (soft)"," with no catch-up (hard)"))</f>
        <v>Scenario: TPG offer + lower carry — 1.35% fee on committed capital, 15% carry, no hurdle</v>
      </c>
      <c r="J6" s="2" t="s">
        <v>432</v>
      </c>
    </row>
    <row r="8" customFormat="false" ht="15" hidden="false" customHeight="false" outlineLevel="0" collapsed="false">
      <c r="A8" s="33" t="s">
        <v>91</v>
      </c>
      <c r="B8" s="80" t="n">
        <v>0</v>
      </c>
      <c r="C8" s="81" t="n">
        <v>1</v>
      </c>
      <c r="D8" s="81" t="n">
        <v>2</v>
      </c>
      <c r="E8" s="81" t="n">
        <v>3</v>
      </c>
      <c r="F8" s="81" t="n">
        <v>4</v>
      </c>
      <c r="G8" s="81" t="n">
        <v>5</v>
      </c>
      <c r="H8" s="81" t="n">
        <v>6</v>
      </c>
      <c r="I8" s="81" t="n">
        <v>7</v>
      </c>
      <c r="J8" s="81" t="n">
        <v>8</v>
      </c>
      <c r="K8" s="81" t="n">
        <v>9</v>
      </c>
      <c r="L8" s="81" t="n">
        <v>10</v>
      </c>
    </row>
    <row r="9" customFormat="false" ht="15" hidden="false" customHeight="false" outlineLevel="0" collapsed="false">
      <c r="A9" s="82" t="s">
        <v>264</v>
      </c>
    </row>
    <row r="10" customFormat="false" ht="15" hidden="false" customHeight="false" outlineLevel="0" collapsed="false">
      <c r="A10" s="5" t="s">
        <v>265</v>
      </c>
      <c r="C10" s="83" t="n">
        <f aca="false">Inputs!C$13</f>
        <v>0.2</v>
      </c>
      <c r="D10" s="83" t="n">
        <f aca="false">Inputs!D$13</f>
        <v>0.2</v>
      </c>
      <c r="E10" s="83" t="n">
        <f aca="false">Inputs!E$13</f>
        <v>0.2</v>
      </c>
      <c r="F10" s="83" t="n">
        <f aca="false">Inputs!F$13</f>
        <v>0.2</v>
      </c>
      <c r="G10" s="83" t="n">
        <f aca="false">Inputs!G$13</f>
        <v>0.2</v>
      </c>
      <c r="H10" s="83" t="n">
        <f aca="false">Inputs!H$13</f>
        <v>0</v>
      </c>
      <c r="I10" s="83" t="n">
        <f aca="false">Inputs!I$13</f>
        <v>0</v>
      </c>
      <c r="J10" s="83" t="n">
        <f aca="false">Inputs!J$13</f>
        <v>0</v>
      </c>
      <c r="K10" s="83" t="n">
        <f aca="false">Inputs!K$13</f>
        <v>0</v>
      </c>
      <c r="L10" s="83" t="n">
        <f aca="false">Inputs!L$13</f>
        <v>0</v>
      </c>
    </row>
    <row r="11" customFormat="false" ht="15" hidden="false" customHeight="false" outlineLevel="0" collapsed="false">
      <c r="A11" s="5" t="s">
        <v>266</v>
      </c>
      <c r="C11" s="83" t="n">
        <f aca="false">Inputs!C$14</f>
        <v>0</v>
      </c>
      <c r="D11" s="83" t="n">
        <f aca="false">Inputs!D$14</f>
        <v>0</v>
      </c>
      <c r="E11" s="83" t="n">
        <f aca="false">Inputs!E$14</f>
        <v>0</v>
      </c>
      <c r="F11" s="83" t="n">
        <f aca="false">Inputs!F$14</f>
        <v>0</v>
      </c>
      <c r="G11" s="83" t="n">
        <f aca="false">Inputs!G$14</f>
        <v>0.2</v>
      </c>
      <c r="H11" s="83" t="n">
        <f aca="false">Inputs!H$14</f>
        <v>0.2</v>
      </c>
      <c r="I11" s="83" t="n">
        <f aca="false">Inputs!I$14</f>
        <v>0.2</v>
      </c>
      <c r="J11" s="83" t="n">
        <f aca="false">Inputs!J$14</f>
        <v>0.2</v>
      </c>
      <c r="K11" s="83" t="n">
        <f aca="false">Inputs!K$14</f>
        <v>0.2</v>
      </c>
      <c r="L11" s="83" t="n">
        <f aca="false">Inputs!L$14</f>
        <v>1</v>
      </c>
    </row>
    <row r="13" customFormat="false" ht="15" hidden="false" customHeight="false" outlineLevel="0" collapsed="false">
      <c r="A13" s="3" t="s">
        <v>267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5" t="s">
        <v>268</v>
      </c>
      <c r="C14" s="84" t="n">
        <f aca="false">B24</f>
        <v>0</v>
      </c>
      <c r="D14" s="84" t="n">
        <f aca="false">C24</f>
        <v>4476</v>
      </c>
      <c r="E14" s="84" t="n">
        <f aca="false">D24</f>
        <v>9847.2</v>
      </c>
      <c r="F14" s="84" t="n">
        <f aca="false">E24</f>
        <v>16292.64</v>
      </c>
      <c r="G14" s="84" t="n">
        <f aca="false">F24</f>
        <v>24027.168</v>
      </c>
      <c r="H14" s="84" t="n">
        <f aca="false">G24</f>
        <v>26646.88128</v>
      </c>
      <c r="I14" s="84" t="n">
        <f aca="false">H24</f>
        <v>25321.8060288</v>
      </c>
      <c r="J14" s="84" t="n">
        <f aca="false">I24</f>
        <v>24049.733787648</v>
      </c>
      <c r="K14" s="84" t="n">
        <f aca="false">J24</f>
        <v>22828.5444361421</v>
      </c>
      <c r="L14" s="84" t="n">
        <f aca="false">K24</f>
        <v>21656.2026586964</v>
      </c>
    </row>
    <row r="15" customFormat="false" ht="15" hidden="false" customHeight="false" outlineLevel="0" collapsed="false">
      <c r="A15" s="5" t="s">
        <v>269</v>
      </c>
      <c r="C15" s="84" t="n">
        <f aca="false">$C$2*C10</f>
        <v>4000</v>
      </c>
      <c r="D15" s="84" t="n">
        <f aca="false">$C$2*D10</f>
        <v>4000</v>
      </c>
      <c r="E15" s="84" t="n">
        <f aca="false">$C$2*E10</f>
        <v>4000</v>
      </c>
      <c r="F15" s="84" t="n">
        <f aca="false">$C$2*F10</f>
        <v>4000</v>
      </c>
      <c r="G15" s="84" t="n">
        <f aca="false">$C$2*G10</f>
        <v>4000</v>
      </c>
      <c r="H15" s="84" t="n">
        <f aca="false">$C$2*H10</f>
        <v>0</v>
      </c>
      <c r="I15" s="84" t="n">
        <f aca="false">$C$2*I10</f>
        <v>0</v>
      </c>
      <c r="J15" s="84" t="n">
        <f aca="false">$C$2*J10</f>
        <v>0</v>
      </c>
      <c r="K15" s="84" t="n">
        <f aca="false">$C$2*K10</f>
        <v>0</v>
      </c>
      <c r="L15" s="84" t="n">
        <f aca="false">$C$2*L10</f>
        <v>0</v>
      </c>
    </row>
    <row r="16" customFormat="false" ht="15" hidden="false" customHeight="false" outlineLevel="0" collapsed="false">
      <c r="A16" s="5" t="s">
        <v>270</v>
      </c>
      <c r="C16" s="84" t="n">
        <f aca="false">$C$2*$C$3</f>
        <v>270</v>
      </c>
      <c r="D16" s="84" t="n">
        <f aca="false">$C$2*$C$3</f>
        <v>270</v>
      </c>
      <c r="E16" s="84" t="n">
        <f aca="false">$C$2*$C$3</f>
        <v>270</v>
      </c>
      <c r="F16" s="84" t="n">
        <f aca="false">$C$2*$C$3</f>
        <v>270</v>
      </c>
      <c r="G16" s="84" t="n">
        <f aca="false">$C$2*$C$3</f>
        <v>270</v>
      </c>
      <c r="H16" s="84" t="n">
        <f aca="false">$C$2*$C$3</f>
        <v>270</v>
      </c>
      <c r="I16" s="84" t="n">
        <f aca="false">$C$2*$C$3</f>
        <v>270</v>
      </c>
      <c r="J16" s="84" t="n">
        <f aca="false">$C$2*$C$3</f>
        <v>270</v>
      </c>
      <c r="K16" s="84" t="n">
        <f aca="false">$C$2*$C$3</f>
        <v>270</v>
      </c>
      <c r="L16" s="84" t="n">
        <f aca="false">$C$2*$C$3</f>
        <v>270</v>
      </c>
    </row>
    <row r="17" customFormat="false" ht="15" hidden="false" customHeight="false" outlineLevel="0" collapsed="false">
      <c r="A17" s="5" t="s">
        <v>271</v>
      </c>
      <c r="C17" s="84" t="n">
        <f aca="false">C14+C15-C16</f>
        <v>3730</v>
      </c>
      <c r="D17" s="84" t="n">
        <f aca="false">D14+D15-D16</f>
        <v>8206</v>
      </c>
      <c r="E17" s="84" t="n">
        <f aca="false">E14+E15-E16</f>
        <v>13577.2</v>
      </c>
      <c r="F17" s="84" t="n">
        <f aca="false">F14+F15-F16</f>
        <v>20022.64</v>
      </c>
      <c r="G17" s="84" t="n">
        <f aca="false">G14+G15-G16</f>
        <v>27757.168</v>
      </c>
      <c r="H17" s="84" t="n">
        <f aca="false">H14+H15-H16</f>
        <v>26376.88128</v>
      </c>
      <c r="I17" s="84" t="n">
        <f aca="false">I14+I15-I16</f>
        <v>25051.8060288</v>
      </c>
      <c r="J17" s="84" t="n">
        <f aca="false">J14+J15-J16</f>
        <v>23779.733787648</v>
      </c>
      <c r="K17" s="84" t="n">
        <f aca="false">K14+K15-K16</f>
        <v>22558.5444361421</v>
      </c>
      <c r="L17" s="84" t="n">
        <f aca="false">L14+L15-L16</f>
        <v>21386.2026586964</v>
      </c>
    </row>
    <row r="19" customFormat="false" ht="15" hidden="false" customHeight="false" outlineLevel="0" collapsed="false">
      <c r="A19" s="3" t="s">
        <v>272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5" t="s">
        <v>273</v>
      </c>
      <c r="C20" s="84" t="n">
        <f aca="false">C17*$F$2</f>
        <v>746</v>
      </c>
      <c r="D20" s="84" t="n">
        <f aca="false">D17*$F$2</f>
        <v>1641.2</v>
      </c>
      <c r="E20" s="84" t="n">
        <f aca="false">E17*$F$2</f>
        <v>2715.44</v>
      </c>
      <c r="F20" s="84" t="n">
        <f aca="false">F17*$F$2</f>
        <v>4004.528</v>
      </c>
      <c r="G20" s="84" t="n">
        <f aca="false">G17*$F$2</f>
        <v>5551.4336</v>
      </c>
      <c r="H20" s="84" t="n">
        <f aca="false">H17*$F$2</f>
        <v>5275.376256</v>
      </c>
      <c r="I20" s="84" t="n">
        <f aca="false">I17*$F$2</f>
        <v>5010.36120576</v>
      </c>
      <c r="J20" s="84" t="n">
        <f aca="false">J17*$F$2</f>
        <v>4755.9467575296</v>
      </c>
      <c r="K20" s="84" t="n">
        <f aca="false">K17*$F$2</f>
        <v>4511.70888722842</v>
      </c>
      <c r="L20" s="84" t="n">
        <f aca="false">L17*$F$2</f>
        <v>4277.24053173928</v>
      </c>
    </row>
    <row r="21" customFormat="false" ht="15" hidden="false" customHeight="false" outlineLevel="0" collapsed="false">
      <c r="A21" s="5" t="s">
        <v>274</v>
      </c>
      <c r="C21" s="84" t="n">
        <f aca="false">C17+C20</f>
        <v>4476</v>
      </c>
      <c r="D21" s="84" t="n">
        <f aca="false">D17+D20</f>
        <v>9847.2</v>
      </c>
      <c r="E21" s="84" t="n">
        <f aca="false">E17+E20</f>
        <v>16292.64</v>
      </c>
      <c r="F21" s="84" t="n">
        <f aca="false">F17+F20</f>
        <v>24027.168</v>
      </c>
      <c r="G21" s="84" t="n">
        <f aca="false">G17+G20</f>
        <v>33308.6016</v>
      </c>
      <c r="H21" s="84" t="n">
        <f aca="false">H17+H20</f>
        <v>31652.257536</v>
      </c>
      <c r="I21" s="84" t="n">
        <f aca="false">I17+I20</f>
        <v>30062.16723456</v>
      </c>
      <c r="J21" s="84" t="n">
        <f aca="false">J17+J20</f>
        <v>28535.6805451776</v>
      </c>
      <c r="K21" s="84" t="n">
        <f aca="false">K17+K20</f>
        <v>27070.2533233705</v>
      </c>
      <c r="L21" s="84" t="n">
        <f aca="false">L17+L20</f>
        <v>25663.4431904357</v>
      </c>
    </row>
    <row r="23" customFormat="false" ht="15" hidden="false" customHeight="false" outlineLevel="0" collapsed="false">
      <c r="A23" s="5" t="s">
        <v>275</v>
      </c>
      <c r="C23" s="84" t="n">
        <f aca="false">C21*C11</f>
        <v>0</v>
      </c>
      <c r="D23" s="84" t="n">
        <f aca="false">D21*D11</f>
        <v>0</v>
      </c>
      <c r="E23" s="84" t="n">
        <f aca="false">E21*E11</f>
        <v>0</v>
      </c>
      <c r="F23" s="84" t="n">
        <f aca="false">F21*F11</f>
        <v>0</v>
      </c>
      <c r="G23" s="84" t="n">
        <f aca="false">G21*G11</f>
        <v>6661.72032</v>
      </c>
      <c r="H23" s="84" t="n">
        <f aca="false">H21*H11</f>
        <v>6330.4515072</v>
      </c>
      <c r="I23" s="84" t="n">
        <f aca="false">I21*I11</f>
        <v>6012.433446912</v>
      </c>
      <c r="J23" s="84" t="n">
        <f aca="false">J21*J11</f>
        <v>5707.13610903552</v>
      </c>
      <c r="K23" s="84" t="n">
        <f aca="false">K21*K11</f>
        <v>5414.0506646741</v>
      </c>
      <c r="L23" s="84" t="n">
        <f aca="false">L21*L11</f>
        <v>25663.4431904357</v>
      </c>
    </row>
    <row r="24" customFormat="false" ht="15" hidden="false" customHeight="false" outlineLevel="0" collapsed="false">
      <c r="A24" s="48" t="s">
        <v>276</v>
      </c>
      <c r="B24" s="49"/>
      <c r="C24" s="85" t="n">
        <f aca="false">C21-C23</f>
        <v>4476</v>
      </c>
      <c r="D24" s="85" t="n">
        <f aca="false">D21-D23</f>
        <v>9847.2</v>
      </c>
      <c r="E24" s="85" t="n">
        <f aca="false">E21-E23</f>
        <v>16292.64</v>
      </c>
      <c r="F24" s="85" t="n">
        <f aca="false">F21-F23</f>
        <v>24027.168</v>
      </c>
      <c r="G24" s="85" t="n">
        <f aca="false">G21-G23</f>
        <v>26646.88128</v>
      </c>
      <c r="H24" s="85" t="n">
        <f aca="false">H21-H23</f>
        <v>25321.8060288</v>
      </c>
      <c r="I24" s="85" t="n">
        <f aca="false">I21-I23</f>
        <v>24049.733787648</v>
      </c>
      <c r="J24" s="85" t="n">
        <f aca="false">J21-J23</f>
        <v>22828.5444361421</v>
      </c>
      <c r="K24" s="85" t="n">
        <f aca="false">K21-K23</f>
        <v>21656.2026586964</v>
      </c>
      <c r="L24" s="85" t="n">
        <f aca="false">L21-L23</f>
        <v>0</v>
      </c>
    </row>
    <row r="26" customFormat="false" ht="15" hidden="false" customHeight="false" outlineLevel="0" collapsed="false">
      <c r="A26" s="3" t="s">
        <v>277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5" t="s">
        <v>278</v>
      </c>
      <c r="C27" s="84" t="n">
        <f aca="false">B29+C15</f>
        <v>4000</v>
      </c>
      <c r="D27" s="84" t="n">
        <f aca="false">C29+D15</f>
        <v>8000</v>
      </c>
      <c r="E27" s="84" t="n">
        <f aca="false">D29+E15</f>
        <v>12000</v>
      </c>
      <c r="F27" s="84" t="n">
        <f aca="false">E29+F15</f>
        <v>16000</v>
      </c>
      <c r="G27" s="84" t="n">
        <f aca="false">F29+G15</f>
        <v>20000</v>
      </c>
      <c r="H27" s="84" t="n">
        <f aca="false">G29+H15</f>
        <v>13338.27968</v>
      </c>
      <c r="I27" s="84" t="n">
        <f aca="false">H29+I15</f>
        <v>7007.8281728</v>
      </c>
      <c r="J27" s="84" t="n">
        <f aca="false">I29+J15</f>
        <v>995.394725888001</v>
      </c>
      <c r="K27" s="84" t="n">
        <f aca="false">J29+K15</f>
        <v>0</v>
      </c>
      <c r="L27" s="84" t="n">
        <f aca="false">K29+L15</f>
        <v>0</v>
      </c>
    </row>
    <row r="28" customFormat="false" ht="15" hidden="false" customHeight="false" outlineLevel="0" collapsed="false">
      <c r="A28" s="5" t="s">
        <v>279</v>
      </c>
      <c r="C28" s="84" t="n">
        <f aca="false">MIN(C23,C27)</f>
        <v>0</v>
      </c>
      <c r="D28" s="84" t="n">
        <f aca="false">MIN(D23,D27)</f>
        <v>0</v>
      </c>
      <c r="E28" s="84" t="n">
        <f aca="false">MIN(E23,E27)</f>
        <v>0</v>
      </c>
      <c r="F28" s="84" t="n">
        <f aca="false">MIN(F23,F27)</f>
        <v>0</v>
      </c>
      <c r="G28" s="84" t="n">
        <f aca="false">MIN(G23,G27)</f>
        <v>6661.72032</v>
      </c>
      <c r="H28" s="84" t="n">
        <f aca="false">MIN(H23,H27)</f>
        <v>6330.4515072</v>
      </c>
      <c r="I28" s="84" t="n">
        <f aca="false">MIN(I23,I27)</f>
        <v>6012.433446912</v>
      </c>
      <c r="J28" s="84" t="n">
        <f aca="false">MIN(J23,J27)</f>
        <v>995.394725888001</v>
      </c>
      <c r="K28" s="84" t="n">
        <f aca="false">MIN(K23,K27)</f>
        <v>0</v>
      </c>
      <c r="L28" s="84" t="n">
        <f aca="false">MIN(L23,L27)</f>
        <v>0</v>
      </c>
    </row>
    <row r="29" customFormat="false" ht="15" hidden="false" customHeight="false" outlineLevel="0" collapsed="false">
      <c r="A29" s="5" t="s">
        <v>280</v>
      </c>
      <c r="C29" s="84" t="n">
        <f aca="false">C27-C28</f>
        <v>4000</v>
      </c>
      <c r="D29" s="84" t="n">
        <f aca="false">D27-D28</f>
        <v>8000</v>
      </c>
      <c r="E29" s="84" t="n">
        <f aca="false">E27-E28</f>
        <v>12000</v>
      </c>
      <c r="F29" s="84" t="n">
        <f aca="false">F27-F28</f>
        <v>16000</v>
      </c>
      <c r="G29" s="84" t="n">
        <f aca="false">G27-G28</f>
        <v>13338.27968</v>
      </c>
      <c r="H29" s="84" t="n">
        <f aca="false">H27-H28</f>
        <v>7007.8281728</v>
      </c>
      <c r="I29" s="84" t="n">
        <f aca="false">I27-I28</f>
        <v>995.394725888001</v>
      </c>
      <c r="J29" s="84" t="n">
        <f aca="false">J27-J28</f>
        <v>0</v>
      </c>
      <c r="K29" s="84" t="n">
        <f aca="false">K27-K28</f>
        <v>0</v>
      </c>
      <c r="L29" s="84" t="n">
        <f aca="false">L27-L28</f>
        <v>0</v>
      </c>
    </row>
    <row r="30" customFormat="false" ht="15" hidden="false" customHeight="false" outlineLevel="0" collapsed="false">
      <c r="A30" s="5" t="s">
        <v>281</v>
      </c>
      <c r="C30" s="84" t="n">
        <f aca="false">B32+$I$2*(C27+B32)</f>
        <v>0</v>
      </c>
      <c r="D30" s="84" t="n">
        <f aca="false">C32+$I$2*(D27+C32)</f>
        <v>0</v>
      </c>
      <c r="E30" s="84" t="n">
        <f aca="false">D32+$I$2*(E27+D32)</f>
        <v>0</v>
      </c>
      <c r="F30" s="84" t="n">
        <f aca="false">E32+$I$2*(F27+E32)</f>
        <v>0</v>
      </c>
      <c r="G30" s="84" t="n">
        <f aca="false">F32+$I$2*(G27+F32)</f>
        <v>0</v>
      </c>
      <c r="H30" s="84" t="n">
        <f aca="false">G32+$I$2*(H27+G32)</f>
        <v>0</v>
      </c>
      <c r="I30" s="84" t="n">
        <f aca="false">H32+$I$2*(I27+H32)</f>
        <v>0</v>
      </c>
      <c r="J30" s="84" t="n">
        <f aca="false">I32+$I$2*(J27+I32)</f>
        <v>0</v>
      </c>
      <c r="K30" s="84" t="n">
        <f aca="false">J32+$I$2*(K27+J32)</f>
        <v>0</v>
      </c>
      <c r="L30" s="84" t="n">
        <f aca="false">K32+$I$2*(L27+K32)</f>
        <v>0</v>
      </c>
    </row>
    <row r="31" customFormat="false" ht="15" hidden="false" customHeight="false" outlineLevel="0" collapsed="false">
      <c r="A31" s="5" t="s">
        <v>282</v>
      </c>
      <c r="C31" s="84" t="n">
        <f aca="false">MIN(C23-C28,C30)</f>
        <v>0</v>
      </c>
      <c r="D31" s="84" t="n">
        <f aca="false">MIN(D23-D28,D30)</f>
        <v>0</v>
      </c>
      <c r="E31" s="84" t="n">
        <f aca="false">MIN(E23-E28,E30)</f>
        <v>0</v>
      </c>
      <c r="F31" s="84" t="n">
        <f aca="false">MIN(F23-F28,F30)</f>
        <v>0</v>
      </c>
      <c r="G31" s="84" t="n">
        <f aca="false">MIN(G23-G28,G30)</f>
        <v>0</v>
      </c>
      <c r="H31" s="84" t="n">
        <f aca="false">MIN(H23-H28,H30)</f>
        <v>0</v>
      </c>
      <c r="I31" s="84" t="n">
        <f aca="false">MIN(I23-I28,I30)</f>
        <v>0</v>
      </c>
      <c r="J31" s="84" t="n">
        <f aca="false">MIN(J23-J28,J30)</f>
        <v>0</v>
      </c>
      <c r="K31" s="84" t="n">
        <f aca="false">MIN(K23-K28,K30)</f>
        <v>0</v>
      </c>
      <c r="L31" s="84" t="n">
        <f aca="false">MIN(L23-L28,L30)</f>
        <v>0</v>
      </c>
    </row>
    <row r="32" customFormat="false" ht="15" hidden="false" customHeight="false" outlineLevel="0" collapsed="false">
      <c r="A32" s="5" t="s">
        <v>283</v>
      </c>
      <c r="C32" s="84" t="n">
        <f aca="false">C30-C31</f>
        <v>0</v>
      </c>
      <c r="D32" s="84" t="n">
        <f aca="false">D30-D31</f>
        <v>0</v>
      </c>
      <c r="E32" s="84" t="n">
        <f aca="false">E30-E31</f>
        <v>0</v>
      </c>
      <c r="F32" s="84" t="n">
        <f aca="false">F30-F31</f>
        <v>0</v>
      </c>
      <c r="G32" s="84" t="n">
        <f aca="false">G30-G31</f>
        <v>0</v>
      </c>
      <c r="H32" s="84" t="n">
        <f aca="false">H30-H31</f>
        <v>0</v>
      </c>
      <c r="I32" s="84" t="n">
        <f aca="false">I30-I31</f>
        <v>0</v>
      </c>
      <c r="J32" s="84" t="n">
        <f aca="false">J30-J31</f>
        <v>0</v>
      </c>
      <c r="K32" s="84" t="n">
        <f aca="false">K30-K31</f>
        <v>0</v>
      </c>
      <c r="L32" s="84" t="n">
        <f aca="false">L30-L31</f>
        <v>0</v>
      </c>
    </row>
    <row r="33" customFormat="false" ht="15" hidden="false" customHeight="false" outlineLevel="0" collapsed="false">
      <c r="A33" s="5" t="s">
        <v>284</v>
      </c>
      <c r="C33" s="84" t="n">
        <f aca="false">IF($I$3=1,MIN(C23-C28-C31,MAX(0,$F$4/(1-$F$4)*(B37+C31)-B38)),0)</f>
        <v>0</v>
      </c>
      <c r="D33" s="84" t="n">
        <f aca="false">IF($I$3=1,MIN(D23-D28-D31,MAX(0,$F$4/(1-$F$4)*(C37+D31)-C38)),0)</f>
        <v>0</v>
      </c>
      <c r="E33" s="84" t="n">
        <f aca="false">IF($I$3=1,MIN(E23-E28-E31,MAX(0,$F$4/(1-$F$4)*(D37+E31)-D38)),0)</f>
        <v>0</v>
      </c>
      <c r="F33" s="84" t="n">
        <f aca="false">IF($I$3=1,MIN(F23-F28-F31,MAX(0,$F$4/(1-$F$4)*(E37+F31)-E38)),0)</f>
        <v>0</v>
      </c>
      <c r="G33" s="84" t="n">
        <f aca="false">IF($I$3=1,MIN(G23-G28-G31,MAX(0,$F$4/(1-$F$4)*(F37+G31)-F38)),0)</f>
        <v>0</v>
      </c>
      <c r="H33" s="84" t="n">
        <f aca="false">IF($I$3=1,MIN(H23-H28-H31,MAX(0,$F$4/(1-$F$4)*(G37+H31)-G38)),0)</f>
        <v>0</v>
      </c>
      <c r="I33" s="84" t="n">
        <f aca="false">IF($I$3=1,MIN(I23-I28-I31,MAX(0,$F$4/(1-$F$4)*(H37+I31)-H38)),0)</f>
        <v>0</v>
      </c>
      <c r="J33" s="84" t="n">
        <f aca="false">IF($I$3=1,MIN(J23-J28-J31,MAX(0,$F$4/(1-$F$4)*(I37+J31)-I38)),0)</f>
        <v>0</v>
      </c>
      <c r="K33" s="84" t="n">
        <f aca="false">IF($I$3=1,MIN(K23-K28-K31,MAX(0,$F$4/(1-$F$4)*(J37+K31)-J38)),0)</f>
        <v>0</v>
      </c>
      <c r="L33" s="84" t="n">
        <f aca="false">IF($I$3=1,MIN(L23-L28-L31,MAX(0,$F$4/(1-$F$4)*(K37+L31)-K38)),0)</f>
        <v>0</v>
      </c>
    </row>
    <row r="34" customFormat="false" ht="15" hidden="false" customHeight="false" outlineLevel="0" collapsed="false">
      <c r="A34" s="5" t="s">
        <v>285</v>
      </c>
      <c r="C34" s="84" t="n">
        <f aca="false">C23-C28-C31-C33</f>
        <v>0</v>
      </c>
      <c r="D34" s="84" t="n">
        <f aca="false">D23-D28-D31-D33</f>
        <v>0</v>
      </c>
      <c r="E34" s="84" t="n">
        <f aca="false">E23-E28-E31-E33</f>
        <v>0</v>
      </c>
      <c r="F34" s="84" t="n">
        <f aca="false">F23-F28-F31-F33</f>
        <v>0</v>
      </c>
      <c r="G34" s="84" t="n">
        <f aca="false">G23-G28-G31-G33</f>
        <v>0</v>
      </c>
      <c r="H34" s="84" t="n">
        <f aca="false">H23-H28-H31-H33</f>
        <v>0</v>
      </c>
      <c r="I34" s="84" t="n">
        <f aca="false">I23-I28-I31-I33</f>
        <v>0</v>
      </c>
      <c r="J34" s="84" t="n">
        <f aca="false">J23-J28-J31-J33</f>
        <v>4711.74138314752</v>
      </c>
      <c r="K34" s="84" t="n">
        <f aca="false">K23-K28-K31-K33</f>
        <v>5414.0506646741</v>
      </c>
      <c r="L34" s="84" t="n">
        <f aca="false">L23-L28-L31-L33</f>
        <v>25663.4431904357</v>
      </c>
    </row>
    <row r="35" customFormat="false" ht="15" hidden="false" customHeight="false" outlineLevel="0" collapsed="false">
      <c r="A35" s="38" t="s">
        <v>286</v>
      </c>
      <c r="C35" s="86" t="n">
        <f aca="false">C28+C31+$C$4*C34</f>
        <v>0</v>
      </c>
      <c r="D35" s="86" t="n">
        <f aca="false">D28+D31+$C$4*D34</f>
        <v>0</v>
      </c>
      <c r="E35" s="86" t="n">
        <f aca="false">E28+E31+$C$4*E34</f>
        <v>0</v>
      </c>
      <c r="F35" s="86" t="n">
        <f aca="false">F28+F31+$C$4*F34</f>
        <v>0</v>
      </c>
      <c r="G35" s="86" t="n">
        <f aca="false">G28+G31+$C$4*G34</f>
        <v>6661.72032</v>
      </c>
      <c r="H35" s="86" t="n">
        <f aca="false">H28+H31+$C$4*H34</f>
        <v>6330.4515072</v>
      </c>
      <c r="I35" s="86" t="n">
        <f aca="false">I28+I31+$C$4*I34</f>
        <v>6012.433446912</v>
      </c>
      <c r="J35" s="86" t="n">
        <f aca="false">J28+J31+$C$4*J34</f>
        <v>5000.37490156339</v>
      </c>
      <c r="K35" s="86" t="n">
        <f aca="false">K28+K31+$C$4*K34</f>
        <v>4601.94306497298</v>
      </c>
      <c r="L35" s="86" t="n">
        <f aca="false">L28+L31+$C$4*L34</f>
        <v>21813.9267118703</v>
      </c>
    </row>
    <row r="36" customFormat="false" ht="15" hidden="false" customHeight="false" outlineLevel="0" collapsed="false">
      <c r="A36" s="38" t="s">
        <v>287</v>
      </c>
      <c r="C36" s="86" t="n">
        <f aca="false">C33+$F$4*C34</f>
        <v>0</v>
      </c>
      <c r="D36" s="86" t="n">
        <f aca="false">D33+$F$4*D34</f>
        <v>0</v>
      </c>
      <c r="E36" s="86" t="n">
        <f aca="false">E33+$F$4*E34</f>
        <v>0</v>
      </c>
      <c r="F36" s="86" t="n">
        <f aca="false">F33+$F$4*F34</f>
        <v>0</v>
      </c>
      <c r="G36" s="86" t="n">
        <f aca="false">G33+$F$4*G34</f>
        <v>0</v>
      </c>
      <c r="H36" s="86" t="n">
        <f aca="false">H33+$F$4*H34</f>
        <v>0</v>
      </c>
      <c r="I36" s="86" t="n">
        <f aca="false">I33+$F$4*I34</f>
        <v>0</v>
      </c>
      <c r="J36" s="86" t="n">
        <f aca="false">J33+$F$4*J34</f>
        <v>706.761207472128</v>
      </c>
      <c r="K36" s="86" t="n">
        <f aca="false">K33+$F$4*K34</f>
        <v>812.107599701115</v>
      </c>
      <c r="L36" s="86" t="n">
        <f aca="false">L33+$F$4*L34</f>
        <v>3849.51647856535</v>
      </c>
    </row>
    <row r="37" customFormat="false" ht="15" hidden="false" customHeight="false" outlineLevel="0" collapsed="false">
      <c r="A37" s="5" t="s">
        <v>288</v>
      </c>
      <c r="C37" s="84" t="n">
        <f aca="false">B37+C31+$C$4*C34</f>
        <v>0</v>
      </c>
      <c r="D37" s="84" t="n">
        <f aca="false">C37+D31+$C$4*D34</f>
        <v>0</v>
      </c>
      <c r="E37" s="84" t="n">
        <f aca="false">D37+E31+$C$4*E34</f>
        <v>0</v>
      </c>
      <c r="F37" s="84" t="n">
        <f aca="false">E37+F31+$C$4*F34</f>
        <v>0</v>
      </c>
      <c r="G37" s="84" t="n">
        <f aca="false">F37+G31+$C$4*G34</f>
        <v>0</v>
      </c>
      <c r="H37" s="84" t="n">
        <f aca="false">G37+H31+$C$4*H34</f>
        <v>0</v>
      </c>
      <c r="I37" s="84" t="n">
        <f aca="false">H37+I31+$C$4*I34</f>
        <v>0</v>
      </c>
      <c r="J37" s="84" t="n">
        <f aca="false">I37+J31+$C$4*J34</f>
        <v>4004.98017567539</v>
      </c>
      <c r="K37" s="84" t="n">
        <f aca="false">J37+K31+$C$4*K34</f>
        <v>8606.92324064837</v>
      </c>
      <c r="L37" s="84" t="n">
        <f aca="false">K37+L31+$C$4*L34</f>
        <v>30420.8499525187</v>
      </c>
    </row>
    <row r="38" customFormat="false" ht="15" hidden="false" customHeight="false" outlineLevel="0" collapsed="false">
      <c r="A38" s="48" t="s">
        <v>289</v>
      </c>
      <c r="B38" s="49"/>
      <c r="C38" s="85" t="n">
        <f aca="false">B38+C36</f>
        <v>0</v>
      </c>
      <c r="D38" s="85" t="n">
        <f aca="false">C38+D36</f>
        <v>0</v>
      </c>
      <c r="E38" s="85" t="n">
        <f aca="false">D38+E36</f>
        <v>0</v>
      </c>
      <c r="F38" s="85" t="n">
        <f aca="false">E38+F36</f>
        <v>0</v>
      </c>
      <c r="G38" s="85" t="n">
        <f aca="false">F38+G36</f>
        <v>0</v>
      </c>
      <c r="H38" s="85" t="n">
        <f aca="false">G38+H36</f>
        <v>0</v>
      </c>
      <c r="I38" s="85" t="n">
        <f aca="false">H38+I36</f>
        <v>0</v>
      </c>
      <c r="J38" s="85" t="n">
        <f aca="false">I38+J36</f>
        <v>706.761207472128</v>
      </c>
      <c r="K38" s="85" t="n">
        <f aca="false">J38+K36</f>
        <v>1518.86880717324</v>
      </c>
      <c r="L38" s="85" t="n">
        <f aca="false">K38+L36</f>
        <v>5368.38528573859</v>
      </c>
    </row>
    <row r="40" customFormat="false" ht="15" hidden="false" customHeight="false" outlineLevel="0" collapsed="false">
      <c r="A40" s="3" t="s">
        <v>290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false" outlineLevel="0" collapsed="false">
      <c r="A41" s="5" t="s">
        <v>291</v>
      </c>
      <c r="B41" s="84" t="n">
        <f aca="false">IF(B$8&gt;=COLUMNS($C$15:$L$15),0,-INDEX($C$15:$L$15,B$8+1))</f>
        <v>-4000</v>
      </c>
      <c r="C41" s="84" t="n">
        <f aca="false">IF(C$8&gt;=COLUMNS($C$15:$L$15),0,-INDEX($C$15:$L$15,C$8+1))</f>
        <v>-4000</v>
      </c>
      <c r="D41" s="84" t="n">
        <f aca="false">IF(D$8&gt;=COLUMNS($C$15:$L$15),0,-INDEX($C$15:$L$15,D$8+1))</f>
        <v>-4000</v>
      </c>
      <c r="E41" s="84" t="n">
        <f aca="false">IF(E$8&gt;=COLUMNS($C$15:$L$15),0,-INDEX($C$15:$L$15,E$8+1))</f>
        <v>-4000</v>
      </c>
      <c r="F41" s="84" t="n">
        <f aca="false">IF(F$8&gt;=COLUMNS($C$15:$L$15),0,-INDEX($C$15:$L$15,F$8+1))</f>
        <v>-4000</v>
      </c>
      <c r="G41" s="84" t="n">
        <f aca="false">IF(G$8&gt;=COLUMNS($C$15:$L$15),0,-INDEX($C$15:$L$15,G$8+1))</f>
        <v>-0</v>
      </c>
      <c r="H41" s="84" t="n">
        <f aca="false">IF(H$8&gt;=COLUMNS($C$15:$L$15),0,-INDEX($C$15:$L$15,H$8+1))</f>
        <v>-0</v>
      </c>
      <c r="I41" s="84" t="n">
        <f aca="false">IF(I$8&gt;=COLUMNS($C$15:$L$15),0,-INDEX($C$15:$L$15,I$8+1))</f>
        <v>-0</v>
      </c>
      <c r="J41" s="84" t="n">
        <f aca="false">IF(J$8&gt;=COLUMNS($C$15:$L$15),0,-INDEX($C$15:$L$15,J$8+1))</f>
        <v>-0</v>
      </c>
      <c r="K41" s="84" t="n">
        <f aca="false">IF(K$8&gt;=COLUMNS($C$15:$L$15),0,-INDEX($C$15:$L$15,K$8+1))</f>
        <v>-0</v>
      </c>
      <c r="L41" s="84" t="n">
        <f aca="false">IF(L$8&gt;=COLUMNS($C$15:$L$15),0,-INDEX($C$15:$L$15,L$8+1))</f>
        <v>0</v>
      </c>
    </row>
    <row r="42" customFormat="false" ht="15" hidden="false" customHeight="false" outlineLevel="0" collapsed="false">
      <c r="A42" s="5" t="s">
        <v>292</v>
      </c>
      <c r="B42" s="84" t="n">
        <f aca="false">IF(B$8=0,0,INDEX($C$35:$L$35,B$8))</f>
        <v>0</v>
      </c>
      <c r="C42" s="84" t="n">
        <f aca="false">IF(C$8=0,0,INDEX($C$35:$L$35,C$8))</f>
        <v>0</v>
      </c>
      <c r="D42" s="84" t="n">
        <f aca="false">IF(D$8=0,0,INDEX($C$35:$L$35,D$8))</f>
        <v>0</v>
      </c>
      <c r="E42" s="84" t="n">
        <f aca="false">IF(E$8=0,0,INDEX($C$35:$L$35,E$8))</f>
        <v>0</v>
      </c>
      <c r="F42" s="84" t="n">
        <f aca="false">IF(F$8=0,0,INDEX($C$35:$L$35,F$8))</f>
        <v>0</v>
      </c>
      <c r="G42" s="84" t="n">
        <f aca="false">IF(G$8=0,0,INDEX($C$35:$L$35,G$8))</f>
        <v>6661.72032</v>
      </c>
      <c r="H42" s="84" t="n">
        <f aca="false">IF(H$8=0,0,INDEX($C$35:$L$35,H$8))</f>
        <v>6330.4515072</v>
      </c>
      <c r="I42" s="84" t="n">
        <f aca="false">IF(I$8=0,0,INDEX($C$35:$L$35,I$8))</f>
        <v>6012.433446912</v>
      </c>
      <c r="J42" s="84" t="n">
        <f aca="false">IF(J$8=0,0,INDEX($C$35:$L$35,J$8))</f>
        <v>5000.37490156339</v>
      </c>
      <c r="K42" s="84" t="n">
        <f aca="false">IF(K$8=0,0,INDEX($C$35:$L$35,K$8))</f>
        <v>4601.94306497298</v>
      </c>
      <c r="L42" s="84" t="n">
        <f aca="false">IF(L$8=0,0,INDEX($C$35:$L$35,L$8))</f>
        <v>21813.9267118703</v>
      </c>
    </row>
    <row r="43" customFormat="false" ht="15" hidden="false" customHeight="false" outlineLevel="0" collapsed="false">
      <c r="A43" s="38" t="s">
        <v>293</v>
      </c>
      <c r="B43" s="86" t="n">
        <f aca="false">B41+B42</f>
        <v>-4000</v>
      </c>
      <c r="C43" s="86" t="n">
        <f aca="false">C41+C42</f>
        <v>-4000</v>
      </c>
      <c r="D43" s="86" t="n">
        <f aca="false">D41+D42</f>
        <v>-4000</v>
      </c>
      <c r="E43" s="86" t="n">
        <f aca="false">E41+E42</f>
        <v>-4000</v>
      </c>
      <c r="F43" s="86" t="n">
        <f aca="false">F41+F42</f>
        <v>-4000</v>
      </c>
      <c r="G43" s="86" t="n">
        <f aca="false">G41+G42</f>
        <v>6661.72032</v>
      </c>
      <c r="H43" s="86" t="n">
        <f aca="false">H41+H42</f>
        <v>6330.4515072</v>
      </c>
      <c r="I43" s="86" t="n">
        <f aca="false">I41+I42</f>
        <v>6012.433446912</v>
      </c>
      <c r="J43" s="86" t="n">
        <f aca="false">J41+J42</f>
        <v>5000.37490156339</v>
      </c>
      <c r="K43" s="86" t="n">
        <f aca="false">K41+K42</f>
        <v>4601.94306497298</v>
      </c>
      <c r="L43" s="86" t="n">
        <f aca="false">L41+L42</f>
        <v>21813.9267118703</v>
      </c>
    </row>
    <row r="44" customFormat="false" ht="15" hidden="false" customHeight="false" outlineLevel="0" collapsed="false">
      <c r="A44" s="5" t="s">
        <v>294</v>
      </c>
      <c r="B44" s="84" t="n">
        <f aca="false">IF(B$8&gt;=COLUMNS($C$16:$L$16),0,INDEX($C$16:$L$16,B$8+1))</f>
        <v>270</v>
      </c>
      <c r="C44" s="84" t="n">
        <f aca="false">IF(C$8&gt;=COLUMNS($C$16:$L$16),0,INDEX($C$16:$L$16,C$8+1))</f>
        <v>270</v>
      </c>
      <c r="D44" s="84" t="n">
        <f aca="false">IF(D$8&gt;=COLUMNS($C$16:$L$16),0,INDEX($C$16:$L$16,D$8+1))</f>
        <v>270</v>
      </c>
      <c r="E44" s="84" t="n">
        <f aca="false">IF(E$8&gt;=COLUMNS($C$16:$L$16),0,INDEX($C$16:$L$16,E$8+1))</f>
        <v>270</v>
      </c>
      <c r="F44" s="84" t="n">
        <f aca="false">IF(F$8&gt;=COLUMNS($C$16:$L$16),0,INDEX($C$16:$L$16,F$8+1))</f>
        <v>270</v>
      </c>
      <c r="G44" s="84" t="n">
        <f aca="false">IF(G$8&gt;=COLUMNS($C$16:$L$16),0,INDEX($C$16:$L$16,G$8+1))</f>
        <v>270</v>
      </c>
      <c r="H44" s="84" t="n">
        <f aca="false">IF(H$8&gt;=COLUMNS($C$16:$L$16),0,INDEX($C$16:$L$16,H$8+1))</f>
        <v>270</v>
      </c>
      <c r="I44" s="84" t="n">
        <f aca="false">IF(I$8&gt;=COLUMNS($C$16:$L$16),0,INDEX($C$16:$L$16,I$8+1))</f>
        <v>270</v>
      </c>
      <c r="J44" s="84" t="n">
        <f aca="false">IF(J$8&gt;=COLUMNS($C$16:$L$16),0,INDEX($C$16:$L$16,J$8+1))</f>
        <v>270</v>
      </c>
      <c r="K44" s="84" t="n">
        <f aca="false">IF(K$8&gt;=COLUMNS($C$16:$L$16),0,INDEX($C$16:$L$16,K$8+1))</f>
        <v>270</v>
      </c>
      <c r="L44" s="84" t="n">
        <f aca="false">IF(L$8&gt;=COLUMNS($C$16:$L$16),0,INDEX($C$16:$L$16,L$8+1))</f>
        <v>0</v>
      </c>
    </row>
    <row r="45" customFormat="false" ht="15" hidden="false" customHeight="false" outlineLevel="0" collapsed="false">
      <c r="A45" s="5" t="s">
        <v>295</v>
      </c>
      <c r="B45" s="84" t="n">
        <f aca="false">IF(B$8=0,0,INDEX($C$36:$L$36,B$8))</f>
        <v>0</v>
      </c>
      <c r="C45" s="84" t="n">
        <f aca="false">IF(C$8=0,0,INDEX($C$36:$L$36,C$8))</f>
        <v>0</v>
      </c>
      <c r="D45" s="84" t="n">
        <f aca="false">IF(D$8=0,0,INDEX($C$36:$L$36,D$8))</f>
        <v>0</v>
      </c>
      <c r="E45" s="84" t="n">
        <f aca="false">IF(E$8=0,0,INDEX($C$36:$L$36,E$8))</f>
        <v>0</v>
      </c>
      <c r="F45" s="84" t="n">
        <f aca="false">IF(F$8=0,0,INDEX($C$36:$L$36,F$8))</f>
        <v>0</v>
      </c>
      <c r="G45" s="84" t="n">
        <f aca="false">IF(G$8=0,0,INDEX($C$36:$L$36,G$8))</f>
        <v>0</v>
      </c>
      <c r="H45" s="84" t="n">
        <f aca="false">IF(H$8=0,0,INDEX($C$36:$L$36,H$8))</f>
        <v>0</v>
      </c>
      <c r="I45" s="84" t="n">
        <f aca="false">IF(I$8=0,0,INDEX($C$36:$L$36,I$8))</f>
        <v>0</v>
      </c>
      <c r="J45" s="84" t="n">
        <f aca="false">IF(J$8=0,0,INDEX($C$36:$L$36,J$8))</f>
        <v>706.761207472128</v>
      </c>
      <c r="K45" s="84" t="n">
        <f aca="false">IF(K$8=0,0,INDEX($C$36:$L$36,K$8))</f>
        <v>812.107599701115</v>
      </c>
      <c r="L45" s="84" t="n">
        <f aca="false">IF(L$8=0,0,INDEX($C$36:$L$36,L$8))</f>
        <v>3849.51647856535</v>
      </c>
    </row>
    <row r="46" customFormat="false" ht="15" hidden="false" customHeight="false" outlineLevel="0" collapsed="false">
      <c r="A46" s="38" t="s">
        <v>296</v>
      </c>
      <c r="B46" s="86" t="n">
        <f aca="false">B44+B45</f>
        <v>270</v>
      </c>
      <c r="C46" s="86" t="n">
        <f aca="false">C44+C45</f>
        <v>270</v>
      </c>
      <c r="D46" s="86" t="n">
        <f aca="false">D44+D45</f>
        <v>270</v>
      </c>
      <c r="E46" s="86" t="n">
        <f aca="false">E44+E45</f>
        <v>270</v>
      </c>
      <c r="F46" s="86" t="n">
        <f aca="false">F44+F45</f>
        <v>270</v>
      </c>
      <c r="G46" s="86" t="n">
        <f aca="false">G44+G45</f>
        <v>270</v>
      </c>
      <c r="H46" s="86" t="n">
        <f aca="false">H44+H45</f>
        <v>270</v>
      </c>
      <c r="I46" s="86" t="n">
        <f aca="false">I44+I45</f>
        <v>270</v>
      </c>
      <c r="J46" s="86" t="n">
        <f aca="false">J44+J45</f>
        <v>976.761207472128</v>
      </c>
      <c r="K46" s="86" t="n">
        <f aca="false">K44+K45</f>
        <v>1082.10759970111</v>
      </c>
      <c r="L46" s="86" t="n">
        <f aca="false">L44+L45</f>
        <v>3849.51647856535</v>
      </c>
    </row>
    <row r="47" customFormat="false" ht="15" hidden="false" customHeight="false" outlineLevel="0" collapsed="false">
      <c r="A47" s="48" t="s">
        <v>297</v>
      </c>
      <c r="B47" s="85" t="n">
        <f aca="false">$C$63*B43</f>
        <v>-150</v>
      </c>
      <c r="C47" s="85" t="n">
        <f aca="false">$C$63*C43</f>
        <v>-150</v>
      </c>
      <c r="D47" s="85" t="n">
        <f aca="false">$C$63*D43</f>
        <v>-150</v>
      </c>
      <c r="E47" s="85" t="n">
        <f aca="false">$C$63*E43</f>
        <v>-150</v>
      </c>
      <c r="F47" s="85" t="n">
        <f aca="false">$C$63*F43</f>
        <v>-150</v>
      </c>
      <c r="G47" s="85" t="n">
        <f aca="false">$C$63*G43</f>
        <v>249.814512</v>
      </c>
      <c r="H47" s="85" t="n">
        <f aca="false">$C$63*H43</f>
        <v>237.39193152</v>
      </c>
      <c r="I47" s="85" t="n">
        <f aca="false">$C$63*I43</f>
        <v>225.4662542592</v>
      </c>
      <c r="J47" s="85" t="n">
        <f aca="false">$C$63*J43</f>
        <v>187.514058808627</v>
      </c>
      <c r="K47" s="85" t="n">
        <f aca="false">$C$63*K43</f>
        <v>172.572864936487</v>
      </c>
      <c r="L47" s="85" t="n">
        <f aca="false">$C$63*L43</f>
        <v>818.022251695137</v>
      </c>
    </row>
    <row r="49" customFormat="false" ht="15" hidden="false" customHeight="false" outlineLevel="0" collapsed="false">
      <c r="A49" s="3" t="s">
        <v>298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false" outlineLevel="0" collapsed="false">
      <c r="A50" s="38" t="s">
        <v>299</v>
      </c>
      <c r="C50" s="87" t="n">
        <f aca="false">IRR(B43:L43,0.1)</f>
        <v>0.164910982580995</v>
      </c>
      <c r="E50" s="2" t="s">
        <v>300</v>
      </c>
    </row>
    <row r="51" customFormat="false" ht="15" hidden="false" customHeight="false" outlineLevel="0" collapsed="false">
      <c r="A51" s="38" t="s">
        <v>301</v>
      </c>
      <c r="C51" s="46" t="n">
        <f aca="false">B43+NPV($F$3,C43:L43)</f>
        <v>1224.12414779974</v>
      </c>
      <c r="E51" s="2" t="s">
        <v>302</v>
      </c>
    </row>
    <row r="52" customFormat="false" ht="15" hidden="false" customHeight="false" outlineLevel="0" collapsed="false">
      <c r="A52" s="5" t="s">
        <v>303</v>
      </c>
      <c r="C52" s="45" t="n">
        <f aca="false">-SUM(B41:L41)</f>
        <v>20000</v>
      </c>
      <c r="E52" s="2" t="s">
        <v>304</v>
      </c>
    </row>
    <row r="53" customFormat="false" ht="15" hidden="false" customHeight="false" outlineLevel="0" collapsed="false">
      <c r="A53" s="5" t="s">
        <v>305</v>
      </c>
      <c r="C53" s="45" t="n">
        <f aca="false">SUM(B42:L42)</f>
        <v>50420.8499525187</v>
      </c>
    </row>
    <row r="54" customFormat="false" ht="15" hidden="false" customHeight="false" outlineLevel="0" collapsed="false">
      <c r="A54" s="5" t="s">
        <v>148</v>
      </c>
      <c r="C54" s="88" t="n">
        <f aca="false">IF(C52=0,0,C53/C52)</f>
        <v>2.52104249762593</v>
      </c>
    </row>
    <row r="55" customFormat="false" ht="15" hidden="false" customHeight="false" outlineLevel="0" collapsed="false">
      <c r="A55" s="5" t="s">
        <v>306</v>
      </c>
      <c r="C55" s="45" t="n">
        <f aca="false">SUM(B44:L44)</f>
        <v>2700</v>
      </c>
    </row>
    <row r="56" customFormat="false" ht="15" hidden="false" customHeight="false" outlineLevel="0" collapsed="false">
      <c r="A56" s="5" t="s">
        <v>307</v>
      </c>
      <c r="C56" s="45" t="n">
        <f aca="false">SUM(B45:L45)</f>
        <v>5368.38528573859</v>
      </c>
    </row>
    <row r="57" customFormat="false" ht="15" hidden="false" customHeight="false" outlineLevel="0" collapsed="false">
      <c r="A57" s="5" t="s">
        <v>308</v>
      </c>
      <c r="C57" s="45" t="n">
        <f aca="false">B44+NPV($F$3,C44:L44)</f>
        <v>1558.32765832774</v>
      </c>
      <c r="E57" s="2" t="s">
        <v>309</v>
      </c>
    </row>
    <row r="58" customFormat="false" ht="15" hidden="false" customHeight="false" outlineLevel="0" collapsed="false">
      <c r="A58" s="5" t="s">
        <v>310</v>
      </c>
      <c r="C58" s="45" t="n">
        <f aca="false">B45+NPV($F$3,C45:L45)</f>
        <v>1413.43475700093</v>
      </c>
    </row>
    <row r="59" customFormat="false" ht="15" hidden="false" customHeight="false" outlineLevel="0" collapsed="false">
      <c r="A59" s="38" t="s">
        <v>311</v>
      </c>
      <c r="C59" s="46" t="n">
        <f aca="false">C57+C58</f>
        <v>2971.76241532866</v>
      </c>
    </row>
    <row r="60" customFormat="false" ht="15" hidden="false" customHeight="false" outlineLevel="0" collapsed="false">
      <c r="A60" s="5" t="s">
        <v>312</v>
      </c>
      <c r="C60" s="32" t="n">
        <f aca="false">IF(C59=0,0,C57/C59)</f>
        <v>0.524378278118641</v>
      </c>
      <c r="E60" s="2" t="s">
        <v>313</v>
      </c>
    </row>
    <row r="61" customFormat="false" ht="15" hidden="false" customHeight="false" outlineLevel="0" collapsed="false">
      <c r="A61" s="5" t="s">
        <v>314</v>
      </c>
      <c r="C61" s="89" t="n">
        <f aca="false">$F$2-C50</f>
        <v>0.0350890174190054</v>
      </c>
    </row>
    <row r="62" customFormat="false" ht="15" hidden="false" customHeight="false" outlineLevel="0" collapsed="false">
      <c r="A62" s="5" t="s">
        <v>315</v>
      </c>
      <c r="C62" s="21" t="n">
        <f aca="false">IF(MAX(C38:L38)&lt;=0,"None",IFERROR(INDEX(C8:L8,MATCH(0,C38:L38,1)+1),C8))</f>
        <v>8</v>
      </c>
    </row>
    <row r="63" customFormat="false" ht="15" hidden="false" customHeight="false" outlineLevel="0" collapsed="false">
      <c r="A63" s="5" t="s">
        <v>316</v>
      </c>
      <c r="C63" s="90" t="n">
        <f aca="false">IF($C$2=0,0,$I$4/$C$2)</f>
        <v>0.0375</v>
      </c>
      <c r="E63" s="2" t="s">
        <v>317</v>
      </c>
    </row>
    <row r="64" customFormat="false" ht="15" hidden="false" customHeight="false" outlineLevel="0" collapsed="false">
      <c r="A64" s="5" t="s">
        <v>318</v>
      </c>
      <c r="C64" s="45" t="n">
        <f aca="false">C63*C51</f>
        <v>45.9046555424903</v>
      </c>
    </row>
    <row r="65" customFormat="false" ht="15" hidden="false" customHeight="false" outlineLevel="0" collapsed="false">
      <c r="A65" s="5" t="s">
        <v>319</v>
      </c>
      <c r="C65" s="45" t="n">
        <f aca="false">C63*C55</f>
        <v>101.25</v>
      </c>
    </row>
    <row r="66" customFormat="false" ht="15" hidden="false" customHeight="false" outlineLevel="0" collapsed="false">
      <c r="A66" s="5" t="s">
        <v>320</v>
      </c>
      <c r="C66" s="45" t="n">
        <f aca="false">C63*C53</f>
        <v>1890.78187321945</v>
      </c>
    </row>
    <row r="68" customFormat="false" ht="15" hidden="false" customHeight="false" outlineLevel="0" collapsed="false">
      <c r="A68" s="3" t="s">
        <v>321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5" t="s">
        <v>322</v>
      </c>
      <c r="C69" s="45" t="n">
        <f aca="false">ROUND(L24,6)</f>
        <v>0</v>
      </c>
    </row>
    <row r="70" customFormat="false" ht="15" hidden="false" customHeight="false" outlineLevel="0" collapsed="false">
      <c r="A70" s="5" t="s">
        <v>323</v>
      </c>
      <c r="C70" s="45" t="n">
        <f aca="false">ROUND(SUM(C23:L23)-SUM(C35:L35)-SUM(C36:L36),6)</f>
        <v>0</v>
      </c>
    </row>
    <row r="71" customFormat="false" ht="15" hidden="false" customHeight="false" outlineLevel="0" collapsed="false">
      <c r="A71" s="5" t="s">
        <v>324</v>
      </c>
      <c r="C71" s="45" t="n">
        <f aca="false">ROUND(SUM(C23:L23)-(SUM(C15:L15)-SUM(C16:L16)+SUM(C20:L20)),6)</f>
        <v>0</v>
      </c>
    </row>
    <row r="72" customFormat="false" ht="15" hidden="false" customHeight="false" outlineLevel="0" collapsed="false">
      <c r="A72" s="8" t="s">
        <v>325</v>
      </c>
      <c r="B72" s="49"/>
      <c r="C72" s="91" t="str">
        <f aca="false">IF(ABS(C69)+ABS(C70)+ABS(C71)&lt;0.001,"OK","CHECK")</f>
        <v>OK</v>
      </c>
      <c r="D72" s="49"/>
      <c r="E72" s="49"/>
      <c r="F72" s="49"/>
      <c r="G72" s="49"/>
      <c r="H72" s="49"/>
      <c r="I72" s="49"/>
      <c r="J72" s="49"/>
      <c r="K72" s="49"/>
      <c r="L72" s="49"/>
    </row>
    <row r="74" customFormat="false" ht="15" hidden="false" customHeight="false" outlineLevel="0" collapsed="false">
      <c r="A74" s="2" t="s">
        <v>326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4.51"/>
  </cols>
  <sheetData>
    <row r="1" customFormat="false" ht="15" hidden="false" customHeight="false" outlineLevel="0" collapsed="false">
      <c r="A1" s="18" t="s">
        <v>433</v>
      </c>
    </row>
    <row r="2" customFormat="false" ht="15" hidden="false" customHeight="false" outlineLevel="0" collapsed="false">
      <c r="A2" s="2" t="s">
        <v>434</v>
      </c>
    </row>
    <row r="4" customFormat="false" ht="15" hidden="false" customHeight="false" outlineLevel="0" collapsed="false">
      <c r="A4" s="3" t="s">
        <v>435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8" t="s">
        <v>132</v>
      </c>
      <c r="B5" s="53" t="s">
        <v>436</v>
      </c>
      <c r="C5" s="53" t="s">
        <v>437</v>
      </c>
      <c r="D5" s="53" t="s">
        <v>438</v>
      </c>
      <c r="E5" s="53" t="s">
        <v>439</v>
      </c>
      <c r="F5" s="53" t="s">
        <v>440</v>
      </c>
      <c r="G5" s="53" t="s">
        <v>441</v>
      </c>
    </row>
    <row r="6" customFormat="false" ht="15" hidden="false" customHeight="false" outlineLevel="0" collapsed="false">
      <c r="A6" s="38" t="s">
        <v>143</v>
      </c>
      <c r="B6" s="39" t="n">
        <f aca="false">'Q4 Fee cut'!$C$50</f>
        <v>0.159361408558221</v>
      </c>
      <c r="C6" s="39" t="n">
        <f aca="false">'Q5a Hard hurdle'!$C$50</f>
        <v>0.165918224327762</v>
      </c>
      <c r="D6" s="39" t="n">
        <f aca="false">'Q5b Soft hurdle'!$C$50</f>
        <v>0.160292237693307</v>
      </c>
      <c r="E6" s="39" t="n">
        <f aca="false">'Q5c Lower carry'!$C$50</f>
        <v>0.164910982580995</v>
      </c>
      <c r="F6" s="39" t="n">
        <f aca="false">Engine!$K$12</f>
        <v>0.169683296708115</v>
      </c>
      <c r="G6" s="39" t="n">
        <f aca="false">Engine!$K$13</f>
        <v>0.165470051219385</v>
      </c>
    </row>
    <row r="7" customFormat="false" ht="15" hidden="false" customHeight="false" outlineLevel="0" collapsed="false">
      <c r="A7" s="5" t="s">
        <v>442</v>
      </c>
      <c r="B7" s="103" t="n">
        <f aca="false">(B6-$B$6)*10000</f>
        <v>0</v>
      </c>
      <c r="C7" s="103" t="n">
        <f aca="false">(C6-$B$6)*10000</f>
        <v>65.5681576954131</v>
      </c>
      <c r="D7" s="103" t="n">
        <f aca="false">(D6-$B$6)*10000</f>
        <v>9.30829135086519</v>
      </c>
      <c r="E7" s="103" t="n">
        <f aca="false">(E6-$B$6)*10000</f>
        <v>55.4957402277381</v>
      </c>
      <c r="F7" s="103" t="n">
        <f aca="false">(F6-$B$6)*10000</f>
        <v>103.218881498942</v>
      </c>
      <c r="G7" s="103" t="n">
        <f aca="false">(G6-$B$6)*10000</f>
        <v>61.0864266116454</v>
      </c>
    </row>
    <row r="8" customFormat="false" ht="15" hidden="false" customHeight="false" outlineLevel="0" collapsed="false">
      <c r="A8" s="5" t="s">
        <v>145</v>
      </c>
      <c r="B8" s="42" t="n">
        <f aca="false">'Q4 Fee cut'!$C$51</f>
        <v>752.979228799433</v>
      </c>
      <c r="C8" s="42" t="n">
        <f aca="false">'Q5a Hard hurdle'!$C$51</f>
        <v>1303.53847315147</v>
      </c>
      <c r="D8" s="42" t="n">
        <f aca="false">'Q5b Soft hurdle'!$C$51</f>
        <v>825.662738669118</v>
      </c>
      <c r="E8" s="42" t="n">
        <f aca="false">'Q5c Lower carry'!$C$51</f>
        <v>1224.12414779974</v>
      </c>
      <c r="F8" s="42" t="n">
        <f aca="false">Engine!$L$12</f>
        <v>1637.04358106376</v>
      </c>
      <c r="G8" s="42" t="n">
        <f aca="false">Engine!$L$13</f>
        <v>1267.99031840386</v>
      </c>
    </row>
    <row r="9" customFormat="false" ht="15" hidden="false" customHeight="false" outlineLevel="0" collapsed="false">
      <c r="A9" s="5" t="s">
        <v>443</v>
      </c>
      <c r="B9" s="45" t="n">
        <f aca="false">B8-$B$8</f>
        <v>0</v>
      </c>
      <c r="C9" s="45" t="n">
        <f aca="false">C8-$B$8</f>
        <v>550.559244352035</v>
      </c>
      <c r="D9" s="45" t="n">
        <f aca="false">D8-$B$8</f>
        <v>72.6835098696847</v>
      </c>
      <c r="E9" s="45" t="n">
        <f aca="false">E8-$B$8</f>
        <v>471.144919000307</v>
      </c>
      <c r="F9" s="45" t="n">
        <f aca="false">F8-$B$8</f>
        <v>884.064352264331</v>
      </c>
      <c r="G9" s="45" t="n">
        <f aca="false">G8-$B$8</f>
        <v>515.011089604429</v>
      </c>
    </row>
    <row r="10" customFormat="false" ht="15" hidden="false" customHeight="false" outlineLevel="0" collapsed="false">
      <c r="A10" s="38" t="s">
        <v>444</v>
      </c>
      <c r="B10" s="41" t="n">
        <f aca="false">B9*'Q4 Fee cut'!$C$63</f>
        <v>0</v>
      </c>
      <c r="C10" s="41" t="n">
        <f aca="false">C9*'Q4 Fee cut'!$C$63</f>
        <v>20.6459716632013</v>
      </c>
      <c r="D10" s="41" t="n">
        <f aca="false">D9*'Q4 Fee cut'!$C$63</f>
        <v>2.72563162011318</v>
      </c>
      <c r="E10" s="41" t="n">
        <f aca="false">E9*'Q4 Fee cut'!$C$63</f>
        <v>17.6679344625115</v>
      </c>
      <c r="F10" s="41" t="n">
        <f aca="false">F9*'Q4 Fee cut'!$C$63</f>
        <v>33.1524132099124</v>
      </c>
      <c r="G10" s="41" t="n">
        <f aca="false">G9*'Q4 Fee cut'!$C$63</f>
        <v>19.3129158601661</v>
      </c>
    </row>
    <row r="11" customFormat="false" ht="15" hidden="false" customHeight="false" outlineLevel="0" collapsed="false">
      <c r="A11" s="5" t="s">
        <v>445</v>
      </c>
      <c r="B11" s="42" t="n">
        <f aca="false">'Q4 Fee cut'!$C$56</f>
        <v>7157.84704765146</v>
      </c>
      <c r="C11" s="42" t="n">
        <f aca="false">'Q5a Hard hurdle'!$C$56</f>
        <v>5362.39997614251</v>
      </c>
      <c r="D11" s="42" t="n">
        <f aca="false">'Q5b Soft hurdle'!$C$56</f>
        <v>7157.84704765146</v>
      </c>
      <c r="E11" s="42" t="n">
        <f aca="false">'Q5c Lower carry'!$C$56</f>
        <v>5368.38528573859</v>
      </c>
      <c r="F11" s="42" t="n">
        <f aca="false">Engine!$P$12</f>
        <v>4021.79998210688</v>
      </c>
      <c r="G11" s="42" t="n">
        <f aca="false">Engine!$P$13</f>
        <v>5368.38528573859</v>
      </c>
    </row>
    <row r="12" customFormat="false" ht="15" hidden="false" customHeight="false" outlineLevel="0" collapsed="false">
      <c r="A12" s="5" t="s">
        <v>446</v>
      </c>
      <c r="B12" s="45" t="n">
        <f aca="false">B11-$B$11</f>
        <v>0</v>
      </c>
      <c r="C12" s="45" t="n">
        <f aca="false">C11-$B$11</f>
        <v>-1795.44707150895</v>
      </c>
      <c r="D12" s="45" t="n">
        <f aca="false">D11-$B$11</f>
        <v>0</v>
      </c>
      <c r="E12" s="45" t="n">
        <f aca="false">E11-$B$11</f>
        <v>-1789.46176191286</v>
      </c>
      <c r="F12" s="45" t="n">
        <f aca="false">F11-$B$11</f>
        <v>-3136.04706554458</v>
      </c>
      <c r="G12" s="45" t="n">
        <f aca="false">G11-$B$11</f>
        <v>-1789.46176191287</v>
      </c>
    </row>
    <row r="13" customFormat="false" ht="15" hidden="false" customHeight="false" outlineLevel="0" collapsed="false">
      <c r="A13" s="5" t="s">
        <v>154</v>
      </c>
      <c r="B13" s="42" t="n">
        <f aca="false">'Q4 Fee cut'!$C$59</f>
        <v>3442.90733432897</v>
      </c>
      <c r="C13" s="42" t="n">
        <f aca="false">'Q5a Hard hurdle'!$C$59</f>
        <v>2892.34808997694</v>
      </c>
      <c r="D13" s="42" t="n">
        <f aca="false">'Q5b Soft hurdle'!$C$59</f>
        <v>3370.22382445929</v>
      </c>
      <c r="E13" s="42" t="n">
        <f aca="false">'Q5c Lower carry'!$C$59</f>
        <v>2971.76241532866</v>
      </c>
      <c r="F13" s="42" t="n">
        <f aca="false">Engine!$S$12</f>
        <v>2558.84298206464</v>
      </c>
      <c r="G13" s="42" t="n">
        <f aca="false">Engine!$S$13</f>
        <v>2927.89624472454</v>
      </c>
    </row>
    <row r="14" customFormat="false" ht="15" hidden="false" customHeight="false" outlineLevel="0" collapsed="false">
      <c r="A14" s="5" t="s">
        <v>443</v>
      </c>
      <c r="B14" s="45" t="n">
        <f aca="false">B13-$B$13</f>
        <v>0</v>
      </c>
      <c r="C14" s="45" t="n">
        <f aca="false">C13-$B$13</f>
        <v>-550.559244352036</v>
      </c>
      <c r="D14" s="45" t="n">
        <f aca="false">D13-$B$13</f>
        <v>-72.6835098696852</v>
      </c>
      <c r="E14" s="45" t="n">
        <f aca="false">E13-$B$13</f>
        <v>-471.144919000309</v>
      </c>
      <c r="F14" s="45" t="n">
        <f aca="false">F13-$B$13</f>
        <v>-884.064352264337</v>
      </c>
      <c r="G14" s="45" t="n">
        <f aca="false">G13-$B$13</f>
        <v>-515.011089604433</v>
      </c>
    </row>
    <row r="15" customFormat="false" ht="15" hidden="false" customHeight="false" outlineLevel="0" collapsed="false">
      <c r="A15" s="5" t="s">
        <v>447</v>
      </c>
      <c r="B15" s="103" t="n">
        <f aca="false">IF($C$18=0,0,B9/$C$18)</f>
        <v>0</v>
      </c>
      <c r="C15" s="103" t="n">
        <f aca="false">IF($C$18=0,0,C9/$C$18)</f>
        <v>47.2550353439834</v>
      </c>
      <c r="D15" s="103" t="n">
        <f aca="false">IF($C$18=0,0,D9/$C$18)</f>
        <v>6.23849633450265</v>
      </c>
      <c r="E15" s="103" t="n">
        <f aca="false">IF($C$18=0,0,E9/$C$18)</f>
        <v>40.4388265711543</v>
      </c>
      <c r="F15" s="103" t="n">
        <f aca="false">IF($C$18=0,0,F9/$C$18)</f>
        <v>75.8801030791417</v>
      </c>
      <c r="G15" s="103" t="n">
        <f aca="false">IF($C$18=0,0,G9/$C$18)</f>
        <v>44.2039026525533</v>
      </c>
    </row>
    <row r="16" customFormat="false" ht="15" hidden="false" customHeight="false" outlineLevel="0" collapsed="false">
      <c r="A16" s="48" t="s">
        <v>338</v>
      </c>
      <c r="B16" s="112" t="n">
        <f aca="false">'Q4 Fee cut'!$C$62</f>
        <v>8</v>
      </c>
      <c r="C16" s="112" t="n">
        <f aca="false">'Q5a Hard hurdle'!$C$62</f>
        <v>9</v>
      </c>
      <c r="D16" s="112" t="n">
        <f aca="false">'Q5b Soft hurdle'!$C$62</f>
        <v>9</v>
      </c>
      <c r="E16" s="112" t="n">
        <f aca="false">'Q5c Lower carry'!$C$62</f>
        <v>8</v>
      </c>
      <c r="F16" s="113" t="s">
        <v>448</v>
      </c>
      <c r="G16" s="113" t="s">
        <v>448</v>
      </c>
    </row>
    <row r="18" customFormat="false" ht="15" hidden="false" customHeight="false" outlineLevel="0" collapsed="false">
      <c r="A18" s="5" t="s">
        <v>449</v>
      </c>
      <c r="C18" s="114" t="n">
        <f aca="false">IF((Inputs!$C$18-Inputs!$C$19)=0,0,('Q4 Fee cut'!$C$51-'Q3 Base case'!$C$51)/((Inputs!$C$18-Inputs!$C$19)*10000))</f>
        <v>11.650805894956</v>
      </c>
      <c r="D18" s="2" t="s">
        <v>450</v>
      </c>
    </row>
    <row r="20" customFormat="false" ht="15" hidden="false" customHeight="false" outlineLevel="0" collapsed="false">
      <c r="A20" s="3" t="s">
        <v>451</v>
      </c>
      <c r="B20" s="4"/>
      <c r="C20" s="4"/>
      <c r="D20" s="4"/>
      <c r="E20" s="4"/>
      <c r="F20" s="4"/>
      <c r="G20" s="4"/>
      <c r="H20" s="4"/>
      <c r="I20" s="4"/>
      <c r="J20" s="4"/>
    </row>
    <row r="21" customFormat="false" ht="30" hidden="false" customHeight="true" outlineLevel="0" collapsed="false">
      <c r="A21" s="8" t="s">
        <v>246</v>
      </c>
      <c r="B21" s="53" t="s">
        <v>452</v>
      </c>
      <c r="C21" s="53" t="s">
        <v>453</v>
      </c>
      <c r="D21" s="53" t="s">
        <v>454</v>
      </c>
      <c r="E21" s="53" t="s">
        <v>455</v>
      </c>
      <c r="F21" s="53" t="s">
        <v>456</v>
      </c>
      <c r="G21" s="53" t="s">
        <v>457</v>
      </c>
      <c r="H21" s="53" t="s">
        <v>458</v>
      </c>
    </row>
    <row r="22" customFormat="false" ht="15" hidden="false" customHeight="false" outlineLevel="0" collapsed="false">
      <c r="A22" s="68" t="n">
        <f aca="false">Engine!$I$52</f>
        <v>0</v>
      </c>
      <c r="B22" s="35" t="n">
        <f aca="false">Engine!$K$52</f>
        <v>-0.025625197842692</v>
      </c>
      <c r="C22" s="35" t="n">
        <f aca="false">Engine!$K$83</f>
        <v>-0.025625197842692</v>
      </c>
      <c r="D22" s="35" t="n">
        <f aca="false">Engine!$K$114</f>
        <v>-0.025625197842692</v>
      </c>
      <c r="E22" s="35" t="n">
        <f aca="false">Engine!$K$145</f>
        <v>-0.025625197842692</v>
      </c>
      <c r="F22" s="96" t="n">
        <f aca="false">(C22-$B22)*10000</f>
        <v>0</v>
      </c>
      <c r="G22" s="96" t="n">
        <f aca="false">(D22-$B22)*10000</f>
        <v>0</v>
      </c>
      <c r="H22" s="96" t="n">
        <f aca="false">(E22-$B22)*10000</f>
        <v>0</v>
      </c>
    </row>
    <row r="23" customFormat="false" ht="15" hidden="false" customHeight="false" outlineLevel="0" collapsed="false">
      <c r="A23" s="68" t="n">
        <f aca="false">Engine!$I$57</f>
        <v>0.05</v>
      </c>
      <c r="B23" s="35" t="n">
        <f aca="false">Engine!$K$57</f>
        <v>0.0218360808430908</v>
      </c>
      <c r="C23" s="35" t="n">
        <f aca="false">Engine!$K$88</f>
        <v>0.0266851918575835</v>
      </c>
      <c r="D23" s="35" t="n">
        <f aca="false">Engine!$K$119</f>
        <v>0.0266851918575835</v>
      </c>
      <c r="E23" s="35" t="n">
        <f aca="false">Engine!$K$150</f>
        <v>0.0230680314207503</v>
      </c>
      <c r="F23" s="96" t="n">
        <f aca="false">(C23-$B23)*10000</f>
        <v>48.491110144927</v>
      </c>
      <c r="G23" s="96" t="n">
        <f aca="false">(D23-$B23)*10000</f>
        <v>48.491110144927</v>
      </c>
      <c r="H23" s="96" t="n">
        <f aca="false">(E23-$B23)*10000</f>
        <v>12.319505776595</v>
      </c>
    </row>
    <row r="24" customFormat="false" ht="15" hidden="false" customHeight="false" outlineLevel="0" collapsed="false">
      <c r="A24" s="68" t="n">
        <f aca="false">Engine!$I$62</f>
        <v>0.1</v>
      </c>
      <c r="B24" s="35" t="n">
        <f aca="false">Engine!$K$62</f>
        <v>0.0664745873122854</v>
      </c>
      <c r="C24" s="35" t="n">
        <f aca="false">Engine!$K$93</f>
        <v>0.0783354771301631</v>
      </c>
      <c r="D24" s="35" t="n">
        <f aca="false">Engine!$K$124</f>
        <v>0.0783354771301631</v>
      </c>
      <c r="E24" s="35" t="n">
        <f aca="false">Engine!$K$155</f>
        <v>0.069554885002583</v>
      </c>
      <c r="F24" s="96" t="n">
        <f aca="false">(C24-$B24)*10000</f>
        <v>118.608898178776</v>
      </c>
      <c r="G24" s="96" t="n">
        <f aca="false">(D24-$B24)*10000</f>
        <v>118.608898178776</v>
      </c>
      <c r="H24" s="96" t="n">
        <f aca="false">(E24-$B24)*10000</f>
        <v>30.8029769029752</v>
      </c>
    </row>
    <row r="25" customFormat="false" ht="15" hidden="false" customHeight="false" outlineLevel="0" collapsed="false">
      <c r="A25" s="68" t="n">
        <f aca="false">Engine!$I$67</f>
        <v>0.15</v>
      </c>
      <c r="B25" s="35" t="n">
        <f aca="false">Engine!$K$67</f>
        <v>0.11263957351201</v>
      </c>
      <c r="C25" s="35" t="n">
        <f aca="false">Engine!$K$98</f>
        <v>0.121132776934093</v>
      </c>
      <c r="D25" s="35" t="n">
        <f aca="false">Engine!$K$129</f>
        <v>0.113027670655998</v>
      </c>
      <c r="E25" s="35" t="n">
        <f aca="false">Engine!$K$160</f>
        <v>0.117074129762284</v>
      </c>
      <c r="F25" s="96" t="n">
        <f aca="false">(C25-$B25)*10000</f>
        <v>84.9320342208276</v>
      </c>
      <c r="G25" s="96" t="n">
        <f aca="false">(D25-$B25)*10000</f>
        <v>3.88097143987728</v>
      </c>
      <c r="H25" s="96" t="n">
        <f aca="false">(E25-$B25)*10000</f>
        <v>44.3455625027384</v>
      </c>
    </row>
    <row r="26" customFormat="false" ht="15" hidden="false" customHeight="false" outlineLevel="0" collapsed="false">
      <c r="A26" s="68" t="n">
        <f aca="false">Engine!$I$72</f>
        <v>0.2</v>
      </c>
      <c r="B26" s="35" t="n">
        <f aca="false">Engine!$K$72</f>
        <v>0.159361408558221</v>
      </c>
      <c r="C26" s="35" t="n">
        <f aca="false">Engine!$K$103</f>
        <v>0.165918224327762</v>
      </c>
      <c r="D26" s="35" t="n">
        <f aca="false">Engine!$K$134</f>
        <v>0.160292237693307</v>
      </c>
      <c r="E26" s="35" t="n">
        <f aca="false">Engine!$K$165</f>
        <v>0.164910982580994</v>
      </c>
      <c r="F26" s="96" t="n">
        <f aca="false">(C26-$B26)*10000</f>
        <v>65.568157695412</v>
      </c>
      <c r="G26" s="96" t="n">
        <f aca="false">(D26-$B26)*10000</f>
        <v>9.3082913508627</v>
      </c>
      <c r="H26" s="96" t="n">
        <f aca="false">(E26-$B26)*10000</f>
        <v>55.4957402277356</v>
      </c>
    </row>
    <row r="27" customFormat="false" ht="15" hidden="false" customHeight="false" outlineLevel="0" collapsed="false">
      <c r="A27" s="68" t="n">
        <f aca="false">Engine!$I$77</f>
        <v>0.25</v>
      </c>
      <c r="B27" s="35" t="n">
        <f aca="false">Engine!$K$77</f>
        <v>0.206384877129988</v>
      </c>
      <c r="C27" s="35" t="n">
        <f aca="false">Engine!$K$108</f>
        <v>0.211801586330238</v>
      </c>
      <c r="D27" s="35" t="n">
        <f aca="false">Engine!$K$139</f>
        <v>0.206745525290629</v>
      </c>
      <c r="E27" s="35" t="n">
        <f aca="false">Engine!$K$170</f>
        <v>0.212897646590057</v>
      </c>
      <c r="F27" s="96" t="n">
        <f aca="false">(C27-$B27)*10000</f>
        <v>54.1670920024992</v>
      </c>
      <c r="G27" s="96" t="n">
        <f aca="false">(D27-$B27)*10000</f>
        <v>3.60648160640492</v>
      </c>
      <c r="H27" s="96" t="n">
        <f aca="false">(E27-$B27)*10000</f>
        <v>65.1276946006871</v>
      </c>
    </row>
    <row r="28" customFormat="false" ht="15" hidden="false" customHeight="false" outlineLevel="0" collapsed="false">
      <c r="A28" s="69" t="n">
        <f aca="false">Engine!$I$82</f>
        <v>0.3</v>
      </c>
      <c r="B28" s="70" t="n">
        <f aca="false">Engine!$K$82</f>
        <v>0.253691211589088</v>
      </c>
      <c r="C28" s="70" t="n">
        <f aca="false">Engine!$K$113</f>
        <v>0.25832909226454</v>
      </c>
      <c r="D28" s="70" t="n">
        <f aca="false">Engine!$K$144</f>
        <v>0.254613624431826</v>
      </c>
      <c r="E28" s="70" t="n">
        <f aca="false">Engine!$K$175</f>
        <v>0.26103817986097</v>
      </c>
      <c r="F28" s="97" t="n">
        <f aca="false">(C28-$B28)*10000</f>
        <v>46.378806754524</v>
      </c>
      <c r="G28" s="97" t="n">
        <f aca="false">(D28-$B28)*10000</f>
        <v>9.22412842738363</v>
      </c>
      <c r="H28" s="97" t="n">
        <f aca="false">(E28-$B28)*10000</f>
        <v>73.4696827188153</v>
      </c>
    </row>
    <row r="30" customFormat="false" ht="15" hidden="false" customHeight="false" outlineLevel="0" collapsed="false">
      <c r="A30" s="3" t="s">
        <v>459</v>
      </c>
      <c r="B30" s="4"/>
      <c r="C30" s="4"/>
      <c r="D30" s="4"/>
      <c r="E30" s="4"/>
      <c r="F30" s="4"/>
      <c r="G30" s="4"/>
      <c r="H30" s="4"/>
      <c r="I30" s="4"/>
      <c r="J30" s="4"/>
    </row>
    <row r="31" customFormat="false" ht="30" hidden="false" customHeight="true" outlineLevel="0" collapsed="false">
      <c r="A31" s="8" t="s">
        <v>246</v>
      </c>
      <c r="B31" s="53" t="s">
        <v>452</v>
      </c>
      <c r="C31" s="53" t="s">
        <v>453</v>
      </c>
      <c r="D31" s="53" t="s">
        <v>454</v>
      </c>
      <c r="E31" s="53" t="s">
        <v>455</v>
      </c>
      <c r="F31" s="53" t="s">
        <v>460</v>
      </c>
    </row>
    <row r="32" customFormat="false" ht="15" hidden="false" customHeight="false" outlineLevel="0" collapsed="false">
      <c r="A32" s="68" t="n">
        <f aca="false">Engine!$I$52</f>
        <v>0</v>
      </c>
      <c r="B32" s="47" t="n">
        <f aca="false">Engine!$P$52</f>
        <v>0</v>
      </c>
      <c r="C32" s="47" t="n">
        <f aca="false">Engine!$P$83</f>
        <v>0</v>
      </c>
      <c r="D32" s="47" t="n">
        <f aca="false">Engine!$P$114</f>
        <v>0</v>
      </c>
      <c r="E32" s="47" t="n">
        <f aca="false">Engine!$P$145</f>
        <v>0</v>
      </c>
      <c r="F32" s="115" t="str">
        <f aca="false">IF(Engine!$K$52&lt;Inputs!$C$22,"Yes","No")</f>
        <v>Yes</v>
      </c>
    </row>
    <row r="33" customFormat="false" ht="15" hidden="false" customHeight="false" outlineLevel="0" collapsed="false">
      <c r="A33" s="68" t="n">
        <f aca="false">Engine!$I$57</f>
        <v>0.05</v>
      </c>
      <c r="B33" s="47" t="n">
        <f aca="false">Engine!$P$57</f>
        <v>654.922432557875</v>
      </c>
      <c r="C33" s="47" t="n">
        <f aca="false">Engine!$P$88</f>
        <v>0</v>
      </c>
      <c r="D33" s="47" t="n">
        <f aca="false">Engine!$P$119</f>
        <v>0</v>
      </c>
      <c r="E33" s="47" t="n">
        <f aca="false">Engine!$P$150</f>
        <v>491.191824418406</v>
      </c>
      <c r="F33" s="115" t="str">
        <f aca="false">IF(Engine!$K$57&lt;Inputs!$C$22,"Yes","No")</f>
        <v>Yes</v>
      </c>
    </row>
    <row r="34" customFormat="false" ht="15" hidden="false" customHeight="false" outlineLevel="0" collapsed="false">
      <c r="A34" s="68" t="n">
        <f aca="false">Engine!$I$62</f>
        <v>0.1</v>
      </c>
      <c r="B34" s="47" t="n">
        <f aca="false">Engine!$P$62</f>
        <v>2248.02014319946</v>
      </c>
      <c r="C34" s="47" t="n">
        <f aca="false">Engine!$P$93</f>
        <v>0</v>
      </c>
      <c r="D34" s="47" t="n">
        <f aca="false">Engine!$P$124</f>
        <v>0</v>
      </c>
      <c r="E34" s="47" t="n">
        <f aca="false">Engine!$P$155</f>
        <v>1686.0151073996</v>
      </c>
      <c r="F34" s="115" t="str">
        <f aca="false">IF(Engine!$K$62&lt;Inputs!$C$22,"Yes","No")</f>
        <v>Yes</v>
      </c>
    </row>
    <row r="35" customFormat="false" ht="15" hidden="false" customHeight="false" outlineLevel="0" collapsed="false">
      <c r="A35" s="68" t="n">
        <f aca="false">Engine!$I$67</f>
        <v>0.15</v>
      </c>
      <c r="B35" s="47" t="n">
        <f aca="false">Engine!$P$67</f>
        <v>4362.95225443366</v>
      </c>
      <c r="C35" s="47" t="n">
        <f aca="false">Engine!$P$98</f>
        <v>2292.51314744016</v>
      </c>
      <c r="D35" s="47" t="n">
        <f aca="false">Engine!$P$129</f>
        <v>4362.95225443366</v>
      </c>
      <c r="E35" s="47" t="n">
        <f aca="false">Engine!$P$160</f>
        <v>3272.21419082525</v>
      </c>
      <c r="F35" s="115" t="str">
        <f aca="false">IF(Engine!$K$67&lt;Inputs!$C$22,"Yes","No")</f>
        <v>No</v>
      </c>
    </row>
    <row r="36" customFormat="false" ht="15" hidden="false" customHeight="false" outlineLevel="0" collapsed="false">
      <c r="A36" s="68" t="n">
        <f aca="false">Engine!$I$72</f>
        <v>0.2</v>
      </c>
      <c r="B36" s="47" t="n">
        <f aca="false">Engine!$P$72</f>
        <v>7157.84704765146</v>
      </c>
      <c r="C36" s="47" t="n">
        <f aca="false">Engine!$P$103</f>
        <v>5362.39997614251</v>
      </c>
      <c r="D36" s="47" t="n">
        <f aca="false">Engine!$P$134</f>
        <v>7157.84704765146</v>
      </c>
      <c r="E36" s="47" t="n">
        <f aca="false">Engine!$P$165</f>
        <v>5368.38528573859</v>
      </c>
      <c r="F36" s="115" t="str">
        <f aca="false">IF(Engine!$K$72&lt;Inputs!$C$22,"Yes","No")</f>
        <v>No</v>
      </c>
    </row>
    <row r="37" customFormat="false" ht="15" hidden="false" customHeight="false" outlineLevel="0" collapsed="false">
      <c r="A37" s="68" t="n">
        <f aca="false">Engine!$I$77</f>
        <v>0.25</v>
      </c>
      <c r="B37" s="47" t="n">
        <f aca="false">Engine!$P$77</f>
        <v>10833.61328125</v>
      </c>
      <c r="C37" s="47" t="n">
        <f aca="false">Engine!$P$108</f>
        <v>9218.71097070568</v>
      </c>
      <c r="D37" s="47" t="n">
        <f aca="false">Engine!$P$139</f>
        <v>10833.61328125</v>
      </c>
      <c r="E37" s="47" t="n">
        <f aca="false">Engine!$P$170</f>
        <v>8125.2099609375</v>
      </c>
      <c r="F37" s="115" t="str">
        <f aca="false">IF(Engine!$K$77&lt;Inputs!$C$22,"Yes","No")</f>
        <v>No</v>
      </c>
    </row>
    <row r="38" customFormat="false" ht="15" hidden="false" customHeight="false" outlineLevel="0" collapsed="false">
      <c r="A38" s="69" t="n">
        <f aca="false">Engine!$I$82</f>
        <v>0.3</v>
      </c>
      <c r="B38" s="50" t="n">
        <f aca="false">Engine!$P$82</f>
        <v>15643.9169361498</v>
      </c>
      <c r="C38" s="50" t="n">
        <f aca="false">Engine!$P$113</f>
        <v>14164.9776968536</v>
      </c>
      <c r="D38" s="50" t="n">
        <f aca="false">Engine!$P$144</f>
        <v>15643.9169361498</v>
      </c>
      <c r="E38" s="50" t="n">
        <f aca="false">Engine!$P$175</f>
        <v>11732.9377021123</v>
      </c>
      <c r="F38" s="116" t="str">
        <f aca="false">IF(Engine!$K$82&lt;Inputs!$C$22,"Yes","No")</f>
        <v>No</v>
      </c>
    </row>
    <row r="39" customFormat="false" ht="15" hidden="false" customHeight="false" outlineLevel="0" collapsed="false">
      <c r="A39" s="2" t="s">
        <v>461</v>
      </c>
    </row>
    <row r="41" customFormat="false" ht="15" hidden="false" customHeight="false" outlineLevel="0" collapsed="false">
      <c r="A41" s="3" t="s">
        <v>462</v>
      </c>
      <c r="B41" s="4"/>
      <c r="C41" s="4"/>
      <c r="D41" s="4"/>
      <c r="E41" s="4"/>
      <c r="F41" s="4"/>
      <c r="G41" s="4"/>
      <c r="H41" s="4"/>
      <c r="I41" s="4"/>
      <c r="J41" s="4"/>
    </row>
    <row r="42" customFormat="false" ht="15" hidden="false" customHeight="false" outlineLevel="0" collapsed="false">
      <c r="A42" s="5" t="s">
        <v>463</v>
      </c>
    </row>
    <row r="43" customFormat="false" ht="15" hidden="false" customHeight="false" outlineLevel="0" collapsed="false">
      <c r="A43" s="5" t="s">
        <v>464</v>
      </c>
    </row>
    <row r="44" customFormat="false" ht="15" hidden="false" customHeight="false" outlineLevel="0" collapsed="false">
      <c r="A44" s="5" t="s">
        <v>465</v>
      </c>
    </row>
    <row r="45" customFormat="false" ht="15" hidden="false" customHeight="false" outlineLevel="0" collapsed="false">
      <c r="A45" s="5" t="s">
        <v>466</v>
      </c>
    </row>
    <row r="46" customFormat="false" ht="15" hidden="false" customHeight="false" outlineLevel="0" collapsed="false">
      <c r="A46" s="5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2"/>
  </cols>
  <sheetData>
    <row r="1" customFormat="false" ht="15" hidden="false" customHeight="false" outlineLevel="0" collapsed="false">
      <c r="A1" s="18" t="s">
        <v>468</v>
      </c>
    </row>
    <row r="2" customFormat="false" ht="15" hidden="false" customHeight="false" outlineLevel="0" collapsed="false">
      <c r="A2" s="2" t="s">
        <v>469</v>
      </c>
    </row>
    <row r="4" customFormat="false" ht="15" hidden="false" customHeight="false" outlineLevel="0" collapsed="false">
      <c r="A4" s="3" t="s">
        <v>470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49"/>
      <c r="B5" s="60" t="s">
        <v>471</v>
      </c>
      <c r="C5" s="60" t="s">
        <v>472</v>
      </c>
      <c r="D5" s="60" t="s">
        <v>473</v>
      </c>
    </row>
    <row r="6" customFormat="false" ht="15" hidden="false" customHeight="false" outlineLevel="0" collapsed="false">
      <c r="A6" s="5" t="s">
        <v>474</v>
      </c>
      <c r="B6" s="42" t="n">
        <f aca="false">Inputs!$C$26</f>
        <v>750</v>
      </c>
      <c r="C6" s="42" t="n">
        <f aca="false">B6*(1-Inputs!$C$27)</f>
        <v>675</v>
      </c>
      <c r="D6" s="45" t="n">
        <f aca="false">C6-B6</f>
        <v>-75</v>
      </c>
    </row>
    <row r="7" customFormat="false" ht="15" hidden="false" customHeight="false" outlineLevel="0" collapsed="false">
      <c r="A7" s="5" t="s">
        <v>475</v>
      </c>
      <c r="B7" s="42" t="n">
        <f aca="false">Inputs!$C$28</f>
        <v>79.9</v>
      </c>
      <c r="C7" s="42" t="n">
        <f aca="false">Inputs!$C$28</f>
        <v>79.9</v>
      </c>
      <c r="D7" s="45" t="n">
        <f aca="false">C7-B7</f>
        <v>0</v>
      </c>
    </row>
    <row r="8" customFormat="false" ht="15" hidden="false" customHeight="false" outlineLevel="0" collapsed="false">
      <c r="A8" s="5" t="s">
        <v>476</v>
      </c>
      <c r="B8" s="45" t="n">
        <f aca="false">B6-B7</f>
        <v>670.1</v>
      </c>
      <c r="C8" s="45" t="n">
        <f aca="false">C6-C7</f>
        <v>595.1</v>
      </c>
      <c r="D8" s="45" t="n">
        <f aca="false">C8-B8</f>
        <v>-75</v>
      </c>
    </row>
    <row r="9" customFormat="false" ht="15" hidden="false" customHeight="false" outlineLevel="0" collapsed="false">
      <c r="A9" s="5" t="s">
        <v>477</v>
      </c>
      <c r="B9" s="42" t="n">
        <f aca="false">B6*Inputs!$C$31</f>
        <v>225</v>
      </c>
      <c r="C9" s="42" t="n">
        <f aca="false">C6*Inputs!$C$31</f>
        <v>202.5</v>
      </c>
      <c r="D9" s="45" t="n">
        <f aca="false">C9-B9</f>
        <v>-22.5</v>
      </c>
    </row>
    <row r="10" customFormat="false" ht="15" hidden="false" customHeight="false" outlineLevel="0" collapsed="false">
      <c r="A10" s="48" t="s">
        <v>478</v>
      </c>
      <c r="B10" s="117" t="n">
        <f aca="false">IF(Inputs!$C$6=0,0,B6/Inputs!$C$6)</f>
        <v>0.0375</v>
      </c>
      <c r="C10" s="117" t="n">
        <f aca="false">IF(Inputs!$C$6=0,0,C6/Inputs!$C$6)</f>
        <v>0.03375</v>
      </c>
      <c r="D10" s="118" t="n">
        <f aca="false">C10-B10</f>
        <v>-0.00375</v>
      </c>
    </row>
    <row r="12" customFormat="false" ht="15" hidden="false" customHeight="false" outlineLevel="0" collapsed="false">
      <c r="A12" s="3" t="s">
        <v>479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false" outlineLevel="0" collapsed="false">
      <c r="A13" s="49"/>
      <c r="B13" s="60" t="s">
        <v>471</v>
      </c>
      <c r="C13" s="60" t="s">
        <v>472</v>
      </c>
      <c r="D13" s="60" t="s">
        <v>473</v>
      </c>
    </row>
    <row r="14" customFormat="false" ht="15" hidden="false" customHeight="false" outlineLevel="0" collapsed="false">
      <c r="A14" s="5" t="s">
        <v>480</v>
      </c>
      <c r="B14" s="42" t="n">
        <f aca="false">B$10*'Q4 Fee cut'!$C$52</f>
        <v>750</v>
      </c>
      <c r="C14" s="42" t="n">
        <f aca="false">C$10*'Q4 Fee cut'!$C$52</f>
        <v>675</v>
      </c>
      <c r="D14" s="45" t="n">
        <f aca="false">C14-B14</f>
        <v>-75</v>
      </c>
    </row>
    <row r="15" customFormat="false" ht="15" hidden="false" customHeight="false" outlineLevel="0" collapsed="false">
      <c r="A15" s="5" t="s">
        <v>481</v>
      </c>
      <c r="B15" s="42" t="n">
        <f aca="false">B$10*'Q4 Fee cut'!$C$55</f>
        <v>101.25</v>
      </c>
      <c r="C15" s="42" t="n">
        <f aca="false">C$10*'Q4 Fee cut'!$C$55</f>
        <v>91.125</v>
      </c>
      <c r="D15" s="45" t="n">
        <f aca="false">C15-B15</f>
        <v>-10.125</v>
      </c>
      <c r="E15" s="2" t="s">
        <v>482</v>
      </c>
    </row>
    <row r="16" customFormat="false" ht="15" hidden="false" customHeight="false" outlineLevel="0" collapsed="false">
      <c r="A16" s="5" t="s">
        <v>335</v>
      </c>
      <c r="B16" s="42" t="n">
        <f aca="false">B$10*'Q4 Fee cut'!$C$57</f>
        <v>58.4372871872902</v>
      </c>
      <c r="C16" s="42" t="n">
        <f aca="false">C$10*'Q4 Fee cut'!$C$57</f>
        <v>52.5935584685612</v>
      </c>
      <c r="D16" s="45" t="n">
        <f aca="false">C16-B16</f>
        <v>-5.84372871872901</v>
      </c>
    </row>
    <row r="17" customFormat="false" ht="15" hidden="false" customHeight="false" outlineLevel="0" collapsed="false">
      <c r="A17" s="5" t="s">
        <v>483</v>
      </c>
      <c r="B17" s="42" t="n">
        <f aca="false">B$10*'Q4 Fee cut'!$C$56</f>
        <v>268.41926428693</v>
      </c>
      <c r="C17" s="42" t="n">
        <f aca="false">C$10*'Q4 Fee cut'!$C$56</f>
        <v>241.577337858237</v>
      </c>
      <c r="D17" s="45" t="n">
        <f aca="false">C17-B17</f>
        <v>-26.8419264286929</v>
      </c>
    </row>
    <row r="18" customFormat="false" ht="15" hidden="false" customHeight="false" outlineLevel="0" collapsed="false">
      <c r="A18" s="5" t="s">
        <v>484</v>
      </c>
      <c r="B18" s="42" t="n">
        <f aca="false">B$10*'Q4 Fee cut'!$C$53</f>
        <v>1823.67705714772</v>
      </c>
      <c r="C18" s="42" t="n">
        <f aca="false">C$10*'Q4 Fee cut'!$C$53</f>
        <v>1641.30935143295</v>
      </c>
      <c r="D18" s="45" t="n">
        <f aca="false">C18-B18</f>
        <v>-182.367705714772</v>
      </c>
    </row>
    <row r="19" customFormat="false" ht="15" hidden="false" customHeight="false" outlineLevel="0" collapsed="false">
      <c r="A19" s="5" t="s">
        <v>485</v>
      </c>
      <c r="B19" s="45" t="n">
        <f aca="false">B18-B14</f>
        <v>1073.67705714772</v>
      </c>
      <c r="C19" s="45" t="n">
        <f aca="false">C18-C14</f>
        <v>966.309351432947</v>
      </c>
      <c r="D19" s="45" t="n">
        <f aca="false">D18-D14</f>
        <v>-107.367705714772</v>
      </c>
    </row>
    <row r="20" customFormat="false" ht="15" hidden="false" customHeight="false" outlineLevel="0" collapsed="false">
      <c r="A20" s="38" t="s">
        <v>486</v>
      </c>
      <c r="B20" s="41" t="n">
        <f aca="false">B$10*'Q4 Fee cut'!$C$51</f>
        <v>28.2367210799787</v>
      </c>
      <c r="C20" s="41" t="n">
        <f aca="false">C$10*'Q4 Fee cut'!$C$51</f>
        <v>25.4130489719809</v>
      </c>
      <c r="D20" s="46" t="n">
        <f aca="false">C20-B20</f>
        <v>-2.82367210799787</v>
      </c>
      <c r="E20" s="2" t="s">
        <v>487</v>
      </c>
    </row>
    <row r="21" customFormat="false" ht="15" hidden="false" customHeight="false" outlineLevel="0" collapsed="false">
      <c r="A21" s="5" t="s">
        <v>488</v>
      </c>
      <c r="B21" s="35" t="n">
        <f aca="false">'Q4 Fee cut'!$C$50</f>
        <v>0.159361408558221</v>
      </c>
      <c r="C21" s="89" t="n">
        <f aca="false">B21</f>
        <v>0.159361408558221</v>
      </c>
    </row>
    <row r="22" customFormat="false" ht="15" hidden="false" customHeight="false" outlineLevel="0" collapsed="false">
      <c r="A22" s="48" t="s">
        <v>489</v>
      </c>
      <c r="B22" s="119" t="n">
        <f aca="false">'Q4 Fee cut'!$C$54</f>
        <v>2.43156940953029</v>
      </c>
      <c r="C22" s="120" t="n">
        <f aca="false">B22</f>
        <v>2.43156940953029</v>
      </c>
      <c r="D22" s="49"/>
    </row>
    <row r="24" customFormat="false" ht="15" hidden="false" customHeight="false" outlineLevel="0" collapsed="false">
      <c r="A24" s="3" t="s">
        <v>490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false" outlineLevel="0" collapsed="false">
      <c r="A25" s="8" t="s">
        <v>491</v>
      </c>
      <c r="B25" s="23" t="n">
        <v>0</v>
      </c>
      <c r="C25" s="23" t="n">
        <v>1</v>
      </c>
      <c r="D25" s="23" t="n">
        <v>2</v>
      </c>
      <c r="E25" s="23" t="n">
        <v>3</v>
      </c>
      <c r="F25" s="23" t="n">
        <v>4</v>
      </c>
      <c r="G25" s="23" t="n">
        <v>5</v>
      </c>
      <c r="H25" s="23" t="n">
        <v>6</v>
      </c>
      <c r="I25" s="23" t="n">
        <v>7</v>
      </c>
      <c r="J25" s="23" t="n">
        <v>8</v>
      </c>
      <c r="K25" s="23" t="n">
        <v>9</v>
      </c>
      <c r="L25" s="23" t="n">
        <v>10</v>
      </c>
    </row>
    <row r="26" customFormat="false" ht="15" hidden="false" customHeight="false" outlineLevel="0" collapsed="false">
      <c r="A26" s="5" t="s">
        <v>471</v>
      </c>
      <c r="B26" s="42" t="n">
        <f aca="false">$B$10*'Q4 Fee cut'!B$43</f>
        <v>-150</v>
      </c>
      <c r="C26" s="42" t="n">
        <f aca="false">$B$10*'Q4 Fee cut'!C$43</f>
        <v>-150</v>
      </c>
      <c r="D26" s="42" t="n">
        <f aca="false">$B$10*'Q4 Fee cut'!D$43</f>
        <v>-150</v>
      </c>
      <c r="E26" s="42" t="n">
        <f aca="false">$B$10*'Q4 Fee cut'!E$43</f>
        <v>-150</v>
      </c>
      <c r="F26" s="42" t="n">
        <f aca="false">$B$10*'Q4 Fee cut'!F$43</f>
        <v>-150</v>
      </c>
      <c r="G26" s="42" t="n">
        <f aca="false">$B$10*'Q4 Fee cut'!G$43</f>
        <v>249.814512</v>
      </c>
      <c r="H26" s="42" t="n">
        <f aca="false">$B$10*'Q4 Fee cut'!H$43</f>
        <v>237.39193152</v>
      </c>
      <c r="I26" s="42" t="n">
        <f aca="false">$B$10*'Q4 Fee cut'!I$43</f>
        <v>225.4662542592</v>
      </c>
      <c r="J26" s="42" t="n">
        <f aca="false">$B$10*'Q4 Fee cut'!J$43</f>
        <v>178.679543715226</v>
      </c>
      <c r="K26" s="42" t="n">
        <f aca="false">$B$10*'Q4 Fee cut'!K$43</f>
        <v>162.421519940223</v>
      </c>
      <c r="L26" s="42" t="n">
        <f aca="false">$B$10*'Q4 Fee cut'!L$43</f>
        <v>769.90329571307</v>
      </c>
    </row>
    <row r="27" customFormat="false" ht="15" hidden="false" customHeight="false" outlineLevel="0" collapsed="false">
      <c r="A27" s="5" t="s">
        <v>492</v>
      </c>
      <c r="B27" s="42" t="n">
        <f aca="false">$C$10*'Q4 Fee cut'!B$43</f>
        <v>-135</v>
      </c>
      <c r="C27" s="42" t="n">
        <f aca="false">$C$10*'Q4 Fee cut'!C$43</f>
        <v>-135</v>
      </c>
      <c r="D27" s="42" t="n">
        <f aca="false">$C$10*'Q4 Fee cut'!D$43</f>
        <v>-135</v>
      </c>
      <c r="E27" s="42" t="n">
        <f aca="false">$C$10*'Q4 Fee cut'!E$43</f>
        <v>-135</v>
      </c>
      <c r="F27" s="42" t="n">
        <f aca="false">$C$10*'Q4 Fee cut'!F$43</f>
        <v>-135</v>
      </c>
      <c r="G27" s="42" t="n">
        <f aca="false">$C$10*'Q4 Fee cut'!G$43</f>
        <v>224.8330608</v>
      </c>
      <c r="H27" s="42" t="n">
        <f aca="false">$C$10*'Q4 Fee cut'!H$43</f>
        <v>213.652738368</v>
      </c>
      <c r="I27" s="42" t="n">
        <f aca="false">$C$10*'Q4 Fee cut'!I$43</f>
        <v>202.91962883328</v>
      </c>
      <c r="J27" s="42" t="n">
        <f aca="false">$C$10*'Q4 Fee cut'!J$43</f>
        <v>160.811589343703</v>
      </c>
      <c r="K27" s="42" t="n">
        <f aca="false">$C$10*'Q4 Fee cut'!K$43</f>
        <v>146.179367946201</v>
      </c>
      <c r="L27" s="42" t="n">
        <f aca="false">$C$10*'Q4 Fee cut'!L$43</f>
        <v>692.912966141763</v>
      </c>
    </row>
    <row r="28" customFormat="false" ht="15" hidden="false" customHeight="false" outlineLevel="0" collapsed="false">
      <c r="A28" s="8" t="s">
        <v>493</v>
      </c>
      <c r="B28" s="94" t="n">
        <f aca="false">B26-B27</f>
        <v>-15</v>
      </c>
      <c r="C28" s="94" t="n">
        <f aca="false">C26-C27</f>
        <v>-15</v>
      </c>
      <c r="D28" s="94" t="n">
        <f aca="false">D26-D27</f>
        <v>-15</v>
      </c>
      <c r="E28" s="94" t="n">
        <f aca="false">E26-E27</f>
        <v>-15</v>
      </c>
      <c r="F28" s="94" t="n">
        <f aca="false">F26-F27</f>
        <v>-15</v>
      </c>
      <c r="G28" s="94" t="n">
        <f aca="false">G26-G27</f>
        <v>24.9814512</v>
      </c>
      <c r="H28" s="94" t="n">
        <f aca="false">H26-H27</f>
        <v>23.739193152</v>
      </c>
      <c r="I28" s="94" t="n">
        <f aca="false">I26-I27</f>
        <v>22.54662542592</v>
      </c>
      <c r="J28" s="94" t="n">
        <f aca="false">J26-J27</f>
        <v>17.8679543715225</v>
      </c>
      <c r="K28" s="94" t="n">
        <f aca="false">K26-K27</f>
        <v>16.2421519940223</v>
      </c>
      <c r="L28" s="94" t="n">
        <f aca="false">L26-L27</f>
        <v>76.9903295713069</v>
      </c>
    </row>
    <row r="30" customFormat="false" ht="15" hidden="false" customHeight="false" outlineLevel="0" collapsed="false">
      <c r="A30" s="3" t="s">
        <v>494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5" hidden="false" customHeight="false" outlineLevel="0" collapsed="false">
      <c r="A31" s="5" t="s">
        <v>495</v>
      </c>
      <c r="C31" s="39" t="n">
        <f aca="false">Sensitivity!$C$38</f>
        <v>0.190045335373263</v>
      </c>
      <c r="E31" s="2" t="s">
        <v>496</v>
      </c>
    </row>
    <row r="32" customFormat="false" ht="15" hidden="false" customHeight="false" outlineLevel="0" collapsed="false">
      <c r="A32" s="5" t="s">
        <v>497</v>
      </c>
      <c r="C32" s="35" t="n">
        <f aca="false">Inputs!$C$8</f>
        <v>0.2</v>
      </c>
    </row>
    <row r="33" customFormat="false" ht="15" hidden="false" customHeight="false" outlineLevel="0" collapsed="false">
      <c r="A33" s="5" t="s">
        <v>498</v>
      </c>
      <c r="C33" s="121" t="n">
        <f aca="false">IF(ISNUMBER(C31),C32-C31,"n/a")</f>
        <v>0.00995466462673689</v>
      </c>
      <c r="E33" s="2" t="s">
        <v>499</v>
      </c>
    </row>
    <row r="34" customFormat="false" ht="15" hidden="false" customHeight="false" outlineLevel="0" collapsed="false">
      <c r="A34" s="5" t="s">
        <v>500</v>
      </c>
      <c r="C34" s="122" t="n">
        <f aca="false">B21-Inputs!$C$9</f>
        <v>0.00936140855822076</v>
      </c>
    </row>
    <row r="35" customFormat="false" ht="15" hidden="false" customHeight="false" outlineLevel="0" collapsed="false">
      <c r="A35" s="5" t="s">
        <v>501</v>
      </c>
      <c r="C35" s="32" t="n">
        <f aca="false">H57</f>
        <v>-0.167</v>
      </c>
      <c r="D35" s="88" t="n">
        <f aca="false">G59</f>
        <v>0.602002503128911</v>
      </c>
    </row>
    <row r="36" customFormat="false" ht="15" hidden="false" customHeight="false" outlineLevel="0" collapsed="false">
      <c r="A36" s="48" t="s">
        <v>502</v>
      </c>
      <c r="B36" s="49"/>
      <c r="C36" s="67" t="n">
        <f aca="false">Inputs!$C$29+Inputs!$C$30-Inputs!$C$28</f>
        <v>-31.8</v>
      </c>
      <c r="D36" s="49"/>
    </row>
    <row r="38" customFormat="false" ht="15" hidden="false" customHeight="false" outlineLevel="0" collapsed="false">
      <c r="A38" s="3" t="s">
        <v>503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false" outlineLevel="0" collapsed="false">
      <c r="A39" s="8" t="s">
        <v>504</v>
      </c>
      <c r="B39" s="123" t="n">
        <v>0.1</v>
      </c>
      <c r="C39" s="123" t="n">
        <v>0.12</v>
      </c>
      <c r="D39" s="123" t="n">
        <v>0.15</v>
      </c>
      <c r="E39" s="123" t="n">
        <v>0.18</v>
      </c>
      <c r="F39" s="123" t="n">
        <v>0.2</v>
      </c>
      <c r="G39" s="60" t="s">
        <v>341</v>
      </c>
      <c r="I39" s="2" t="s">
        <v>505</v>
      </c>
      <c r="L39" s="44" t="n">
        <f aca="false">MATCH("S2",Engine!$A:$A,0)</f>
        <v>52</v>
      </c>
    </row>
    <row r="40" customFormat="false" ht="15" hidden="false" customHeight="false" outlineLevel="0" collapsed="false">
      <c r="A40" s="24" t="n">
        <v>0</v>
      </c>
      <c r="B40" s="42" t="n">
        <f aca="true">-$D$10*(INDEX(Engine!$W:$W,($L$39+ROUND(($A40-Inputs!$C$38)/Inputs!$C$39,0)))+NPV(B$39,OFFSET(Engine!$X$1,($L$39+ROUND(($A40-Inputs!$C$38)/Inputs!$C$39,0))-1,0,1,Inputs!$C$7)))</f>
        <v>-30.4439481776674</v>
      </c>
      <c r="C40" s="42" t="n">
        <f aca="true">-$D$10*(INDEX(Engine!$W:$W,($L$39+ROUND(($A40-Inputs!$C$38)/Inputs!$C$39,0)))+NPV(C$39,OFFSET(Engine!$X$1,($L$39+ROUND(($A40-Inputs!$C$38)/Inputs!$C$39,0))-1,0,1,Inputs!$C$7)))</f>
        <v>-32.3460122064328</v>
      </c>
      <c r="D40" s="42" t="n">
        <f aca="true">-$D$10*(INDEX(Engine!$W:$W,($L$39+ROUND(($A40-Inputs!$C$38)/Inputs!$C$39,0)))+NPV(D$39,OFFSET(Engine!$X$1,($L$39+ROUND(($A40-Inputs!$C$38)/Inputs!$C$39,0))-1,0,1,Inputs!$C$7)))</f>
        <v>-34.4301081578817</v>
      </c>
      <c r="E40" s="42" t="n">
        <f aca="true">-$D$10*(INDEX(Engine!$W:$W,($L$39+ROUND(($A40-Inputs!$C$38)/Inputs!$C$39,0)))+NPV(E$39,OFFSET(Engine!$X$1,($L$39+ROUND(($A40-Inputs!$C$38)/Inputs!$C$39,0))-1,0,1,Inputs!$C$7)))</f>
        <v>-35.8118403893907</v>
      </c>
      <c r="F40" s="42" t="n">
        <f aca="true">-$D$10*(INDEX(Engine!$W:$W,($L$39+ROUND(($A40-Inputs!$C$38)/Inputs!$C$39,0)))+NPV(F$39,OFFSET(Engine!$X$1,($L$39+ROUND(($A40-Inputs!$C$38)/Inputs!$C$39,0))-1,0,1,Inputs!$C$7)))</f>
        <v>-36.4367451430614</v>
      </c>
      <c r="G40" s="35" t="n">
        <f aca="false">INDEX(Engine!$K:$K,($L$39+ROUND(($A40-Inputs!$C$38)/Inputs!$C$39,0)))</f>
        <v>-0.025625197842692</v>
      </c>
    </row>
    <row r="41" customFormat="false" ht="15" hidden="false" customHeight="false" outlineLevel="0" collapsed="false">
      <c r="A41" s="24" t="n">
        <v>0.05</v>
      </c>
      <c r="B41" s="42" t="n">
        <f aca="true">-$D$10*(INDEX(Engine!$W:$W,($L$39+ROUND(($A41-Inputs!$C$38)/Inputs!$C$39,0)))+NPV(B$39,OFFSET(Engine!$X$1,($L$39+ROUND(($A41-Inputs!$C$38)/Inputs!$C$39,0))-1,0,1,Inputs!$C$7)))</f>
        <v>-21.1903887880856</v>
      </c>
      <c r="C41" s="42" t="n">
        <f aca="true">-$D$10*(INDEX(Engine!$W:$W,($L$39+ROUND(($A41-Inputs!$C$38)/Inputs!$C$39,0)))+NPV(C$39,OFFSET(Engine!$X$1,($L$39+ROUND(($A41-Inputs!$C$38)/Inputs!$C$39,0))-1,0,1,Inputs!$C$7)))</f>
        <v>-24.3147599431272</v>
      </c>
      <c r="D41" s="42" t="n">
        <f aca="true">-$D$10*(INDEX(Engine!$W:$W,($L$39+ROUND(($A41-Inputs!$C$38)/Inputs!$C$39,0)))+NPV(D$39,OFFSET(Engine!$X$1,($L$39+ROUND(($A41-Inputs!$C$38)/Inputs!$C$39,0))-1,0,1,Inputs!$C$7)))</f>
        <v>-27.892300757879</v>
      </c>
      <c r="E41" s="42" t="n">
        <f aca="true">-$D$10*(INDEX(Engine!$W:$W,($L$39+ROUND(($A41-Inputs!$C$38)/Inputs!$C$39,0)))+NPV(E$39,OFFSET(Engine!$X$1,($L$39+ROUND(($A41-Inputs!$C$38)/Inputs!$C$39,0))-1,0,1,Inputs!$C$7)))</f>
        <v>-30.4486213161062</v>
      </c>
      <c r="F41" s="42" t="n">
        <f aca="true">-$D$10*(INDEX(Engine!$W:$W,($L$39+ROUND(($A41-Inputs!$C$38)/Inputs!$C$39,0)))+NPV(F$39,OFFSET(Engine!$X$1,($L$39+ROUND(($A41-Inputs!$C$38)/Inputs!$C$39,0))-1,0,1,Inputs!$C$7)))</f>
        <v>-31.7177330893213</v>
      </c>
      <c r="G41" s="35" t="n">
        <f aca="false">INDEX(Engine!$K:$K,($L$39+ROUND(($A41-Inputs!$C$38)/Inputs!$C$39,0)))</f>
        <v>0.0218360808430908</v>
      </c>
    </row>
    <row r="42" customFormat="false" ht="15" hidden="false" customHeight="false" outlineLevel="0" collapsed="false">
      <c r="A42" s="24" t="n">
        <v>0.1</v>
      </c>
      <c r="B42" s="42" t="n">
        <f aca="true">-$D$10*(INDEX(Engine!$W:$W,($L$39+ROUND(($A42-Inputs!$C$38)/Inputs!$C$39,0)))+NPV(B$39,OFFSET(Engine!$X$1,($L$39+ROUND(($A42-Inputs!$C$38)/Inputs!$C$39,0))-1,0,1,Inputs!$C$7)))</f>
        <v>-10.0936706666522</v>
      </c>
      <c r="C42" s="42" t="n">
        <f aca="true">-$D$10*(INDEX(Engine!$W:$W,($L$39+ROUND(($A42-Inputs!$C$38)/Inputs!$C$39,0)))+NPV(C$39,OFFSET(Engine!$X$1,($L$39+ROUND(($A42-Inputs!$C$38)/Inputs!$C$39,0))-1,0,1,Inputs!$C$7)))</f>
        <v>-14.6831523022226</v>
      </c>
      <c r="D42" s="42" t="n">
        <f aca="true">-$D$10*(INDEX(Engine!$W:$W,($L$39+ROUND(($A42-Inputs!$C$38)/Inputs!$C$39,0)))+NPV(D$39,OFFSET(Engine!$X$1,($L$39+ROUND(($A42-Inputs!$C$38)/Inputs!$C$39,0))-1,0,1,Inputs!$C$7)))</f>
        <v>-20.0515735934891</v>
      </c>
      <c r="E42" s="42" t="n">
        <f aca="true">-$D$10*(INDEX(Engine!$W:$W,($L$39+ROUND(($A42-Inputs!$C$38)/Inputs!$C$39,0)))+NPV(E$39,OFFSET(Engine!$X$1,($L$39+ROUND(($A42-Inputs!$C$38)/Inputs!$C$39,0))-1,0,1,Inputs!$C$7)))</f>
        <v>-24.0170339614049</v>
      </c>
      <c r="F42" s="42" t="n">
        <f aca="true">-$D$10*(INDEX(Engine!$W:$W,($L$39+ROUND(($A42-Inputs!$C$38)/Inputs!$C$39,0)))+NPV(F$39,OFFSET(Engine!$X$1,($L$39+ROUND(($A42-Inputs!$C$38)/Inputs!$C$39,0))-1,0,1,Inputs!$C$7)))</f>
        <v>-26.0592254403381</v>
      </c>
      <c r="G42" s="35" t="n">
        <f aca="false">INDEX(Engine!$K:$K,($L$39+ROUND(($A42-Inputs!$C$38)/Inputs!$C$39,0)))</f>
        <v>0.0664745873122854</v>
      </c>
    </row>
    <row r="43" customFormat="false" ht="15" hidden="false" customHeight="false" outlineLevel="0" collapsed="false">
      <c r="A43" s="24" t="n">
        <v>0.15</v>
      </c>
      <c r="B43" s="42" t="n">
        <f aca="true">-$D$10*(INDEX(Engine!$W:$W,($L$39+ROUND(($A43-Inputs!$C$38)/Inputs!$C$39,0)))+NPV(B$39,OFFSET(Engine!$X$1,($L$39+ROUND(($A43-Inputs!$C$38)/Inputs!$C$39,0))-1,0,1,Inputs!$C$7)))</f>
        <v>4.27979699115172</v>
      </c>
      <c r="C43" s="42" t="n">
        <f aca="true">-$D$10*(INDEX(Engine!$W:$W,($L$39+ROUND(($A43-Inputs!$C$38)/Inputs!$C$39,0)))+NPV(C$39,OFFSET(Engine!$X$1,($L$39+ROUND(($A43-Inputs!$C$38)/Inputs!$C$39,0))-1,0,1,Inputs!$C$7)))</f>
        <v>-2.26331564856295</v>
      </c>
      <c r="D43" s="42" t="n">
        <f aca="true">-$D$10*(INDEX(Engine!$W:$W,($L$39+ROUND(($A43-Inputs!$C$38)/Inputs!$C$39,0)))+NPV(D$39,OFFSET(Engine!$X$1,($L$39+ROUND(($A43-Inputs!$C$38)/Inputs!$C$39,0))-1,0,1,Inputs!$C$7)))</f>
        <v>-10.0061747116131</v>
      </c>
      <c r="E43" s="42" t="n">
        <f aca="true">-$D$10*(INDEX(Engine!$W:$W,($L$39+ROUND(($A43-Inputs!$C$38)/Inputs!$C$39,0)))+NPV(E$39,OFFSET(Engine!$X$1,($L$39+ROUND(($A43-Inputs!$C$38)/Inputs!$C$39,0))-1,0,1,Inputs!$C$7)))</f>
        <v>-15.827401999266</v>
      </c>
      <c r="F43" s="42" t="n">
        <f aca="true">-$D$10*(INDEX(Engine!$W:$W,($L$39+ROUND(($A43-Inputs!$C$38)/Inputs!$C$39,0)))+NPV(F$39,OFFSET(Engine!$X$1,($L$39+ROUND(($A43-Inputs!$C$38)/Inputs!$C$39,0))-1,0,1,Inputs!$C$7)))</f>
        <v>-18.8821159936322</v>
      </c>
      <c r="G43" s="35" t="n">
        <f aca="false">INDEX(Engine!$K:$K,($L$39+ROUND(($A43-Inputs!$C$38)/Inputs!$C$39,0)))</f>
        <v>0.11263957351201</v>
      </c>
    </row>
    <row r="44" customFormat="false" ht="15" hidden="false" customHeight="false" outlineLevel="0" collapsed="false">
      <c r="A44" s="24" t="n">
        <v>0.18</v>
      </c>
      <c r="B44" s="42" t="n">
        <f aca="true">-$D$10*(INDEX(Engine!$W:$W,($L$39+ROUND(($A44-Inputs!$C$38)/Inputs!$C$39,0)))+NPV(B$39,OFFSET(Engine!$X$1,($L$39+ROUND(($A44-Inputs!$C$38)/Inputs!$C$39,0))-1,0,1,Inputs!$C$7)))</f>
        <v>14.8247155684735</v>
      </c>
      <c r="C44" s="42" t="n">
        <f aca="true">-$D$10*(INDEX(Engine!$W:$W,($L$39+ROUND(($A44-Inputs!$C$38)/Inputs!$C$39,0)))+NPV(C$39,OFFSET(Engine!$X$1,($L$39+ROUND(($A44-Inputs!$C$38)/Inputs!$C$39,0))-1,0,1,Inputs!$C$7)))</f>
        <v>6.81285704117412</v>
      </c>
      <c r="D44" s="42" t="n">
        <f aca="true">-$D$10*(INDEX(Engine!$W:$W,($L$39+ROUND(($A44-Inputs!$C$38)/Inputs!$C$39,0)))+NPV(D$39,OFFSET(Engine!$X$1,($L$39+ROUND(($A44-Inputs!$C$38)/Inputs!$C$39,0))-1,0,1,Inputs!$C$7)))</f>
        <v>-2.70700546291887</v>
      </c>
      <c r="E44" s="42" t="n">
        <f aca="true">-$D$10*(INDEX(Engine!$W:$W,($L$39+ROUND(($A44-Inputs!$C$38)/Inputs!$C$39,0)))+NPV(E$39,OFFSET(Engine!$X$1,($L$39+ROUND(($A44-Inputs!$C$38)/Inputs!$C$39,0))-1,0,1,Inputs!$C$7)))</f>
        <v>-9.90945512278042</v>
      </c>
      <c r="F44" s="42" t="n">
        <f aca="true">-$D$10*(INDEX(Engine!$W:$W,($L$39+ROUND(($A44-Inputs!$C$38)/Inputs!$C$39,0)))+NPV(F$39,OFFSET(Engine!$X$1,($L$39+ROUND(($A44-Inputs!$C$38)/Inputs!$C$39,0))-1,0,1,Inputs!$C$7)))</f>
        <v>-13.7143252399044</v>
      </c>
      <c r="G44" s="35" t="n">
        <f aca="false">INDEX(Engine!$K:$K,($L$39+ROUND(($A44-Inputs!$C$38)/Inputs!$C$39,0)))</f>
        <v>0.140581309673615</v>
      </c>
    </row>
    <row r="45" customFormat="false" ht="15" hidden="false" customHeight="false" outlineLevel="0" collapsed="false">
      <c r="A45" s="24" t="n">
        <v>0.2</v>
      </c>
      <c r="B45" s="42" t="n">
        <f aca="true">-$D$10*(INDEX(Engine!$W:$W,($L$39+ROUND(($A45-Inputs!$C$38)/Inputs!$C$39,0)))+NPV(B$39,OFFSET(Engine!$X$1,($L$39+ROUND(($A45-Inputs!$C$38)/Inputs!$C$39,0))-1,0,1,Inputs!$C$7)))</f>
        <v>22.8405690452954</v>
      </c>
      <c r="C45" s="42" t="n">
        <f aca="true">-$D$10*(INDEX(Engine!$W:$W,($L$39+ROUND(($A45-Inputs!$C$38)/Inputs!$C$39,0)))+NPV(C$39,OFFSET(Engine!$X$1,($L$39+ROUND(($A45-Inputs!$C$38)/Inputs!$C$39,0))-1,0,1,Inputs!$C$7)))</f>
        <v>13.7033439921957</v>
      </c>
      <c r="D45" s="42" t="n">
        <f aca="true">-$D$10*(INDEX(Engine!$W:$W,($L$39+ROUND(($A45-Inputs!$C$38)/Inputs!$C$39,0)))+NPV(D$39,OFFSET(Engine!$X$1,($L$39+ROUND(($A45-Inputs!$C$38)/Inputs!$C$39,0))-1,0,1,Inputs!$C$7)))</f>
        <v>2.82367210799786</v>
      </c>
      <c r="E45" s="42" t="n">
        <f aca="true">-$D$10*(INDEX(Engine!$W:$W,($L$39+ROUND(($A45-Inputs!$C$38)/Inputs!$C$39,0)))+NPV(E$39,OFFSET(Engine!$X$1,($L$39+ROUND(($A45-Inputs!$C$38)/Inputs!$C$39,0))-1,0,1,Inputs!$C$7)))</f>
        <v>-5.43404270262691</v>
      </c>
      <c r="F45" s="42" t="n">
        <f aca="true">-$D$10*(INDEX(Engine!$W:$W,($L$39+ROUND(($A45-Inputs!$C$38)/Inputs!$C$39,0)))+NPV(F$39,OFFSET(Engine!$X$1,($L$39+ROUND(($A45-Inputs!$C$38)/Inputs!$C$39,0))-1,0,1,Inputs!$C$7)))</f>
        <v>-9.81125540666437</v>
      </c>
      <c r="G45" s="35" t="n">
        <f aca="false">INDEX(Engine!$K:$K,($L$39+ROUND(($A45-Inputs!$C$38)/Inputs!$C$39,0)))</f>
        <v>0.159361408558221</v>
      </c>
    </row>
    <row r="46" customFormat="false" ht="15" hidden="false" customHeight="false" outlineLevel="0" collapsed="false">
      <c r="A46" s="24" t="n">
        <v>0.22</v>
      </c>
      <c r="B46" s="42" t="n">
        <f aca="true">-$D$10*(INDEX(Engine!$W:$W,($L$39+ROUND(($A46-Inputs!$C$38)/Inputs!$C$39,0)))+NPV(B$39,OFFSET(Engine!$X$1,($L$39+ROUND(($A46-Inputs!$C$38)/Inputs!$C$39,0))-1,0,1,Inputs!$C$7)))</f>
        <v>31.7270084136056</v>
      </c>
      <c r="C46" s="42" t="n">
        <f aca="true">-$D$10*(INDEX(Engine!$W:$W,($L$39+ROUND(($A46-Inputs!$C$38)/Inputs!$C$39,0)))+NPV(C$39,OFFSET(Engine!$X$1,($L$39+ROUND(($A46-Inputs!$C$38)/Inputs!$C$39,0))-1,0,1,Inputs!$C$7)))</f>
        <v>21.3318835992336</v>
      </c>
      <c r="D46" s="42" t="n">
        <f aca="true">-$D$10*(INDEX(Engine!$W:$W,($L$39+ROUND(($A46-Inputs!$C$38)/Inputs!$C$39,0)))+NPV(D$39,OFFSET(Engine!$X$1,($L$39+ROUND(($A46-Inputs!$C$38)/Inputs!$C$39,0))-1,0,1,Inputs!$C$7)))</f>
        <v>8.93427404672344</v>
      </c>
      <c r="E46" s="42" t="n">
        <f aca="true">-$D$10*(INDEX(Engine!$W:$W,($L$39+ROUND(($A46-Inputs!$C$38)/Inputs!$C$39,0)))+NPV(E$39,OFFSET(Engine!$X$1,($L$39+ROUND(($A46-Inputs!$C$38)/Inputs!$C$39,0))-1,0,1,Inputs!$C$7)))</f>
        <v>-0.499469855798834</v>
      </c>
      <c r="F46" s="42" t="n">
        <f aca="true">-$D$10*(INDEX(Engine!$W:$W,($L$39+ROUND(($A46-Inputs!$C$38)/Inputs!$C$39,0)))+NPV(F$39,OFFSET(Engine!$X$1,($L$39+ROUND(($A46-Inputs!$C$38)/Inputs!$C$39,0))-1,0,1,Inputs!$C$7)))</f>
        <v>-5.5136124029411</v>
      </c>
      <c r="G46" s="35" t="n">
        <f aca="false">INDEX(Engine!$K:$K,($L$39+ROUND(($A46-Inputs!$C$38)/Inputs!$C$39,0)))</f>
        <v>0.178190814363655</v>
      </c>
    </row>
    <row r="47" customFormat="false" ht="15" hidden="false" customHeight="false" outlineLevel="0" collapsed="false">
      <c r="A47" s="24" t="n">
        <v>0.25</v>
      </c>
      <c r="B47" s="42" t="n">
        <f aca="true">-$D$10*(INDEX(Engine!$W:$W,($L$39+ROUND(($A47-Inputs!$C$38)/Inputs!$C$39,0)))+NPV(B$39,OFFSET(Engine!$X$1,($L$39+ROUND(($A47-Inputs!$C$38)/Inputs!$C$39,0))-1,0,1,Inputs!$C$7)))</f>
        <v>46.8626989840378</v>
      </c>
      <c r="C47" s="42" t="n">
        <f aca="true">-$D$10*(INDEX(Engine!$W:$W,($L$39+ROUND(($A47-Inputs!$C$38)/Inputs!$C$39,0)))+NPV(C$39,OFFSET(Engine!$X$1,($L$39+ROUND(($A47-Inputs!$C$38)/Inputs!$C$39,0))-1,0,1,Inputs!$C$7)))</f>
        <v>34.2994655745646</v>
      </c>
      <c r="D47" s="42" t="n">
        <f aca="true">-$D$10*(INDEX(Engine!$W:$W,($L$39+ROUND(($A47-Inputs!$C$38)/Inputs!$C$39,0)))+NPV(D$39,OFFSET(Engine!$X$1,($L$39+ROUND(($A47-Inputs!$C$38)/Inputs!$C$39,0))-1,0,1,Inputs!$C$7)))</f>
        <v>19.2905183784049</v>
      </c>
      <c r="E47" s="42" t="n">
        <f aca="true">-$D$10*(INDEX(Engine!$W:$W,($L$39+ROUND(($A47-Inputs!$C$38)/Inputs!$C$39,0)))+NPV(E$39,OFFSET(Engine!$X$1,($L$39+ROUND(($A47-Inputs!$C$38)/Inputs!$C$39,0))-1,0,1,Inputs!$C$7)))</f>
        <v>7.83845262186193</v>
      </c>
      <c r="F47" s="42" t="n">
        <f aca="true">-$D$10*(INDEX(Engine!$W:$W,($L$39+ROUND(($A47-Inputs!$C$38)/Inputs!$C$39,0)))+NPV(F$39,OFFSET(Engine!$X$1,($L$39+ROUND(($A47-Inputs!$C$38)/Inputs!$C$39,0))-1,0,1,Inputs!$C$7)))</f>
        <v>1.73346099218558</v>
      </c>
      <c r="G47" s="35" t="n">
        <f aca="false">INDEX(Engine!$K:$K,($L$39+ROUND(($A47-Inputs!$C$38)/Inputs!$C$39,0)))</f>
        <v>0.206384877129988</v>
      </c>
    </row>
    <row r="48" customFormat="false" ht="15" hidden="false" customHeight="false" outlineLevel="0" collapsed="false">
      <c r="A48" s="124" t="n">
        <v>0.3</v>
      </c>
      <c r="B48" s="67" t="n">
        <f aca="true">-$D$10*(INDEX(Engine!$W:$W,($L$39+ROUND(($A48-Inputs!$C$38)/Inputs!$C$39,0)))+NPV(B$39,OFFSET(Engine!$X$1,($L$39+ROUND(($A48-Inputs!$C$38)/Inputs!$C$39,0))-1,0,1,Inputs!$C$7)))</f>
        <v>77.933117178929</v>
      </c>
      <c r="C48" s="67" t="n">
        <f aca="true">-$D$10*(INDEX(Engine!$W:$W,($L$39+ROUND(($A48-Inputs!$C$38)/Inputs!$C$39,0)))+NPV(C$39,OFFSET(Engine!$X$1,($L$39+ROUND(($A48-Inputs!$C$38)/Inputs!$C$39,0))-1,0,1,Inputs!$C$7)))</f>
        <v>60.8733145133117</v>
      </c>
      <c r="D48" s="67" t="n">
        <f aca="true">-$D$10*(INDEX(Engine!$W:$W,($L$39+ROUND(($A48-Inputs!$C$38)/Inputs!$C$39,0)))+NPV(D$39,OFFSET(Engine!$X$1,($L$39+ROUND(($A48-Inputs!$C$38)/Inputs!$C$39,0))-1,0,1,Inputs!$C$7)))</f>
        <v>40.4574627780695</v>
      </c>
      <c r="E48" s="67" t="n">
        <f aca="true">-$D$10*(INDEX(Engine!$W:$W,($L$39+ROUND(($A48-Inputs!$C$38)/Inputs!$C$39,0)))+NPV(E$39,OFFSET(Engine!$X$1,($L$39+ROUND(($A48-Inputs!$C$38)/Inputs!$C$39,0))-1,0,1,Inputs!$C$7)))</f>
        <v>24.8349455681227</v>
      </c>
      <c r="F48" s="67" t="n">
        <f aca="true">-$D$10*(INDEX(Engine!$W:$W,($L$39+ROUND(($A48-Inputs!$C$38)/Inputs!$C$39,0)))+NPV(F$39,OFFSET(Engine!$X$1,($L$39+ROUND(($A48-Inputs!$C$38)/Inputs!$C$39,0))-1,0,1,Inputs!$C$7)))</f>
        <v>16.479941011363</v>
      </c>
      <c r="G48" s="70" t="n">
        <f aca="false">INDEX(Engine!$K:$K,($L$39+ROUND(($A48-Inputs!$C$38)/Inputs!$C$39,0)))</f>
        <v>0.253691211589088</v>
      </c>
    </row>
    <row r="49" customFormat="false" ht="15" hidden="false" customHeight="false" outlineLevel="0" collapsed="false">
      <c r="A49" s="2" t="s">
        <v>506</v>
      </c>
    </row>
    <row r="51" customFormat="false" ht="15" hidden="false" customHeight="false" outlineLevel="0" collapsed="false">
      <c r="A51" s="3" t="s">
        <v>507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false" outlineLevel="0" collapsed="false">
      <c r="A52" s="8" t="s">
        <v>508</v>
      </c>
      <c r="B52" s="60" t="s">
        <v>368</v>
      </c>
      <c r="C52" s="60" t="s">
        <v>509</v>
      </c>
      <c r="D52" s="60" t="s">
        <v>510</v>
      </c>
      <c r="E52" s="60" t="s">
        <v>511</v>
      </c>
      <c r="F52" s="60" t="s">
        <v>512</v>
      </c>
      <c r="G52" s="60" t="s">
        <v>513</v>
      </c>
      <c r="H52" s="60" t="s">
        <v>514</v>
      </c>
    </row>
    <row r="53" customFormat="false" ht="15" hidden="false" customHeight="false" outlineLevel="0" collapsed="false">
      <c r="A53" s="5" t="s">
        <v>515</v>
      </c>
      <c r="B53" s="98" t="s">
        <v>375</v>
      </c>
      <c r="C53" s="29" t="n">
        <v>50</v>
      </c>
      <c r="D53" s="29" t="n">
        <v>51.3</v>
      </c>
      <c r="E53" s="29" t="n">
        <v>181.1</v>
      </c>
      <c r="F53" s="29" t="n">
        <v>0</v>
      </c>
      <c r="G53" s="88" t="n">
        <f aca="false">IF(D53=0,0,(E53+F53)/D53)</f>
        <v>3.53021442495127</v>
      </c>
      <c r="H53" s="30" t="n">
        <v>0.363</v>
      </c>
    </row>
    <row r="54" customFormat="false" ht="15" hidden="false" customHeight="false" outlineLevel="0" collapsed="false">
      <c r="A54" s="5" t="s">
        <v>516</v>
      </c>
      <c r="B54" s="98" t="s">
        <v>377</v>
      </c>
      <c r="C54" s="29" t="n">
        <v>300</v>
      </c>
      <c r="D54" s="29" t="n">
        <v>327.4</v>
      </c>
      <c r="E54" s="29" t="n">
        <v>547.8</v>
      </c>
      <c r="F54" s="29" t="n">
        <v>4.8</v>
      </c>
      <c r="G54" s="88" t="n">
        <f aca="false">IF(D54=0,0,(E54+F54)/D54)</f>
        <v>1.68784361637141</v>
      </c>
      <c r="H54" s="30" t="n">
        <v>0.099</v>
      </c>
    </row>
    <row r="55" customFormat="false" ht="15" hidden="false" customHeight="false" outlineLevel="0" collapsed="false">
      <c r="A55" s="5" t="s">
        <v>517</v>
      </c>
      <c r="B55" s="98" t="s">
        <v>379</v>
      </c>
      <c r="C55" s="29" t="n">
        <v>300</v>
      </c>
      <c r="D55" s="29" t="n">
        <v>284.5</v>
      </c>
      <c r="E55" s="29" t="n">
        <v>565.7</v>
      </c>
      <c r="F55" s="29" t="n">
        <v>83.7</v>
      </c>
      <c r="G55" s="88" t="n">
        <f aca="false">IF(D55=0,0,(E55+F55)/D55)</f>
        <v>2.28260105448155</v>
      </c>
      <c r="H55" s="30" t="n">
        <v>0.245</v>
      </c>
    </row>
    <row r="56" customFormat="false" ht="15" hidden="false" customHeight="false" outlineLevel="0" collapsed="false">
      <c r="A56" s="5" t="s">
        <v>518</v>
      </c>
      <c r="B56" s="98" t="s">
        <v>381</v>
      </c>
      <c r="C56" s="29" t="n">
        <v>300</v>
      </c>
      <c r="D56" s="29" t="n">
        <v>330.8</v>
      </c>
      <c r="E56" s="29" t="n">
        <v>198.8</v>
      </c>
      <c r="F56" s="29" t="n">
        <v>226.9</v>
      </c>
      <c r="G56" s="88" t="n">
        <f aca="false">IF(D56=0,0,(E56+F56)/D56)</f>
        <v>1.28688029020556</v>
      </c>
      <c r="H56" s="30" t="n">
        <v>0.112</v>
      </c>
    </row>
    <row r="57" customFormat="false" ht="15" hidden="false" customHeight="false" outlineLevel="0" collapsed="false">
      <c r="A57" s="5" t="s">
        <v>519</v>
      </c>
      <c r="B57" s="98" t="s">
        <v>194</v>
      </c>
      <c r="C57" s="29" t="n">
        <v>300</v>
      </c>
      <c r="D57" s="29" t="n">
        <v>253.1</v>
      </c>
      <c r="E57" s="29" t="n">
        <v>48.5</v>
      </c>
      <c r="F57" s="29" t="n">
        <v>131.3</v>
      </c>
      <c r="G57" s="88" t="n">
        <f aca="false">IF(D57=0,0,(E57+F57)/D57)</f>
        <v>0.710391149743185</v>
      </c>
      <c r="H57" s="30" t="n">
        <v>-0.167</v>
      </c>
    </row>
    <row r="58" customFormat="false" ht="15" hidden="false" customHeight="false" outlineLevel="0" collapsed="false">
      <c r="A58" s="5" t="s">
        <v>520</v>
      </c>
      <c r="B58" s="98" t="s">
        <v>195</v>
      </c>
      <c r="C58" s="29" t="n">
        <v>100</v>
      </c>
      <c r="D58" s="29" t="n">
        <v>29.9</v>
      </c>
      <c r="E58" s="29" t="n">
        <v>0.2</v>
      </c>
      <c r="F58" s="29" t="n">
        <v>23.6</v>
      </c>
      <c r="G58" s="88" t="n">
        <f aca="false">IF(D58=0,0,(E58+F58)/D58)</f>
        <v>0.795986622073579</v>
      </c>
      <c r="H58" s="125" t="s">
        <v>521</v>
      </c>
    </row>
    <row r="59" customFormat="false" ht="15" hidden="false" customHeight="false" outlineLevel="0" collapsed="false">
      <c r="A59" s="5" t="s">
        <v>383</v>
      </c>
      <c r="B59" s="98" t="s">
        <v>196</v>
      </c>
      <c r="C59" s="29" t="n">
        <v>750</v>
      </c>
      <c r="D59" s="29" t="n">
        <v>79.9</v>
      </c>
      <c r="E59" s="29" t="n">
        <v>0.6</v>
      </c>
      <c r="F59" s="29" t="n">
        <v>47.5</v>
      </c>
      <c r="G59" s="88" t="n">
        <f aca="false">IF(D59=0,0,(E59+F59)/D59)</f>
        <v>0.602002503128911</v>
      </c>
      <c r="H59" s="125" t="s">
        <v>521</v>
      </c>
    </row>
    <row r="60" customFormat="false" ht="15" hidden="false" customHeight="false" outlineLevel="0" collapsed="false">
      <c r="A60" s="8" t="s">
        <v>522</v>
      </c>
      <c r="B60" s="49"/>
      <c r="C60" s="94" t="n">
        <f aca="false">SUM(C53:C59)</f>
        <v>2100</v>
      </c>
      <c r="D60" s="94" t="n">
        <f aca="false">SUM(D53:D59)</f>
        <v>1356.9</v>
      </c>
      <c r="E60" s="94" t="n">
        <f aca="false">SUM(E53:E59)</f>
        <v>1542.7</v>
      </c>
      <c r="F60" s="94" t="n">
        <f aca="false">SUM(F53:F59)</f>
        <v>517.8</v>
      </c>
      <c r="G60" s="126" t="n">
        <f aca="false">IF(D60=0,0,(E60+F60)/D60)</f>
        <v>1.51853489571818</v>
      </c>
      <c r="H60" s="127" t="s">
        <v>523</v>
      </c>
    </row>
    <row r="61" customFormat="false" ht="15" hidden="false" customHeight="false" outlineLevel="0" collapsed="false">
      <c r="A61" s="2" t="s">
        <v>524</v>
      </c>
    </row>
    <row r="63" customFormat="false" ht="15" hidden="false" customHeight="false" outlineLevel="0" collapsed="false">
      <c r="A63" s="3" t="s">
        <v>525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false" outlineLevel="0" collapsed="false">
      <c r="A64" s="5" t="s">
        <v>526</v>
      </c>
      <c r="C64" s="47" t="n">
        <f aca="false">Inputs!$C$32</f>
        <v>45800</v>
      </c>
    </row>
    <row r="65" customFormat="false" ht="15" hidden="false" customHeight="false" outlineLevel="0" collapsed="false">
      <c r="A65" s="5" t="s">
        <v>527</v>
      </c>
      <c r="C65" s="47" t="n">
        <f aca="false">Inputs!$C$33</f>
        <v>9800</v>
      </c>
    </row>
    <row r="66" customFormat="false" ht="15" hidden="false" customHeight="false" outlineLevel="0" collapsed="false">
      <c r="A66" s="5" t="s">
        <v>528</v>
      </c>
      <c r="C66" s="36" t="n">
        <f aca="false">Inputs!$C$34</f>
        <v>0.219</v>
      </c>
    </row>
    <row r="67" customFormat="false" ht="15" hidden="false" customHeight="false" outlineLevel="0" collapsed="false">
      <c r="A67" s="5" t="s">
        <v>124</v>
      </c>
      <c r="C67" s="36" t="n">
        <f aca="false">Inputs!$C$35</f>
        <v>0.16</v>
      </c>
    </row>
    <row r="68" customFormat="false" ht="15" hidden="false" customHeight="false" outlineLevel="0" collapsed="false">
      <c r="A68" s="5" t="s">
        <v>529</v>
      </c>
      <c r="C68" s="47" t="n">
        <f aca="false">Inputs!$C$32*Inputs!$C$35</f>
        <v>7328</v>
      </c>
    </row>
    <row r="69" customFormat="false" ht="15" hidden="false" customHeight="false" outlineLevel="0" collapsed="false">
      <c r="A69" s="5" t="s">
        <v>530</v>
      </c>
      <c r="C69" s="47" t="n">
        <f aca="false">(Inputs!$C$34-Inputs!$C$35)*Inputs!$C$32</f>
        <v>2702.2</v>
      </c>
    </row>
    <row r="70" customFormat="false" ht="15" hidden="false" customHeight="false" outlineLevel="0" collapsed="false">
      <c r="A70" s="5" t="s">
        <v>531</v>
      </c>
      <c r="C70" s="32" t="n">
        <f aca="false">IF(C69=0,0,-$D$6/C69)</f>
        <v>0.0277551624602176</v>
      </c>
    </row>
    <row r="71" customFormat="false" ht="15" hidden="false" customHeight="false" outlineLevel="0" collapsed="false">
      <c r="A71" s="5" t="s">
        <v>532</v>
      </c>
      <c r="C71" s="105" t="n">
        <f aca="false">-$D$6/Inputs!$C$32</f>
        <v>0.00163755458515284</v>
      </c>
    </row>
    <row r="72" customFormat="false" ht="15" hidden="false" customHeight="false" outlineLevel="0" collapsed="false">
      <c r="A72" s="48" t="s">
        <v>533</v>
      </c>
      <c r="B72" s="49"/>
      <c r="C72" s="128" t="n">
        <f aca="false">$B$8/Inputs!$C$32</f>
        <v>0.0146310043668122</v>
      </c>
      <c r="D72" s="49"/>
    </row>
    <row r="73" customFormat="false" ht="15" hidden="false" customHeight="false" outlineLevel="0" collapsed="false">
      <c r="A73" s="2" t="s">
        <v>534</v>
      </c>
    </row>
    <row r="75" customFormat="false" ht="15" hidden="false" customHeight="false" outlineLevel="0" collapsed="false">
      <c r="A75" s="3" t="s">
        <v>535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false" outlineLevel="0" collapsed="false">
      <c r="A76" s="5" t="str">
        <f aca="false">"Keeping the full $750m is worth $"&amp;TEXT(B20,"#,##0.0")&amp;"m NPV at 15%; the $75m tranche alone is worth $"&amp;TEXT(-D20,"#,##0.0")&amp;"m."</f>
        <v>Keeping the full $750m is worth $28.2m NPV at 15%; the $75m tranche alone is worth $2.8m.</v>
      </c>
    </row>
    <row r="77" customFormat="false" ht="15" hidden="false" customHeight="false" outlineLevel="0" collapsed="false">
      <c r="A77" s="5" t="str">
        <f aca="false">"Cutting saves $"&amp;TEXT(-D15,"#,##0.0")&amp;"m of fees over 10 years, but the $75m only destroys value if TPG VI assets grow less than "&amp;IF(ISNUMBER(C31),TEXT(C31,"0.0%"),"n/a")&amp;" a year."</f>
        <v>Cutting saves $10.1m of fees over 10 years, but the $75m only destroys value if TPG VI assets grow less than 19.0% a year.</v>
      </c>
    </row>
    <row r="78" customFormat="false" ht="15" hidden="false" customHeight="false" outlineLevel="0" collapsed="false">
      <c r="A78" s="5" t="str">
        <f aca="false">"Base case sits only "&amp;IF(ISNUMBER(C33),TEXT(C33*100,"0.0"),"n/a")&amp;" percentage points above break-even — the decision turns on OPERF's view of 2009–13 buyout returns, not on fees."</f>
        <v>Base case sits only 1.0 percentage points above break-even — the decision turns on OPERF's view of 2009–13 buyout returns, not on fees.</v>
      </c>
    </row>
    <row r="79" customFormat="false" ht="15" hidden="false" customHeight="false" outlineLevel="0" collapsed="false">
      <c r="A79" s="5" t="str">
        <f aca="false">"Section E: at a 15% required return the $75m is worth $"&amp;TEXT(D45,"#,##0.0")&amp;"m at 20% growth but $"&amp;TEXT(D43,"#,##0.0")&amp;"m at 15% growth."</f>
        <v>Section E: at a 15% required return the $75m is worth $2.8m at 20% growth but $-10.0m at 15% growth.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3"/>
  </cols>
  <sheetData>
    <row r="1" customFormat="false" ht="15" hidden="false" customHeight="false" outlineLevel="0" collapsed="false">
      <c r="A1" s="18" t="s">
        <v>536</v>
      </c>
    </row>
    <row r="2" customFormat="false" ht="15" hidden="false" customHeight="false" outlineLevel="0" collapsed="false">
      <c r="A2" s="2" t="s">
        <v>537</v>
      </c>
    </row>
    <row r="4" customFormat="false" ht="15" hidden="false" customHeight="false" outlineLevel="0" collapsed="false">
      <c r="A4" s="3" t="s">
        <v>538</v>
      </c>
      <c r="B4" s="4"/>
      <c r="C4" s="4"/>
      <c r="D4" s="4"/>
      <c r="E4" s="4"/>
      <c r="F4" s="4"/>
      <c r="G4" s="4"/>
      <c r="I4" s="3" t="s">
        <v>539</v>
      </c>
      <c r="J4" s="4"/>
      <c r="K4" s="4"/>
      <c r="L4" s="4"/>
      <c r="M4" s="4"/>
      <c r="N4" s="4"/>
    </row>
    <row r="5" customFormat="false" ht="30" hidden="false" customHeight="true" outlineLevel="0" collapsed="false">
      <c r="A5" s="52" t="s">
        <v>246</v>
      </c>
      <c r="B5" s="53" t="s">
        <v>540</v>
      </c>
      <c r="C5" s="53" t="s">
        <v>541</v>
      </c>
      <c r="D5" s="53" t="s">
        <v>542</v>
      </c>
      <c r="E5" s="53" t="s">
        <v>543</v>
      </c>
      <c r="F5" s="53" t="s">
        <v>544</v>
      </c>
      <c r="G5" s="53" t="s">
        <v>545</v>
      </c>
      <c r="I5" s="52" t="s">
        <v>246</v>
      </c>
      <c r="J5" s="53" t="s">
        <v>540</v>
      </c>
      <c r="K5" s="53" t="s">
        <v>541</v>
      </c>
      <c r="L5" s="53" t="s">
        <v>542</v>
      </c>
      <c r="M5" s="53" t="s">
        <v>543</v>
      </c>
      <c r="N5" s="53" t="s">
        <v>544</v>
      </c>
    </row>
    <row r="6" customFormat="false" ht="15" hidden="false" customHeight="false" outlineLevel="0" collapsed="false">
      <c r="A6" s="83" t="n">
        <f aca="false">Engine!$I$21</f>
        <v>0</v>
      </c>
      <c r="B6" s="35" t="n">
        <f aca="false">Engine!$K$21</f>
        <v>-0.0287406320352517</v>
      </c>
      <c r="C6" s="35" t="n">
        <f aca="false">Engine!$K$52</f>
        <v>-0.025625197842692</v>
      </c>
      <c r="D6" s="35" t="n">
        <f aca="false">Engine!$K$83</f>
        <v>-0.025625197842692</v>
      </c>
      <c r="E6" s="35" t="n">
        <f aca="false">Engine!$K$114</f>
        <v>-0.025625197842692</v>
      </c>
      <c r="F6" s="35" t="n">
        <f aca="false">Engine!$K$145</f>
        <v>-0.025625197842692</v>
      </c>
      <c r="G6" s="36" t="n">
        <f aca="false">Inputs!$C$9</f>
        <v>0.15</v>
      </c>
      <c r="I6" s="25" t="n">
        <f aca="false">A6</f>
        <v>0</v>
      </c>
      <c r="J6" s="47" t="n">
        <f aca="false">Engine!$L$21</f>
        <v>-9275.93804806398</v>
      </c>
      <c r="K6" s="47" t="n">
        <f aca="false">Engine!$L$52</f>
        <v>-9181.36217543512</v>
      </c>
      <c r="L6" s="47" t="n">
        <f aca="false">Engine!$L$83</f>
        <v>-9181.36217543512</v>
      </c>
      <c r="M6" s="47" t="n">
        <f aca="false">Engine!$L$114</f>
        <v>-9181.36217543512</v>
      </c>
      <c r="N6" s="47" t="n">
        <f aca="false">Engine!$L$145</f>
        <v>-9181.36217543512</v>
      </c>
    </row>
    <row r="7" customFormat="false" ht="15" hidden="false" customHeight="false" outlineLevel="0" collapsed="false">
      <c r="A7" s="83" t="n">
        <f aca="false">Engine!$I$22</f>
        <v>0.01</v>
      </c>
      <c r="B7" s="35" t="n">
        <f aca="false">Engine!$K$22</f>
        <v>-0.0181395582862501</v>
      </c>
      <c r="C7" s="35" t="n">
        <f aca="false">Engine!$K$53</f>
        <v>-0.0150982104544355</v>
      </c>
      <c r="D7" s="35" t="n">
        <f aca="false">Engine!$K$84</f>
        <v>-0.0150982104544355</v>
      </c>
      <c r="E7" s="35" t="n">
        <f aca="false">Engine!$K$115</f>
        <v>-0.0150982104544355</v>
      </c>
      <c r="F7" s="35" t="n">
        <f aca="false">Engine!$K$146</f>
        <v>-0.0150982104544355</v>
      </c>
      <c r="G7" s="36" t="n">
        <f aca="false">Inputs!$C$9</f>
        <v>0.15</v>
      </c>
      <c r="I7" s="25" t="n">
        <f aca="false">A7</f>
        <v>0.01</v>
      </c>
      <c r="J7" s="47" t="n">
        <f aca="false">Engine!$L$22</f>
        <v>-8938.14465192184</v>
      </c>
      <c r="K7" s="47" t="n">
        <f aca="false">Engine!$L$53</f>
        <v>-8839.82096536762</v>
      </c>
      <c r="L7" s="47" t="n">
        <f aca="false">Engine!$L$84</f>
        <v>-8839.82096536762</v>
      </c>
      <c r="M7" s="47" t="n">
        <f aca="false">Engine!$L$115</f>
        <v>-8839.82096536762</v>
      </c>
      <c r="N7" s="47" t="n">
        <f aca="false">Engine!$L$146</f>
        <v>-8839.82096536762</v>
      </c>
    </row>
    <row r="8" customFormat="false" ht="15" hidden="false" customHeight="false" outlineLevel="0" collapsed="false">
      <c r="A8" s="83" t="n">
        <f aca="false">Engine!$I$23</f>
        <v>0.02</v>
      </c>
      <c r="B8" s="35" t="n">
        <f aca="false">Engine!$K$23</f>
        <v>-0.00757866492576283</v>
      </c>
      <c r="C8" s="35" t="n">
        <f aca="false">Engine!$K$54</f>
        <v>-0.00460606780939016</v>
      </c>
      <c r="D8" s="35" t="n">
        <f aca="false">Engine!$K$85</f>
        <v>-0.00460606780939016</v>
      </c>
      <c r="E8" s="35" t="n">
        <f aca="false">Engine!$K$116</f>
        <v>-0.00460606780939016</v>
      </c>
      <c r="F8" s="35" t="n">
        <f aca="false">Engine!$K$147</f>
        <v>-0.00460606780939016</v>
      </c>
      <c r="G8" s="36" t="n">
        <f aca="false">Inputs!$C$9</f>
        <v>0.15</v>
      </c>
      <c r="I8" s="25" t="n">
        <f aca="false">A8</f>
        <v>0.02</v>
      </c>
      <c r="J8" s="47" t="n">
        <f aca="false">Engine!$L$23</f>
        <v>-8581.79111591629</v>
      </c>
      <c r="K8" s="47" t="n">
        <f aca="false">Engine!$L$54</f>
        <v>-8479.54922696293</v>
      </c>
      <c r="L8" s="47" t="n">
        <f aca="false">Engine!$L$85</f>
        <v>-8479.54922696293</v>
      </c>
      <c r="M8" s="47" t="n">
        <f aca="false">Engine!$L$116</f>
        <v>-8479.54922696293</v>
      </c>
      <c r="N8" s="47" t="n">
        <f aca="false">Engine!$L$147</f>
        <v>-8479.54922696293</v>
      </c>
    </row>
    <row r="9" customFormat="false" ht="15" hidden="false" customHeight="false" outlineLevel="0" collapsed="false">
      <c r="A9" s="83" t="n">
        <f aca="false">Engine!$I$24</f>
        <v>0.03</v>
      </c>
      <c r="B9" s="35" t="n">
        <f aca="false">Engine!$K$24</f>
        <v>0.00236220523875433</v>
      </c>
      <c r="C9" s="35" t="n">
        <f aca="false">Engine!$K$55</f>
        <v>0.00470739553452383</v>
      </c>
      <c r="D9" s="35" t="n">
        <f aca="false">Engine!$K$86</f>
        <v>0.00585372794982102</v>
      </c>
      <c r="E9" s="35" t="n">
        <f aca="false">Engine!$K$117</f>
        <v>0.00585372794982102</v>
      </c>
      <c r="F9" s="35" t="n">
        <f aca="false">Engine!$K$148</f>
        <v>0.00499508578729554</v>
      </c>
      <c r="G9" s="36" t="n">
        <f aca="false">Inputs!$C$9</f>
        <v>0.15</v>
      </c>
      <c r="I9" s="25" t="n">
        <f aca="false">A9</f>
        <v>0.03</v>
      </c>
      <c r="J9" s="47" t="n">
        <f aca="false">Engine!$L$24</f>
        <v>-8222.53642342691</v>
      </c>
      <c r="K9" s="47" t="n">
        <f aca="false">Engine!$L$55</f>
        <v>-8132.93915849214</v>
      </c>
      <c r="L9" s="47" t="n">
        <f aca="false">Engine!$L$86</f>
        <v>-8099.54344747247</v>
      </c>
      <c r="M9" s="47" t="n">
        <f aca="false">Engine!$L$117</f>
        <v>-8099.54344747247</v>
      </c>
      <c r="N9" s="47" t="n">
        <f aca="false">Engine!$L$148</f>
        <v>-8124.59023073723</v>
      </c>
    </row>
    <row r="10" customFormat="false" ht="15" hidden="false" customHeight="false" outlineLevel="0" collapsed="false">
      <c r="A10" s="83" t="n">
        <f aca="false">Engine!$I$25</f>
        <v>0.04</v>
      </c>
      <c r="B10" s="35" t="n">
        <f aca="false">Engine!$K$25</f>
        <v>0.0108740667397131</v>
      </c>
      <c r="C10" s="35" t="n">
        <f aca="false">Engine!$K$56</f>
        <v>0.0132120392593603</v>
      </c>
      <c r="D10" s="35" t="n">
        <f aca="false">Engine!$K$87</f>
        <v>0.0162834542979452</v>
      </c>
      <c r="E10" s="35" t="n">
        <f aca="false">Engine!$K$118</f>
        <v>0.0162834542979452</v>
      </c>
      <c r="F10" s="35" t="n">
        <f aca="false">Engine!$K$149</f>
        <v>0.0139878146734152</v>
      </c>
      <c r="G10" s="36" t="n">
        <f aca="false">Inputs!$C$9</f>
        <v>0.15</v>
      </c>
      <c r="I10" s="25" t="n">
        <f aca="false">A10</f>
        <v>0.04</v>
      </c>
      <c r="J10" s="47" t="n">
        <f aca="false">Engine!$L$25</f>
        <v>-7887.72041837778</v>
      </c>
      <c r="K10" s="47" t="n">
        <f aca="false">Engine!$L$56</f>
        <v>-7794.53754019669</v>
      </c>
      <c r="L10" s="47" t="n">
        <f aca="false">Engine!$L$87</f>
        <v>-7698.7494474518</v>
      </c>
      <c r="M10" s="47" t="n">
        <f aca="false">Engine!$L$118</f>
        <v>-7698.7494474518</v>
      </c>
      <c r="N10" s="47" t="n">
        <f aca="false">Engine!$L$149</f>
        <v>-7770.59051701047</v>
      </c>
    </row>
    <row r="11" customFormat="false" ht="15" hidden="false" customHeight="false" outlineLevel="0" collapsed="false">
      <c r="A11" s="83" t="n">
        <f aca="false">Engine!$I$26</f>
        <v>0.05</v>
      </c>
      <c r="B11" s="35" t="n">
        <f aca="false">Engine!$K$26</f>
        <v>0.0195060544311213</v>
      </c>
      <c r="C11" s="35" t="n">
        <f aca="false">Engine!$K$57</f>
        <v>0.0218360808430908</v>
      </c>
      <c r="D11" s="35" t="n">
        <f aca="false">Engine!$K$88</f>
        <v>0.0266851918575835</v>
      </c>
      <c r="E11" s="35" t="n">
        <f aca="false">Engine!$K$119</f>
        <v>0.0266851918575835</v>
      </c>
      <c r="F11" s="35" t="n">
        <f aca="false">Engine!$K$150</f>
        <v>0.0230680314207503</v>
      </c>
      <c r="G11" s="36" t="n">
        <f aca="false">Inputs!$C$9</f>
        <v>0.15</v>
      </c>
      <c r="I11" s="25" t="n">
        <f aca="false">A11</f>
        <v>0.05</v>
      </c>
      <c r="J11" s="47" t="n">
        <f aca="false">Engine!$L$26</f>
        <v>-7534.87848581204</v>
      </c>
      <c r="K11" s="47" t="n">
        <f aca="false">Engine!$L$57</f>
        <v>-7437.94686876774</v>
      </c>
      <c r="L11" s="47" t="n">
        <f aca="false">Engine!$L$88</f>
        <v>-7276.06005974331</v>
      </c>
      <c r="M11" s="47" t="n">
        <f aca="false">Engine!$L$119</f>
        <v>-7276.06005974331</v>
      </c>
      <c r="N11" s="47" t="n">
        <f aca="false">Engine!$L$150</f>
        <v>-7397.47516651164</v>
      </c>
    </row>
    <row r="12" customFormat="false" ht="15" hidden="false" customHeight="false" outlineLevel="0" collapsed="false">
      <c r="A12" s="83" t="n">
        <f aca="false">Engine!$I$27</f>
        <v>0.06</v>
      </c>
      <c r="B12" s="35" t="n">
        <f aca="false">Engine!$K$27</f>
        <v>0.0282499099239224</v>
      </c>
      <c r="C12" s="35" t="n">
        <f aca="false">Engine!$K$58</f>
        <v>0.0305713981063468</v>
      </c>
      <c r="D12" s="35" t="n">
        <f aca="false">Engine!$K$89</f>
        <v>0.0370608449414686</v>
      </c>
      <c r="E12" s="35" t="n">
        <f aca="false">Engine!$K$120</f>
        <v>0.0370608449414686</v>
      </c>
      <c r="F12" s="35" t="n">
        <f aca="false">Engine!$K$151</f>
        <v>0.0322288531360945</v>
      </c>
      <c r="G12" s="36" t="n">
        <f aca="false">Inputs!$C$9</f>
        <v>0.15</v>
      </c>
      <c r="I12" s="25" t="n">
        <f aca="false">A12</f>
        <v>0.06</v>
      </c>
      <c r="J12" s="47" t="n">
        <f aca="false">Engine!$L$27</f>
        <v>-7163.06492101626</v>
      </c>
      <c r="K12" s="47" t="n">
        <f aca="false">Engine!$L$58</f>
        <v>-7062.21346018868</v>
      </c>
      <c r="L12" s="47" t="n">
        <f aca="false">Engine!$L$89</f>
        <v>-6830.3127160451</v>
      </c>
      <c r="M12" s="47" t="n">
        <f aca="false">Engine!$L$120</f>
        <v>-6830.3127160451</v>
      </c>
      <c r="N12" s="47" t="n">
        <f aca="false">Engine!$L$151</f>
        <v>-7004.23827415278</v>
      </c>
    </row>
    <row r="13" customFormat="false" ht="15" hidden="false" customHeight="false" outlineLevel="0" collapsed="false">
      <c r="A13" s="83" t="n">
        <f aca="false">Engine!$I$28</f>
        <v>0.07</v>
      </c>
      <c r="B13" s="35" t="n">
        <f aca="false">Engine!$K$28</f>
        <v>0.0370977018055284</v>
      </c>
      <c r="C13" s="35" t="n">
        <f aca="false">Engine!$K$59</f>
        <v>0.0394101863881467</v>
      </c>
      <c r="D13" s="35" t="n">
        <f aca="false">Engine!$K$90</f>
        <v>0.047412159548745</v>
      </c>
      <c r="E13" s="35" t="n">
        <f aca="false">Engine!$K$121</f>
        <v>0.047412159548745</v>
      </c>
      <c r="F13" s="35" t="n">
        <f aca="false">Engine!$K$152</f>
        <v>0.0414638103961189</v>
      </c>
      <c r="G13" s="36" t="n">
        <f aca="false">Inputs!$C$9</f>
        <v>0.15</v>
      </c>
      <c r="I13" s="25" t="n">
        <f aca="false">A13</f>
        <v>0.07</v>
      </c>
      <c r="J13" s="47" t="n">
        <f aca="false">Engine!$L$28</f>
        <v>-6771.28732603617</v>
      </c>
      <c r="K13" s="47" t="n">
        <f aca="false">Engine!$L$59</f>
        <v>-6666.33655432298</v>
      </c>
      <c r="L13" s="47" t="n">
        <f aca="false">Engine!$L$90</f>
        <v>-6360.28693803464</v>
      </c>
      <c r="M13" s="47" t="n">
        <f aca="false">Engine!$L$121</f>
        <v>-6360.28693803464</v>
      </c>
      <c r="N13" s="47" t="n">
        <f aca="false">Engine!$L$152</f>
        <v>-6589.82415025089</v>
      </c>
    </row>
    <row r="14" customFormat="false" ht="15" hidden="false" customHeight="false" outlineLevel="0" collapsed="false">
      <c r="A14" s="83" t="n">
        <f aca="false">Engine!$I$29</f>
        <v>0.08</v>
      </c>
      <c r="B14" s="35" t="n">
        <f aca="false">Engine!$K$29</f>
        <v>0.0460418522854522</v>
      </c>
      <c r="C14" s="35" t="n">
        <f aca="false">Engine!$K$60</f>
        <v>0.0483449847091009</v>
      </c>
      <c r="D14" s="35" t="n">
        <f aca="false">Engine!$K$91</f>
        <v>0.0577407391827779</v>
      </c>
      <c r="E14" s="35" t="n">
        <f aca="false">Engine!$K$122</f>
        <v>0.0577407391827779</v>
      </c>
      <c r="F14" s="35" t="n">
        <f aca="false">Engine!$K$153</f>
        <v>0.0507668430112084</v>
      </c>
      <c r="G14" s="36" t="n">
        <f aca="false">Inputs!$C$9</f>
        <v>0.15</v>
      </c>
      <c r="I14" s="25" t="n">
        <f aca="false">A14</f>
        <v>0.08</v>
      </c>
      <c r="J14" s="47" t="n">
        <f aca="false">Engine!$L$29</f>
        <v>-6358.50451986986</v>
      </c>
      <c r="K14" s="47" t="n">
        <f aca="false">Engine!$L$60</f>
        <v>-6249.26620813155</v>
      </c>
      <c r="L14" s="47" t="n">
        <f aca="false">Engine!$L$91</f>
        <v>-5864.7017299392</v>
      </c>
      <c r="M14" s="47" t="n">
        <f aca="false">Engine!$L$122</f>
        <v>-5864.7017299392</v>
      </c>
      <c r="N14" s="47" t="n">
        <f aca="false">Engine!$L$153</f>
        <v>-6153.12508858347</v>
      </c>
    </row>
    <row r="15" customFormat="false" ht="15" hidden="false" customHeight="false" outlineLevel="0" collapsed="false">
      <c r="A15" s="83" t="n">
        <f aca="false">Engine!$I$30</f>
        <v>0.09</v>
      </c>
      <c r="B15" s="35" t="n">
        <f aca="false">Engine!$K$30</f>
        <v>0.0550751554838188</v>
      </c>
      <c r="C15" s="35" t="n">
        <f aca="false">Engine!$K$61</f>
        <v>0.0573686938542749</v>
      </c>
      <c r="D15" s="35" t="n">
        <f aca="false">Engine!$K$92</f>
        <v>0.0680480587975426</v>
      </c>
      <c r="E15" s="35" t="n">
        <f aca="false">Engine!$K$123</f>
        <v>0.0680480587975426</v>
      </c>
      <c r="F15" s="35" t="n">
        <f aca="false">Engine!$K$154</f>
        <v>0.0601322914734787</v>
      </c>
      <c r="G15" s="36" t="n">
        <f aca="false">Inputs!$C$9</f>
        <v>0.15</v>
      </c>
      <c r="I15" s="25" t="n">
        <f aca="false">A15</f>
        <v>0.09</v>
      </c>
      <c r="J15" s="47" t="n">
        <f aca="false">Engine!$L$30</f>
        <v>-5923.62436743548</v>
      </c>
      <c r="K15" s="47" t="n">
        <f aca="false">Engine!$L$61</f>
        <v>-5809.90110700592</v>
      </c>
      <c r="L15" s="47" t="n">
        <f aca="false">Engine!$L$92</f>
        <v>-5342.21286936829</v>
      </c>
      <c r="M15" s="47" t="n">
        <f aca="false">Engine!$L$123</f>
        <v>-5342.21286936829</v>
      </c>
      <c r="N15" s="47" t="n">
        <f aca="false">Engine!$L$154</f>
        <v>-5692.97904759651</v>
      </c>
    </row>
    <row r="16" customFormat="false" ht="15" hidden="false" customHeight="false" outlineLevel="0" collapsed="false">
      <c r="A16" s="83" t="n">
        <f aca="false">Engine!$I$31</f>
        <v>0.1</v>
      </c>
      <c r="B16" s="35" t="n">
        <f aca="false">Engine!$K$31</f>
        <v>0.0641907883459574</v>
      </c>
      <c r="C16" s="35" t="n">
        <f aca="false">Engine!$K$62</f>
        <v>0.0664745873122854</v>
      </c>
      <c r="D16" s="35" t="n">
        <f aca="false">Engine!$K$93</f>
        <v>0.0783354771301631</v>
      </c>
      <c r="E16" s="35" t="n">
        <f aca="false">Engine!$K$124</f>
        <v>0.0783354771301631</v>
      </c>
      <c r="F16" s="35" t="n">
        <f aca="false">Engine!$K$155</f>
        <v>0.069554885002583</v>
      </c>
      <c r="G16" s="36" t="n">
        <f aca="false">Inputs!$C$9</f>
        <v>0.15</v>
      </c>
      <c r="I16" s="25" t="n">
        <f aca="false">A16</f>
        <v>0.1</v>
      </c>
      <c r="J16" s="47" t="n">
        <f aca="false">Engine!$L$31</f>
        <v>-5465.50152471426</v>
      </c>
      <c r="K16" s="47" t="n">
        <f aca="false">Engine!$L$62</f>
        <v>-5347.0862915971</v>
      </c>
      <c r="L16" s="47" t="n">
        <f aca="false">Engine!$L$93</f>
        <v>-4791.4100931443</v>
      </c>
      <c r="M16" s="47" t="n">
        <f aca="false">Engine!$L$124</f>
        <v>-4791.4100931443</v>
      </c>
      <c r="N16" s="47" t="n">
        <f aca="false">Engine!$L$155</f>
        <v>-5208.1672419839</v>
      </c>
    </row>
    <row r="17" customFormat="false" ht="15" hidden="false" customHeight="false" outlineLevel="0" collapsed="false">
      <c r="A17" s="83" t="n">
        <f aca="false">Engine!$I$32</f>
        <v>0.11</v>
      </c>
      <c r="B17" s="35" t="n">
        <f aca="false">Engine!$K$32</f>
        <v>0.0733823151849494</v>
      </c>
      <c r="C17" s="35" t="n">
        <f aca="false">Engine!$K$63</f>
        <v>0.0756496336434207</v>
      </c>
      <c r="D17" s="35" t="n">
        <f aca="false">Engine!$K$94</f>
        <v>0.086932781590116</v>
      </c>
      <c r="E17" s="35" t="n">
        <f aca="false">Engine!$K$125</f>
        <v>0.08</v>
      </c>
      <c r="F17" s="35" t="n">
        <f aca="false">Engine!$K$156</f>
        <v>0.0790246410963075</v>
      </c>
      <c r="G17" s="36" t="n">
        <f aca="false">Inputs!$C$9</f>
        <v>0.15</v>
      </c>
      <c r="I17" s="25" t="n">
        <f aca="false">A17</f>
        <v>0.11</v>
      </c>
      <c r="J17" s="47" t="n">
        <f aca="false">Engine!$L$32</f>
        <v>-4982.93509740619</v>
      </c>
      <c r="K17" s="47" t="n">
        <f aca="false">Engine!$L$63</f>
        <v>-4860.23867134236</v>
      </c>
      <c r="L17" s="47" t="n">
        <f aca="false">Engine!$L$94</f>
        <v>-4298.6282069786</v>
      </c>
      <c r="M17" s="47" t="n">
        <f aca="false">Engine!$L$125</f>
        <v>-4649.88433574214</v>
      </c>
      <c r="N17" s="47" t="n">
        <f aca="false">Engine!$L$156</f>
        <v>-4697.8825472037</v>
      </c>
    </row>
    <row r="18" customFormat="false" ht="15" hidden="false" customHeight="false" outlineLevel="0" collapsed="false">
      <c r="A18" s="83" t="n">
        <f aca="false">Engine!$I$33</f>
        <v>0.12</v>
      </c>
      <c r="B18" s="35" t="n">
        <f aca="false">Engine!$K$33</f>
        <v>0.0825791858593733</v>
      </c>
      <c r="C18" s="35" t="n">
        <f aca="false">Engine!$K$64</f>
        <v>0.0848232007292502</v>
      </c>
      <c r="D18" s="35" t="n">
        <f aca="false">Engine!$K$95</f>
        <v>0.0953173698445663</v>
      </c>
      <c r="E18" s="35" t="n">
        <f aca="false">Engine!$K$126</f>
        <v>0.0849079079208296</v>
      </c>
      <c r="F18" s="35" t="n">
        <f aca="false">Engine!$K$157</f>
        <v>0.0884880383418139</v>
      </c>
      <c r="G18" s="36" t="n">
        <f aca="false">Inputs!$C$9</f>
        <v>0.15</v>
      </c>
      <c r="I18" s="25" t="n">
        <f aca="false">A18</f>
        <v>0.12</v>
      </c>
      <c r="J18" s="47" t="n">
        <f aca="false">Engine!$L$33</f>
        <v>-4480.48867305447</v>
      </c>
      <c r="K18" s="47" t="n">
        <f aca="false">Engine!$L$64</f>
        <v>-4353.76295083953</v>
      </c>
      <c r="L18" s="47" t="n">
        <f aca="false">Engine!$L$95</f>
        <v>-3796.85314846003</v>
      </c>
      <c r="M18" s="47" t="n">
        <f aca="false">Engine!$L$126</f>
        <v>-4346.205204735</v>
      </c>
      <c r="N18" s="47" t="n">
        <f aca="false">Engine!$L$157</f>
        <v>-4165.04068568768</v>
      </c>
    </row>
    <row r="19" customFormat="false" ht="15" hidden="false" customHeight="false" outlineLevel="0" collapsed="false">
      <c r="A19" s="83" t="n">
        <f aca="false">Engine!$I$34</f>
        <v>0.13</v>
      </c>
      <c r="B19" s="35" t="n">
        <f aca="false">Engine!$K$34</f>
        <v>0.0918189906534683</v>
      </c>
      <c r="C19" s="35" t="n">
        <f aca="false">Engine!$K$65</f>
        <v>0.0940511245095846</v>
      </c>
      <c r="D19" s="35" t="n">
        <f aca="false">Engine!$K$96</f>
        <v>0.103816851029861</v>
      </c>
      <c r="E19" s="35" t="n">
        <f aca="false">Engine!$K$127</f>
        <v>0.0942237630238656</v>
      </c>
      <c r="F19" s="35" t="n">
        <f aca="false">Engine!$K$158</f>
        <v>0.097987849171541</v>
      </c>
      <c r="G19" s="36" t="n">
        <f aca="false">Inputs!$C$9</f>
        <v>0.15</v>
      </c>
      <c r="I19" s="25" t="n">
        <f aca="false">A19</f>
        <v>0.13</v>
      </c>
      <c r="J19" s="47" t="n">
        <f aca="false">Engine!$L$34</f>
        <v>-3952.36655664077</v>
      </c>
      <c r="K19" s="47" t="n">
        <f aca="false">Engine!$L$65</f>
        <v>-3820.33183583197</v>
      </c>
      <c r="L19" s="47" t="n">
        <f aca="false">Engine!$L$96</f>
        <v>-3268.2540059383</v>
      </c>
      <c r="M19" s="47" t="n">
        <f aca="false">Engine!$L$127</f>
        <v>-3805.53909513775</v>
      </c>
      <c r="N19" s="47" t="n">
        <f aca="false">Engine!$L$158</f>
        <v>-3603.73959393938</v>
      </c>
    </row>
    <row r="20" customFormat="false" ht="15" hidden="false" customHeight="false" outlineLevel="0" collapsed="false">
      <c r="A20" s="83" t="n">
        <f aca="false">Engine!$I$35</f>
        <v>0.14</v>
      </c>
      <c r="B20" s="35" t="n">
        <f aca="false">Engine!$K$35</f>
        <v>0.10110885463485</v>
      </c>
      <c r="C20" s="35" t="n">
        <f aca="false">Engine!$K$66</f>
        <v>0.103329604808712</v>
      </c>
      <c r="D20" s="35" t="n">
        <f aca="false">Engine!$K$97</f>
        <v>0.112424240714073</v>
      </c>
      <c r="E20" s="35" t="n">
        <f aca="false">Engine!$K$128</f>
        <v>0.10359864513365</v>
      </c>
      <c r="F20" s="35" t="n">
        <f aca="false">Engine!$K$159</f>
        <v>0.107521304535196</v>
      </c>
      <c r="G20" s="36" t="n">
        <f aca="false">Inputs!$C$9</f>
        <v>0.15</v>
      </c>
      <c r="I20" s="25" t="n">
        <f aca="false">A20</f>
        <v>0.14</v>
      </c>
      <c r="J20" s="47" t="n">
        <f aca="false">Engine!$L$35</f>
        <v>-3396.15503629748</v>
      </c>
      <c r="K20" s="47" t="n">
        <f aca="false">Engine!$L$66</f>
        <v>-3258.56373833278</v>
      </c>
      <c r="L20" s="47" t="n">
        <f aca="false">Engine!$L$97</f>
        <v>-2711.45184962085</v>
      </c>
      <c r="M20" s="47" t="n">
        <f aca="false">Engine!$L$128</f>
        <v>-3236.21841322982</v>
      </c>
      <c r="N20" s="47" t="n">
        <f aca="false">Engine!$L$159</f>
        <v>-3012.5168842693</v>
      </c>
    </row>
    <row r="21" customFormat="false" ht="15" hidden="false" customHeight="false" outlineLevel="0" collapsed="false">
      <c r="A21" s="83" t="n">
        <f aca="false">Engine!$I$36</f>
        <v>0.15</v>
      </c>
      <c r="B21" s="35" t="n">
        <f aca="false">Engine!$K$36</f>
        <v>0.110445197701687</v>
      </c>
      <c r="C21" s="35" t="n">
        <f aca="false">Engine!$K$67</f>
        <v>0.11263957351201</v>
      </c>
      <c r="D21" s="35" t="n">
        <f aca="false">Engine!$K$98</f>
        <v>0.121132776934093</v>
      </c>
      <c r="E21" s="35" t="n">
        <f aca="false">Engine!$K$129</f>
        <v>0.113027670655998</v>
      </c>
      <c r="F21" s="35" t="n">
        <f aca="false">Engine!$K$160</f>
        <v>0.117074129762284</v>
      </c>
      <c r="G21" s="36" t="n">
        <f aca="false">Inputs!$C$9</f>
        <v>0.15</v>
      </c>
      <c r="I21" s="25" t="n">
        <f aca="false">A21</f>
        <v>0.15</v>
      </c>
      <c r="J21" s="47" t="n">
        <f aca="false">Engine!$L$36</f>
        <v>-2810.41859881745</v>
      </c>
      <c r="K21" s="47" t="n">
        <f aca="false">Engine!$L$67</f>
        <v>-2668.31325643015</v>
      </c>
      <c r="L21" s="47" t="n">
        <f aca="false">Engine!$L$98</f>
        <v>-2125.00184695825</v>
      </c>
      <c r="M21" s="47" t="n">
        <f aca="false">Engine!$L$129</f>
        <v>-2636.78272916366</v>
      </c>
      <c r="N21" s="47" t="n">
        <f aca="false">Engine!$L$160</f>
        <v>-2390.81685690455</v>
      </c>
    </row>
    <row r="22" customFormat="false" ht="15" hidden="false" customHeight="false" outlineLevel="0" collapsed="false">
      <c r="A22" s="83" t="n">
        <f aca="false">Engine!$I$37</f>
        <v>0.16</v>
      </c>
      <c r="B22" s="35" t="n">
        <f aca="false">Engine!$K$37</f>
        <v>0.119743396043373</v>
      </c>
      <c r="C22" s="35" t="n">
        <f aca="false">Engine!$K$68</f>
        <v>0.121920448362269</v>
      </c>
      <c r="D22" s="35" t="n">
        <f aca="false">Engine!$K$99</f>
        <v>0.129935944234053</v>
      </c>
      <c r="E22" s="35" t="n">
        <f aca="false">Engine!$K$130</f>
        <v>0.122506295349874</v>
      </c>
      <c r="F22" s="35" t="n">
        <f aca="false">Engine!$K$161</f>
        <v>0.126600910348475</v>
      </c>
      <c r="G22" s="36" t="n">
        <f aca="false">Inputs!$C$9</f>
        <v>0.15</v>
      </c>
      <c r="I22" s="25" t="n">
        <f aca="false">A22</f>
        <v>0.16</v>
      </c>
      <c r="J22" s="47" t="n">
        <f aca="false">Engine!$L$37</f>
        <v>-2200.3512060495</v>
      </c>
      <c r="K22" s="47" t="n">
        <f aca="false">Engine!$L$68</f>
        <v>-2052.65955826398</v>
      </c>
      <c r="L22" s="47" t="n">
        <f aca="false">Engine!$L$99</f>
        <v>-1507.39043665694</v>
      </c>
      <c r="M22" s="47" t="n">
        <f aca="false">Engine!$L$130</f>
        <v>-2005.70239979395</v>
      </c>
      <c r="N22" s="47" t="n">
        <f aca="false">Engine!$L$161</f>
        <v>-1740.48090864967</v>
      </c>
    </row>
    <row r="23" customFormat="false" ht="15" hidden="false" customHeight="false" outlineLevel="0" collapsed="false">
      <c r="A23" s="83" t="n">
        <f aca="false">Engine!$I$38</f>
        <v>0.17</v>
      </c>
      <c r="B23" s="35" t="n">
        <f aca="false">Engine!$K$38</f>
        <v>0.129069364918192</v>
      </c>
      <c r="C23" s="35" t="n">
        <f aca="false">Engine!$K$69</f>
        <v>0.131235034752179</v>
      </c>
      <c r="D23" s="35" t="n">
        <f aca="false">Engine!$K$100</f>
        <v>0.138827491895351</v>
      </c>
      <c r="E23" s="35" t="n">
        <f aca="false">Engine!$K$131</f>
        <v>0.132030299535599</v>
      </c>
      <c r="F23" s="35" t="n">
        <f aca="false">Engine!$K$162</f>
        <v>0.136149321452382</v>
      </c>
      <c r="G23" s="36" t="n">
        <f aca="false">Inputs!$C$9</f>
        <v>0.15</v>
      </c>
      <c r="I23" s="25" t="n">
        <f aca="false">A23</f>
        <v>0.17</v>
      </c>
      <c r="J23" s="47" t="n">
        <f aca="false">Engine!$L$38</f>
        <v>-1558.39537354995</v>
      </c>
      <c r="K23" s="47" t="n">
        <f aca="false">Engine!$L$69</f>
        <v>-1404.39548885311</v>
      </c>
      <c r="L23" s="47" t="n">
        <f aca="false">Engine!$L$100</f>
        <v>-857.032398290169</v>
      </c>
      <c r="M23" s="47" t="n">
        <f aca="false">Engine!$L$131</f>
        <v>-1341.37562509373</v>
      </c>
      <c r="N23" s="47" t="n">
        <f aca="false">Engine!$L$162</f>
        <v>-1055.61345114534</v>
      </c>
    </row>
    <row r="24" customFormat="false" ht="15" hidden="false" customHeight="false" outlineLevel="0" collapsed="false">
      <c r="A24" s="83" t="n">
        <f aca="false">Engine!$I$39</f>
        <v>0.18</v>
      </c>
      <c r="B24" s="35" t="n">
        <f aca="false">Engine!$K$39</f>
        <v>0.138426292206597</v>
      </c>
      <c r="C24" s="35" t="n">
        <f aca="false">Engine!$K$70</f>
        <v>0.140581309673615</v>
      </c>
      <c r="D24" s="35" t="n">
        <f aca="false">Engine!$K$101</f>
        <v>0.147801446888028</v>
      </c>
      <c r="E24" s="35" t="n">
        <f aca="false">Engine!$K$132</f>
        <v>0.141595772264934</v>
      </c>
      <c r="F24" s="35" t="n">
        <f aca="false">Engine!$K$163</f>
        <v>0.145717985148569</v>
      </c>
      <c r="G24" s="36" t="n">
        <f aca="false">Inputs!$C$9</f>
        <v>0.15</v>
      </c>
      <c r="I24" s="25" t="n">
        <f aca="false">A24</f>
        <v>0.18</v>
      </c>
      <c r="J24" s="47" t="n">
        <f aca="false">Engine!$L$39</f>
        <v>-882.472862498112</v>
      </c>
      <c r="K24" s="47" t="n">
        <f aca="false">Engine!$L$70</f>
        <v>-721.868123445032</v>
      </c>
      <c r="L24" s="47" t="n">
        <f aca="false">Engine!$L$101</f>
        <v>-172.267814349246</v>
      </c>
      <c r="M24" s="47" t="n">
        <f aca="false">Engine!$L$132</f>
        <v>-642.125396707707</v>
      </c>
      <c r="N24" s="47" t="n">
        <f aca="false">Engine!$L$163</f>
        <v>-334.461380493588</v>
      </c>
    </row>
    <row r="25" customFormat="false" ht="15" hidden="false" customHeight="false" outlineLevel="0" collapsed="false">
      <c r="A25" s="83" t="n">
        <f aca="false">Engine!$I$40</f>
        <v>0.19</v>
      </c>
      <c r="B25" s="35" t="n">
        <f aca="false">Engine!$K$40</f>
        <v>0.147812293376628</v>
      </c>
      <c r="C25" s="35" t="n">
        <f aca="false">Engine!$K$71</f>
        <v>0.149957366423966</v>
      </c>
      <c r="D25" s="35" t="n">
        <f aca="false">Engine!$K$102</f>
        <v>0.156852122110471</v>
      </c>
      <c r="E25" s="35" t="n">
        <f aca="false">Engine!$K$133</f>
        <v>0.15119909487051</v>
      </c>
      <c r="F25" s="35" t="n">
        <f aca="false">Engine!$K$164</f>
        <v>0.155305609352663</v>
      </c>
      <c r="G25" s="36" t="n">
        <f aca="false">Inputs!$C$9</f>
        <v>0.15</v>
      </c>
      <c r="I25" s="25" t="n">
        <f aca="false">A25</f>
        <v>0.19</v>
      </c>
      <c r="J25" s="47" t="n">
        <f aca="false">Engine!$L$40</f>
        <v>-170.867475319214</v>
      </c>
      <c r="K25" s="47" t="n">
        <f aca="false">Engine!$L$71</f>
        <v>-3.3469810322149</v>
      </c>
      <c r="L25" s="47" t="n">
        <f aca="false">Engine!$L$102</f>
        <v>548.641078494711</v>
      </c>
      <c r="M25" s="47" t="n">
        <f aca="false">Engine!$L$133</f>
        <v>93.8036645926291</v>
      </c>
      <c r="N25" s="47" t="n">
        <f aca="false">Engine!$L$164</f>
        <v>424.810742525093</v>
      </c>
    </row>
    <row r="26" customFormat="false" ht="15" hidden="false" customHeight="false" outlineLevel="0" collapsed="false">
      <c r="A26" s="83" t="n">
        <f aca="false">Engine!$I$41</f>
        <v>0.2</v>
      </c>
      <c r="B26" s="35" t="n">
        <f aca="false">Engine!$K$41</f>
        <v>0.15722559423369</v>
      </c>
      <c r="C26" s="35" t="n">
        <f aca="false">Engine!$K$72</f>
        <v>0.159361408558221</v>
      </c>
      <c r="D26" s="35" t="n">
        <f aca="false">Engine!$K$103</f>
        <v>0.165918224327762</v>
      </c>
      <c r="E26" s="35" t="n">
        <f aca="false">Engine!$K$134</f>
        <v>0.160292237693307</v>
      </c>
      <c r="F26" s="35" t="n">
        <f aca="false">Engine!$K$165</f>
        <v>0.164910982580994</v>
      </c>
      <c r="G26" s="36" t="n">
        <f aca="false">Inputs!$C$9</f>
        <v>0.15</v>
      </c>
      <c r="I26" s="25" t="n">
        <f aca="false">A26</f>
        <v>0.2</v>
      </c>
      <c r="J26" s="47" t="n">
        <f aca="false">Engine!$L$41</f>
        <v>578.217140375093</v>
      </c>
      <c r="K26" s="47" t="n">
        <f aca="false">Engine!$L$72</f>
        <v>752.97922879943</v>
      </c>
      <c r="L26" s="47" t="n">
        <f aca="false">Engine!$L$103</f>
        <v>1303.53847315147</v>
      </c>
      <c r="M26" s="47" t="n">
        <f aca="false">Engine!$L$134</f>
        <v>825.662738669115</v>
      </c>
      <c r="N26" s="47" t="n">
        <f aca="false">Engine!$L$165</f>
        <v>1224.12414779974</v>
      </c>
    </row>
    <row r="27" customFormat="false" ht="15" hidden="false" customHeight="false" outlineLevel="0" collapsed="false">
      <c r="A27" s="83" t="n">
        <f aca="false">Engine!$I$42</f>
        <v>0.21</v>
      </c>
      <c r="B27" s="35" t="n">
        <f aca="false">Engine!$K$42</f>
        <v>0.166664524947092</v>
      </c>
      <c r="C27" s="35" t="n">
        <f aca="false">Engine!$K$73</f>
        <v>0.168791744049474</v>
      </c>
      <c r="D27" s="35" t="n">
        <f aca="false">Engine!$K$104</f>
        <v>0.175024241857651</v>
      </c>
      <c r="E27" s="35" t="n">
        <f aca="false">Engine!$K$135</f>
        <v>0.169421616424719</v>
      </c>
      <c r="F27" s="35" t="n">
        <f aca="false">Engine!$K$166</f>
        <v>0.174532969003032</v>
      </c>
      <c r="G27" s="36" t="n">
        <f aca="false">Inputs!$C$9</f>
        <v>0.15</v>
      </c>
      <c r="I27" s="25" t="n">
        <f aca="false">A27</f>
        <v>0.21</v>
      </c>
      <c r="J27" s="47" t="n">
        <f aca="false">Engine!$L$42</f>
        <v>1366.66083501885</v>
      </c>
      <c r="K27" s="47" t="n">
        <f aca="false">Engine!$L$73</f>
        <v>1549.00597624151</v>
      </c>
      <c r="L27" s="47" t="n">
        <f aca="false">Engine!$L$104</f>
        <v>2096.83827226837</v>
      </c>
      <c r="M27" s="47" t="n">
        <f aca="false">Engine!$L$135</f>
        <v>1597.87786890022</v>
      </c>
      <c r="N27" s="47" t="n">
        <f aca="false">Engine!$L$166</f>
        <v>2065.48943576987</v>
      </c>
    </row>
    <row r="28" customFormat="false" ht="15" hidden="false" customHeight="false" outlineLevel="0" collapsed="false">
      <c r="A28" s="83" t="n">
        <f aca="false">Engine!$I$43</f>
        <v>0.22</v>
      </c>
      <c r="B28" s="35" t="n">
        <f aca="false">Engine!$K$43</f>
        <v>0.176095893384123</v>
      </c>
      <c r="C28" s="35" t="n">
        <f aca="false">Engine!$K$74</f>
        <v>0.178190814363655</v>
      </c>
      <c r="D28" s="35" t="n">
        <f aca="false">Engine!$K$105</f>
        <v>0.184183234643359</v>
      </c>
      <c r="E28" s="35" t="n">
        <f aca="false">Engine!$K$136</f>
        <v>0.178993522608295</v>
      </c>
      <c r="F28" s="35" t="n">
        <f aca="false">Engine!$K$167</f>
        <v>0.184128594517539</v>
      </c>
      <c r="G28" s="36" t="n">
        <f aca="false">Inputs!$C$9</f>
        <v>0.15</v>
      </c>
      <c r="I28" s="25" t="n">
        <f aca="false">A28</f>
        <v>0.22</v>
      </c>
      <c r="J28" s="47" t="n">
        <f aca="false">Engine!$L$43</f>
        <v>2194.02787206449</v>
      </c>
      <c r="K28" s="47" t="n">
        <f aca="false">Engine!$L$74</f>
        <v>2382.47307912625</v>
      </c>
      <c r="L28" s="47" t="n">
        <f aca="false">Engine!$L$105</f>
        <v>2931.76964153113</v>
      </c>
      <c r="M28" s="47" t="n">
        <f aca="false">Engine!$L$136</f>
        <v>2444.60876177136</v>
      </c>
      <c r="N28" s="47" t="n">
        <f aca="false">Engine!$L$167</f>
        <v>2947.82779312212</v>
      </c>
    </row>
    <row r="29" customFormat="false" ht="15" hidden="false" customHeight="false" outlineLevel="0" collapsed="false">
      <c r="A29" s="83" t="n">
        <f aca="false">Engine!$I$44</f>
        <v>0.23</v>
      </c>
      <c r="B29" s="35" t="n">
        <f aca="false">Engine!$K$44</f>
        <v>0.185484674192742</v>
      </c>
      <c r="C29" s="35" t="n">
        <f aca="false">Engine!$K$75</f>
        <v>0.187571162454014</v>
      </c>
      <c r="D29" s="35" t="n">
        <f aca="false">Engine!$K$106</f>
        <v>0.193391832218415</v>
      </c>
      <c r="E29" s="35" t="n">
        <f aca="false">Engine!$K$137</f>
        <v>0.188591033998375</v>
      </c>
      <c r="F29" s="35" t="n">
        <f aca="false">Engine!$K$168</f>
        <v>0.193707524869188</v>
      </c>
      <c r="G29" s="36" t="n">
        <f aca="false">Inputs!$C$9</f>
        <v>0.15</v>
      </c>
      <c r="I29" s="25" t="n">
        <f aca="false">A29</f>
        <v>0.23</v>
      </c>
      <c r="J29" s="47" t="n">
        <f aca="false">Engine!$L$44</f>
        <v>3059.8897794602</v>
      </c>
      <c r="K29" s="47" t="n">
        <f aca="false">Engine!$L$75</f>
        <v>3256.58904968019</v>
      </c>
      <c r="L29" s="47" t="n">
        <f aca="false">Engine!$L$106</f>
        <v>3810.40684047031</v>
      </c>
      <c r="M29" s="47" t="n">
        <f aca="false">Engine!$L$137</f>
        <v>3335.43869157095</v>
      </c>
      <c r="N29" s="47" t="n">
        <f aca="false">Engine!$L$168</f>
        <v>3874.19038145363</v>
      </c>
    </row>
    <row r="30" customFormat="false" ht="15" hidden="false" customHeight="false" outlineLevel="0" collapsed="false">
      <c r="A30" s="83" t="n">
        <f aca="false">Engine!$I$45</f>
        <v>0.24</v>
      </c>
      <c r="B30" s="35" t="n">
        <f aca="false">Engine!$K$45</f>
        <v>0.194890709683597</v>
      </c>
      <c r="C30" s="35" t="n">
        <f aca="false">Engine!$K$76</f>
        <v>0.196969469294876</v>
      </c>
      <c r="D30" s="35" t="n">
        <f aca="false">Engine!$K$107</f>
        <v>0.202592347760605</v>
      </c>
      <c r="E30" s="35" t="n">
        <f aca="false">Engine!$K$138</f>
        <v>0.197759752481498</v>
      </c>
      <c r="F30" s="35" t="n">
        <f aca="false">Engine!$K$169</f>
        <v>0.203297385280127</v>
      </c>
      <c r="G30" s="36" t="n">
        <f aca="false">Inputs!$C$9</f>
        <v>0.15</v>
      </c>
      <c r="I30" s="25" t="n">
        <f aca="false">A30</f>
        <v>0.24</v>
      </c>
      <c r="J30" s="47" t="n">
        <f aca="false">Engine!$L$45</f>
        <v>3971.0462254167</v>
      </c>
      <c r="K30" s="47" t="n">
        <f aca="false">Engine!$L$76</f>
        <v>4176.39029444595</v>
      </c>
      <c r="L30" s="47" t="n">
        <f aca="false">Engine!$L$107</f>
        <v>4731.63003160953</v>
      </c>
      <c r="M30" s="47" t="n">
        <f aca="false">Engine!$L$138</f>
        <v>4237.30761864105</v>
      </c>
      <c r="N30" s="47" t="n">
        <f aca="false">Engine!$L$169</f>
        <v>4849.02890573704</v>
      </c>
    </row>
    <row r="31" customFormat="false" ht="15" hidden="false" customHeight="false" outlineLevel="0" collapsed="false">
      <c r="A31" s="83" t="n">
        <f aca="false">Engine!$I$46</f>
        <v>0.25</v>
      </c>
      <c r="B31" s="35" t="n">
        <f aca="false">Engine!$K$46</f>
        <v>0.20431317294718</v>
      </c>
      <c r="C31" s="35" t="n">
        <f aca="false">Engine!$K$77</f>
        <v>0.206384877129988</v>
      </c>
      <c r="D31" s="35" t="n">
        <f aca="false">Engine!$K$108</f>
        <v>0.211801586330238</v>
      </c>
      <c r="E31" s="35" t="n">
        <f aca="false">Engine!$K$139</f>
        <v>0.206745525290629</v>
      </c>
      <c r="F31" s="35" t="n">
        <f aca="false">Engine!$K$170</f>
        <v>0.212897646590057</v>
      </c>
      <c r="G31" s="36" t="n">
        <f aca="false">Inputs!$C$9</f>
        <v>0.15</v>
      </c>
      <c r="I31" s="25" t="n">
        <f aca="false">A31</f>
        <v>0.25</v>
      </c>
      <c r="J31" s="47" t="n">
        <f aca="false">Engine!$L$46</f>
        <v>4929.74004864827</v>
      </c>
      <c r="K31" s="47" t="n">
        <f aca="false">Engine!$L$77</f>
        <v>5144.13823424131</v>
      </c>
      <c r="L31" s="47" t="n">
        <f aca="false">Engine!$L$108</f>
        <v>5699.0874727676</v>
      </c>
      <c r="M31" s="47" t="n">
        <f aca="false">Engine!$L$139</f>
        <v>5171.17304286239</v>
      </c>
      <c r="N31" s="47" t="n">
        <f aca="false">Engine!$L$170</f>
        <v>5874.74466389047</v>
      </c>
    </row>
    <row r="32" customFormat="false" ht="15" hidden="false" customHeight="false" outlineLevel="0" collapsed="false">
      <c r="A32" s="83" t="n">
        <f aca="false">Engine!$I$47</f>
        <v>0.26</v>
      </c>
      <c r="B32" s="35" t="n">
        <f aca="false">Engine!$K$47</f>
        <v>0.213751277308882</v>
      </c>
      <c r="C32" s="35" t="n">
        <f aca="false">Engine!$K$78</f>
        <v>0.2158165698397</v>
      </c>
      <c r="D32" s="35" t="n">
        <f aca="false">Engine!$K$109</f>
        <v>0.221045358325208</v>
      </c>
      <c r="E32" s="35" t="n">
        <f aca="false">Engine!$K$140</f>
        <v>0.216285221102136</v>
      </c>
      <c r="F32" s="35" t="n">
        <f aca="false">Engine!$K$171</f>
        <v>0.222507805411996</v>
      </c>
      <c r="G32" s="36" t="n">
        <f aca="false">Inputs!$C$9</f>
        <v>0.15</v>
      </c>
      <c r="I32" s="25" t="n">
        <f aca="false">A32</f>
        <v>0.26</v>
      </c>
      <c r="J32" s="47" t="n">
        <f aca="false">Engine!$L$47</f>
        <v>5938.31600587542</v>
      </c>
      <c r="K32" s="47" t="n">
        <f aca="false">Engine!$L$78</f>
        <v>6162.19703913071</v>
      </c>
      <c r="L32" s="47" t="n">
        <f aca="false">Engine!$L$109</f>
        <v>6716.8690109056</v>
      </c>
      <c r="M32" s="47" t="n">
        <f aca="false">Engine!$L$140</f>
        <v>6197.33225289937</v>
      </c>
      <c r="N32" s="47" t="n">
        <f aca="false">Engine!$L$171</f>
        <v>6953.84809986084</v>
      </c>
    </row>
    <row r="33" customFormat="false" ht="15" hidden="false" customHeight="false" outlineLevel="0" collapsed="false">
      <c r="A33" s="83" t="n">
        <f aca="false">Engine!$I$48</f>
        <v>0.27</v>
      </c>
      <c r="B33" s="35" t="n">
        <f aca="false">Engine!$K$48</f>
        <v>0.223204274320159</v>
      </c>
      <c r="C33" s="35" t="n">
        <f aca="false">Engine!$K$79</f>
        <v>0.225263770876889</v>
      </c>
      <c r="D33" s="35" t="n">
        <f aca="false">Engine!$K$110</f>
        <v>0.230321755582457</v>
      </c>
      <c r="E33" s="35" t="n">
        <f aca="false">Engine!$K$141</f>
        <v>0.225842952094414</v>
      </c>
      <c r="F33" s="35" t="n">
        <f aca="false">Engine!$K$172</f>
        <v>0.232127382844332</v>
      </c>
      <c r="G33" s="36" t="n">
        <f aca="false">Inputs!$C$9</f>
        <v>0.15</v>
      </c>
      <c r="I33" s="25" t="n">
        <f aca="false">A33</f>
        <v>0.27</v>
      </c>
      <c r="J33" s="47" t="n">
        <f aca="false">Engine!$L$48</f>
        <v>6999.22488434471</v>
      </c>
      <c r="K33" s="47" t="n">
        <f aca="false">Engine!$L$79</f>
        <v>7233.03777432138</v>
      </c>
      <c r="L33" s="47" t="n">
        <f aca="false">Engine!$L$110</f>
        <v>7787.44671902918</v>
      </c>
      <c r="M33" s="47" t="n">
        <f aca="false">Engine!$L$141</f>
        <v>7276.53699323045</v>
      </c>
      <c r="N33" s="47" t="n">
        <f aca="false">Engine!$L$172</f>
        <v>8088.96320835684</v>
      </c>
    </row>
    <row r="34" customFormat="false" ht="15" hidden="false" customHeight="false" outlineLevel="0" collapsed="false">
      <c r="A34" s="83" t="n">
        <f aca="false">Engine!$I$49</f>
        <v>0.28</v>
      </c>
      <c r="B34" s="35" t="n">
        <f aca="false">Engine!$K$49</f>
        <v>0.232671451853009</v>
      </c>
      <c r="C34" s="35" t="n">
        <f aca="false">Engine!$K$80</f>
        <v>0.234725741306942</v>
      </c>
      <c r="D34" s="35" t="n">
        <f aca="false">Engine!$K$111</f>
        <v>0.239628970075568</v>
      </c>
      <c r="E34" s="35" t="n">
        <f aca="false">Engine!$K$142</f>
        <v>0.235417612566237</v>
      </c>
      <c r="F34" s="35" t="n">
        <f aca="false">Engine!$K$173</f>
        <v>0.241755923249559</v>
      </c>
      <c r="G34" s="36" t="n">
        <f aca="false">Inputs!$C$9</f>
        <v>0.15</v>
      </c>
      <c r="I34" s="25" t="n">
        <f aca="false">A34</f>
        <v>0.28</v>
      </c>
      <c r="J34" s="47" t="n">
        <f aca="false">Engine!$L$49</f>
        <v>8115.02775619416</v>
      </c>
      <c r="K34" s="47" t="n">
        <f aca="false">Engine!$L$80</f>
        <v>8359.24268905513</v>
      </c>
      <c r="L34" s="47" t="n">
        <f aca="false">Engine!$L$111</f>
        <v>8913.40389306022</v>
      </c>
      <c r="M34" s="47" t="n">
        <f aca="false">Engine!$L$142</f>
        <v>8411.37695353815</v>
      </c>
      <c r="N34" s="47" t="n">
        <f aca="false">Engine!$L$173</f>
        <v>9282.83209151332</v>
      </c>
    </row>
    <row r="35" customFormat="false" ht="15" hidden="false" customHeight="false" outlineLevel="0" collapsed="false">
      <c r="A35" s="83" t="n">
        <f aca="false">Engine!$I$50</f>
        <v>0.29</v>
      </c>
      <c r="B35" s="35" t="n">
        <f aca="false">Engine!$K$50</f>
        <v>0.242152132291556</v>
      </c>
      <c r="C35" s="35" t="n">
        <f aca="false">Engine!$K$81</f>
        <v>0.24420177794539</v>
      </c>
      <c r="D35" s="35" t="n">
        <f aca="false">Engine!$K$112</f>
        <v>0.248965289385186</v>
      </c>
      <c r="E35" s="35" t="n">
        <f aca="false">Engine!$K$143</f>
        <v>0.245008162639939</v>
      </c>
      <c r="F35" s="35" t="n">
        <f aca="false">Engine!$K$174</f>
        <v>0.251392993096299</v>
      </c>
      <c r="G35" s="36" t="n">
        <f aca="false">Inputs!$C$9</f>
        <v>0.15</v>
      </c>
      <c r="I35" s="25" t="n">
        <f aca="false">A35</f>
        <v>0.29</v>
      </c>
      <c r="J35" s="47" t="n">
        <f aca="false">Engine!$L$50</f>
        <v>9288.40037864708</v>
      </c>
      <c r="K35" s="47" t="n">
        <f aca="false">Engine!$L$81</f>
        <v>9543.50965251089</v>
      </c>
      <c r="L35" s="47" t="n">
        <f aca="false">Engine!$L$112</f>
        <v>10097.4394887155</v>
      </c>
      <c r="M35" s="47" t="n">
        <f aca="false">Engine!$L$143</f>
        <v>9604.55761667471</v>
      </c>
      <c r="N35" s="47" t="n">
        <f aca="false">Engine!$L$174</f>
        <v>10538.3196717532</v>
      </c>
    </row>
    <row r="36" customFormat="false" ht="15" hidden="false" customHeight="false" outlineLevel="0" collapsed="false">
      <c r="A36" s="83" t="n">
        <f aca="false">Engine!$I$51</f>
        <v>0.3</v>
      </c>
      <c r="B36" s="35" t="n">
        <f aca="false">Engine!$K$51</f>
        <v>0.251645670816069</v>
      </c>
      <c r="C36" s="35" t="n">
        <f aca="false">Engine!$K$82</f>
        <v>0.253691211589088</v>
      </c>
      <c r="D36" s="35" t="n">
        <f aca="false">Engine!$K$113</f>
        <v>0.25832909226454</v>
      </c>
      <c r="E36" s="35" t="n">
        <f aca="false">Engine!$K$144</f>
        <v>0.254613624431826</v>
      </c>
      <c r="F36" s="35" t="n">
        <f aca="false">Engine!$K$175</f>
        <v>0.26103817986097</v>
      </c>
      <c r="G36" s="36" t="n">
        <f aca="false">Inputs!$C$9</f>
        <v>0.15</v>
      </c>
      <c r="I36" s="25" t="n">
        <f aca="false">A36</f>
        <v>0.3</v>
      </c>
      <c r="J36" s="47" t="n">
        <f aca="false">Engine!$L$51</f>
        <v>10522.1377441016</v>
      </c>
      <c r="K36" s="47" t="n">
        <f aca="false">Engine!$L$82</f>
        <v>10788.6567408185</v>
      </c>
      <c r="L36" s="47" t="n">
        <f aca="false">Engine!$L$113</f>
        <v>11342.3727095121</v>
      </c>
      <c r="M36" s="47" t="n">
        <f aca="false">Engine!$L$144</f>
        <v>10858.9048487754</v>
      </c>
      <c r="N36" s="47" t="n">
        <f aca="false">Engine!$L$175</f>
        <v>11858.4185652032</v>
      </c>
    </row>
    <row r="38" customFormat="false" ht="15" hidden="false" customHeight="false" outlineLevel="0" collapsed="false">
      <c r="A38" s="33" t="s">
        <v>546</v>
      </c>
      <c r="B38" s="129" t="n">
        <f aca="false">IFERROR(INDEX($A$6:$A$36,MATCH(Inputs!$C$9,B$6:B$36,1))+(Inputs!$C$9-INDEX(B$6:B$36,MATCH(Inputs!$C$9,B$6:B$36,1)))/(INDEX(B$6:B$36,MATCH(Inputs!$C$9,B$6:B$36,1)+1)-INDEX(B$6:B$36,MATCH(Inputs!$C$9,B$6:B$36,1)))*(INDEX($A$6:$A$36,MATCH(Inputs!$C$9,B$6:B$36,1)+1)-INDEX($A$6:$A$36,MATCH(Inputs!$C$9,B$6:B$36,1))),"n/a")</f>
        <v>0.192324058963579</v>
      </c>
      <c r="C38" s="129" t="n">
        <f aca="false">IFERROR(INDEX($A$6:$A$36,MATCH(Inputs!$C$9,C$6:C$36,1))+(Inputs!$C$9-INDEX(C$6:C$36,MATCH(Inputs!$C$9,C$6:C$36,1)))/(INDEX(C$6:C$36,MATCH(Inputs!$C$9,C$6:C$36,1)+1)-INDEX(C$6:C$36,MATCH(Inputs!$C$9,C$6:C$36,1)))*(INDEX($A$6:$A$36,MATCH(Inputs!$C$9,C$6:C$36,1)+1)-INDEX($A$6:$A$36,MATCH(Inputs!$C$9,C$6:C$36,1))),"n/a")</f>
        <v>0.190045335373263</v>
      </c>
      <c r="D38" s="129" t="n">
        <f aca="false">IFERROR(INDEX($A$6:$A$36,MATCH(Inputs!$C$9,D$6:D$36,1))+(Inputs!$C$9-INDEX(D$6:D$36,MATCH(Inputs!$C$9,D$6:D$36,1)))/(INDEX(D$6:D$36,MATCH(Inputs!$C$9,D$6:D$36,1)+1)-INDEX(D$6:D$36,MATCH(Inputs!$C$9,D$6:D$36,1)))*(INDEX($A$6:$A$36,MATCH(Inputs!$C$9,D$6:D$36,1)+1)-INDEX($A$6:$A$36,MATCH(Inputs!$C$9,D$6:D$36,1))),"n/a")</f>
        <v>0.182429159215127</v>
      </c>
      <c r="E38" s="129" t="n">
        <f aca="false">IFERROR(INDEX($A$6:$A$36,MATCH(Inputs!$C$9,E$6:E$36,1))+(Inputs!$C$9-INDEX(E$6:E$36,MATCH(Inputs!$C$9,E$6:E$36,1)))/(INDEX(E$6:E$36,MATCH(Inputs!$C$9,E$6:E$36,1)+1)-INDEX(E$6:E$36,MATCH(Inputs!$C$9,E$6:E$36,1)))*(INDEX($A$6:$A$36,MATCH(Inputs!$C$9,E$6:E$36,1)+1)-INDEX($A$6:$A$36,MATCH(Inputs!$C$9,E$6:E$36,1))),"n/a")</f>
        <v>0.18875137499826</v>
      </c>
      <c r="F38" s="129" t="n">
        <f aca="false">IFERROR(INDEX($A$6:$A$36,MATCH(Inputs!$C$9,F$6:F$36,1))+(Inputs!$C$9-INDEX(F$6:F$36,MATCH(Inputs!$C$9,F$6:F$36,1)))/(INDEX(F$6:F$36,MATCH(Inputs!$C$9,F$6:F$36,1)+1)-INDEX(F$6:F$36,MATCH(Inputs!$C$9,F$6:F$36,1)))*(INDEX($A$6:$A$36,MATCH(Inputs!$C$9,F$6:F$36,1)+1)-INDEX($A$6:$A$36,MATCH(Inputs!$C$9,F$6:F$36,1))),"n/a")</f>
        <v>0.184466189704852</v>
      </c>
      <c r="G38" s="4"/>
    </row>
    <row r="39" customFormat="false" ht="15" hidden="false" customHeight="false" outlineLevel="0" collapsed="false">
      <c r="A39" s="2" t="s">
        <v>547</v>
      </c>
    </row>
    <row r="42" customFormat="false" ht="15" hidden="false" customHeight="false" outlineLevel="0" collapsed="false">
      <c r="A42" s="3" t="s">
        <v>548</v>
      </c>
      <c r="B42" s="4"/>
      <c r="C42" s="4"/>
      <c r="D42" s="4"/>
      <c r="E42" s="4"/>
      <c r="F42" s="4"/>
      <c r="I42" s="3" t="s">
        <v>549</v>
      </c>
      <c r="J42" s="4"/>
      <c r="K42" s="4"/>
      <c r="L42" s="4"/>
      <c r="M42" s="4"/>
      <c r="N42" s="4"/>
    </row>
    <row r="43" customFormat="false" ht="30" hidden="false" customHeight="true" outlineLevel="0" collapsed="false">
      <c r="A43" s="52" t="s">
        <v>246</v>
      </c>
      <c r="B43" s="53" t="s">
        <v>550</v>
      </c>
      <c r="C43" s="53" t="s">
        <v>541</v>
      </c>
      <c r="D43" s="53" t="s">
        <v>542</v>
      </c>
      <c r="E43" s="53" t="s">
        <v>543</v>
      </c>
      <c r="F43" s="53" t="s">
        <v>544</v>
      </c>
      <c r="I43" s="53" t="s">
        <v>246</v>
      </c>
      <c r="J43" s="53" t="s">
        <v>362</v>
      </c>
      <c r="K43" s="53" t="s">
        <v>551</v>
      </c>
      <c r="L43" s="53" t="s">
        <v>552</v>
      </c>
      <c r="M43" s="53" t="s">
        <v>553</v>
      </c>
      <c r="N43" s="53" t="s">
        <v>361</v>
      </c>
    </row>
    <row r="44" customFormat="false" ht="15" hidden="false" customHeight="false" outlineLevel="0" collapsed="false">
      <c r="A44" s="25" t="n">
        <f aca="false">A6</f>
        <v>0</v>
      </c>
      <c r="B44" s="89" t="n">
        <f aca="false">B6</f>
        <v>-0.0287406320352517</v>
      </c>
      <c r="C44" s="96" t="n">
        <f aca="false">(C6-$B6)*10000</f>
        <v>31.1543419255966</v>
      </c>
      <c r="D44" s="96" t="n">
        <f aca="false">(D6-$B6)*10000</f>
        <v>31.1543419255966</v>
      </c>
      <c r="E44" s="96" t="n">
        <f aca="false">(E6-$B6)*10000</f>
        <v>31.1543419255966</v>
      </c>
      <c r="F44" s="96" t="n">
        <f aca="false">(F6-$B6)*10000</f>
        <v>31.1543419255966</v>
      </c>
      <c r="I44" s="25" t="n">
        <f aca="false">A6</f>
        <v>0</v>
      </c>
      <c r="J44" s="47" t="n">
        <f aca="false">Engine!$Q$21</f>
        <v>1731.47517591971</v>
      </c>
      <c r="K44" s="47" t="n">
        <f aca="false">Engine!$R$21</f>
        <v>0</v>
      </c>
      <c r="L44" s="96" t="n">
        <f aca="false">J44+K44</f>
        <v>1731.47517591971</v>
      </c>
      <c r="M44" s="32" t="n">
        <f aca="false">IF(L44=0,0,J44/L44)</f>
        <v>1</v>
      </c>
      <c r="N44" s="96" t="n">
        <f aca="false">J6</f>
        <v>-9275.93804806398</v>
      </c>
    </row>
    <row r="45" customFormat="false" ht="15" hidden="false" customHeight="false" outlineLevel="0" collapsed="false">
      <c r="A45" s="25" t="n">
        <f aca="false">A7</f>
        <v>0.01</v>
      </c>
      <c r="B45" s="89" t="n">
        <f aca="false">B7</f>
        <v>-0.0181395582862501</v>
      </c>
      <c r="C45" s="96" t="n">
        <f aca="false">(C7-$B7)*10000</f>
        <v>30.4134783181468</v>
      </c>
      <c r="D45" s="96" t="n">
        <f aca="false">(D7-$B7)*10000</f>
        <v>30.4134783181468</v>
      </c>
      <c r="E45" s="96" t="n">
        <f aca="false">(E7-$B7)*10000</f>
        <v>30.4134783181468</v>
      </c>
      <c r="F45" s="96" t="n">
        <f aca="false">(F7-$B7)*10000</f>
        <v>30.4134783181468</v>
      </c>
      <c r="I45" s="25" t="n">
        <f aca="false">A7</f>
        <v>0.01</v>
      </c>
      <c r="J45" s="47" t="n">
        <f aca="false">Engine!$Q$22</f>
        <v>1731.47517591971</v>
      </c>
      <c r="K45" s="47" t="n">
        <f aca="false">Engine!$R$22</f>
        <v>0</v>
      </c>
      <c r="L45" s="96" t="n">
        <f aca="false">J45+K45</f>
        <v>1731.47517591971</v>
      </c>
      <c r="M45" s="32" t="n">
        <f aca="false">IF(L45=0,0,J45/L45)</f>
        <v>1</v>
      </c>
      <c r="N45" s="96" t="n">
        <f aca="false">J7</f>
        <v>-8938.14465192184</v>
      </c>
    </row>
    <row r="46" customFormat="false" ht="15" hidden="false" customHeight="false" outlineLevel="0" collapsed="false">
      <c r="A46" s="25" t="n">
        <f aca="false">A8</f>
        <v>0.02</v>
      </c>
      <c r="B46" s="89" t="n">
        <f aca="false">B8</f>
        <v>-0.00757866492576283</v>
      </c>
      <c r="C46" s="96" t="n">
        <f aca="false">(C8-$B8)*10000</f>
        <v>29.7259711637266</v>
      </c>
      <c r="D46" s="96" t="n">
        <f aca="false">(D8-$B8)*10000</f>
        <v>29.7259711637266</v>
      </c>
      <c r="E46" s="96" t="n">
        <f aca="false">(E8-$B8)*10000</f>
        <v>29.7259711637266</v>
      </c>
      <c r="F46" s="96" t="n">
        <f aca="false">(F8-$B8)*10000</f>
        <v>29.7259711637266</v>
      </c>
      <c r="I46" s="25" t="n">
        <f aca="false">A8</f>
        <v>0.02</v>
      </c>
      <c r="J46" s="47" t="n">
        <f aca="false">Engine!$Q$23</f>
        <v>1731.47517591971</v>
      </c>
      <c r="K46" s="47" t="n">
        <f aca="false">Engine!$R$23</f>
        <v>0</v>
      </c>
      <c r="L46" s="96" t="n">
        <f aca="false">J46+K46</f>
        <v>1731.47517591971</v>
      </c>
      <c r="M46" s="32" t="n">
        <f aca="false">IF(L46=0,0,J46/L46)</f>
        <v>1</v>
      </c>
      <c r="N46" s="96" t="n">
        <f aca="false">J8</f>
        <v>-8581.79111591629</v>
      </c>
    </row>
    <row r="47" customFormat="false" ht="15" hidden="false" customHeight="false" outlineLevel="0" collapsed="false">
      <c r="A47" s="25" t="n">
        <f aca="false">A9</f>
        <v>0.03</v>
      </c>
      <c r="B47" s="89" t="n">
        <f aca="false">B9</f>
        <v>0.00236220523875433</v>
      </c>
      <c r="C47" s="96" t="n">
        <f aca="false">(C9-$B9)*10000</f>
        <v>23.451902957695</v>
      </c>
      <c r="D47" s="96" t="n">
        <f aca="false">(D9-$B9)*10000</f>
        <v>34.9152271106669</v>
      </c>
      <c r="E47" s="96" t="n">
        <f aca="false">(E9-$B9)*10000</f>
        <v>34.9152271106669</v>
      </c>
      <c r="F47" s="96" t="n">
        <f aca="false">(F9-$B9)*10000</f>
        <v>26.3288054854121</v>
      </c>
      <c r="I47" s="25" t="n">
        <f aca="false">A9</f>
        <v>0.03</v>
      </c>
      <c r="J47" s="47" t="n">
        <f aca="false">Engine!$Q$24</f>
        <v>1731.47517591971</v>
      </c>
      <c r="K47" s="47" t="n">
        <f aca="false">Engine!$R$24</f>
        <v>16.6540559981688</v>
      </c>
      <c r="L47" s="96" t="n">
        <f aca="false">J47+K47</f>
        <v>1748.12923191788</v>
      </c>
      <c r="M47" s="32" t="n">
        <f aca="false">IF(L47=0,0,J47/L47)</f>
        <v>0.990473212338027</v>
      </c>
      <c r="N47" s="96" t="n">
        <f aca="false">J9</f>
        <v>-8222.53642342691</v>
      </c>
    </row>
    <row r="48" customFormat="false" ht="15" hidden="false" customHeight="false" outlineLevel="0" collapsed="false">
      <c r="A48" s="25" t="n">
        <f aca="false">A10</f>
        <v>0.04</v>
      </c>
      <c r="B48" s="89" t="n">
        <f aca="false">B10</f>
        <v>0.0108740667397131</v>
      </c>
      <c r="C48" s="96" t="n">
        <f aca="false">(C10-$B10)*10000</f>
        <v>23.3797251964722</v>
      </c>
      <c r="D48" s="96" t="n">
        <f aca="false">(D10-$B10)*10000</f>
        <v>54.0938755823207</v>
      </c>
      <c r="E48" s="96" t="n">
        <f aca="false">(E10-$B10)*10000</f>
        <v>54.0938755823207</v>
      </c>
      <c r="F48" s="96" t="n">
        <f aca="false">(F10-$B10)*10000</f>
        <v>31.1374793370212</v>
      </c>
      <c r="I48" s="25" t="n">
        <f aca="false">A10</f>
        <v>0.04</v>
      </c>
      <c r="J48" s="47" t="n">
        <f aca="false">Engine!$Q$25</f>
        <v>1731.47517591971</v>
      </c>
      <c r="K48" s="47" t="n">
        <f aca="false">Engine!$R$25</f>
        <v>78.3473385372478</v>
      </c>
      <c r="L48" s="96" t="n">
        <f aca="false">J48+K48</f>
        <v>1809.82251445696</v>
      </c>
      <c r="M48" s="32" t="n">
        <f aca="false">IF(L48=0,0,J48/L48)</f>
        <v>0.95670993265284</v>
      </c>
      <c r="N48" s="96" t="n">
        <f aca="false">J10</f>
        <v>-7887.72041837778</v>
      </c>
    </row>
    <row r="49" customFormat="false" ht="15" hidden="false" customHeight="false" outlineLevel="0" collapsed="false">
      <c r="A49" s="25" t="n">
        <f aca="false">A11</f>
        <v>0.05</v>
      </c>
      <c r="B49" s="89" t="n">
        <f aca="false">B11</f>
        <v>0.0195060544311213</v>
      </c>
      <c r="C49" s="96" t="n">
        <f aca="false">(C11-$B11)*10000</f>
        <v>23.3002641196949</v>
      </c>
      <c r="D49" s="96" t="n">
        <f aca="false">(D11-$B11)*10000</f>
        <v>71.7913742646219</v>
      </c>
      <c r="E49" s="96" t="n">
        <f aca="false">(E11-$B11)*10000</f>
        <v>71.7913742646219</v>
      </c>
      <c r="F49" s="96" t="n">
        <f aca="false">(F11-$B11)*10000</f>
        <v>35.6197698962898</v>
      </c>
      <c r="I49" s="25" t="n">
        <f aca="false">A11</f>
        <v>0.05</v>
      </c>
      <c r="J49" s="47" t="n">
        <f aca="false">Engine!$Q$26</f>
        <v>1731.47517591971</v>
      </c>
      <c r="K49" s="47" t="n">
        <f aca="false">Engine!$R$26</f>
        <v>143.71311558969</v>
      </c>
      <c r="L49" s="96" t="n">
        <f aca="false">J49+K49</f>
        <v>1875.1882915094</v>
      </c>
      <c r="M49" s="32" t="n">
        <f aca="false">IF(L49=0,0,J49/L49)</f>
        <v>0.923360701301089</v>
      </c>
      <c r="N49" s="96" t="n">
        <f aca="false">J11</f>
        <v>-7534.87848581204</v>
      </c>
    </row>
    <row r="50" customFormat="false" ht="15" hidden="false" customHeight="false" outlineLevel="0" collapsed="false">
      <c r="A50" s="25" t="n">
        <f aca="false">A12</f>
        <v>0.06</v>
      </c>
      <c r="B50" s="89" t="n">
        <f aca="false">B12</f>
        <v>0.0282499099239224</v>
      </c>
      <c r="C50" s="96" t="n">
        <f aca="false">(C12-$B12)*10000</f>
        <v>23.2148818242434</v>
      </c>
      <c r="D50" s="96" t="n">
        <f aca="false">(D12-$B12)*10000</f>
        <v>88.1093501754623</v>
      </c>
      <c r="E50" s="96" t="n">
        <f aca="false">(E12-$B12)*10000</f>
        <v>88.1093501754623</v>
      </c>
      <c r="F50" s="96" t="n">
        <f aca="false">(F12-$B12)*10000</f>
        <v>39.7894321217213</v>
      </c>
      <c r="I50" s="25" t="n">
        <f aca="false">A12</f>
        <v>0.06</v>
      </c>
      <c r="J50" s="47" t="n">
        <f aca="false">Engine!$Q$27</f>
        <v>1731.47517591971</v>
      </c>
      <c r="K50" s="47" t="n">
        <f aca="false">Engine!$R$27</f>
        <v>212.958515663</v>
      </c>
      <c r="L50" s="96" t="n">
        <f aca="false">J50+K50</f>
        <v>1944.43369158271</v>
      </c>
      <c r="M50" s="32" t="n">
        <f aca="false">IF(L50=0,0,J50/L50)</f>
        <v>0.890477871996932</v>
      </c>
      <c r="N50" s="96" t="n">
        <f aca="false">J12</f>
        <v>-7163.06492101626</v>
      </c>
    </row>
    <row r="51" customFormat="false" ht="15" hidden="false" customHeight="false" outlineLevel="0" collapsed="false">
      <c r="A51" s="25" t="n">
        <f aca="false">A13</f>
        <v>0.07</v>
      </c>
      <c r="B51" s="89" t="n">
        <f aca="false">B13</f>
        <v>0.0370977018055284</v>
      </c>
      <c r="C51" s="96" t="n">
        <f aca="false">(C13-$B13)*10000</f>
        <v>23.1248458261833</v>
      </c>
      <c r="D51" s="96" t="n">
        <f aca="false">(D13-$B13)*10000</f>
        <v>103.144577432167</v>
      </c>
      <c r="E51" s="96" t="n">
        <f aca="false">(E13-$B13)*10000</f>
        <v>103.144577432167</v>
      </c>
      <c r="F51" s="96" t="n">
        <f aca="false">(F13-$B13)*10000</f>
        <v>43.6610859059053</v>
      </c>
      <c r="I51" s="25" t="n">
        <f aca="false">A13</f>
        <v>0.07</v>
      </c>
      <c r="J51" s="47" t="n">
        <f aca="false">Engine!$Q$28</f>
        <v>1731.47517591971</v>
      </c>
      <c r="K51" s="47" t="n">
        <f aca="false">Engine!$R$28</f>
        <v>286.301412974178</v>
      </c>
      <c r="L51" s="96" t="n">
        <f aca="false">J51+K51</f>
        <v>2017.77658889389</v>
      </c>
      <c r="M51" s="32" t="n">
        <f aca="false">IF(L51=0,0,J51/L51)</f>
        <v>0.858110449615671</v>
      </c>
      <c r="N51" s="96" t="n">
        <f aca="false">J13</f>
        <v>-6771.28732603617</v>
      </c>
    </row>
    <row r="52" customFormat="false" ht="15" hidden="false" customHeight="false" outlineLevel="0" collapsed="false">
      <c r="A52" s="25" t="n">
        <f aca="false">A14</f>
        <v>0.08</v>
      </c>
      <c r="B52" s="89" t="n">
        <f aca="false">B14</f>
        <v>0.0460418522854522</v>
      </c>
      <c r="C52" s="96" t="n">
        <f aca="false">(C14-$B14)*10000</f>
        <v>23.0313242364874</v>
      </c>
      <c r="D52" s="96" t="n">
        <f aca="false">(D14-$B14)*10000</f>
        <v>116.988868973257</v>
      </c>
      <c r="E52" s="96" t="n">
        <f aca="false">(E14-$B14)*10000</f>
        <v>116.988868973257</v>
      </c>
      <c r="F52" s="96" t="n">
        <f aca="false">(F14-$B14)*10000</f>
        <v>47.2499072575624</v>
      </c>
      <c r="I52" s="25" t="n">
        <f aca="false">A14</f>
        <v>0.08</v>
      </c>
      <c r="J52" s="47" t="n">
        <f aca="false">Engine!$Q$29</f>
        <v>1731.47517591971</v>
      </c>
      <c r="K52" s="47" t="n">
        <f aca="false">Engine!$R$29</f>
        <v>363.970924062045</v>
      </c>
      <c r="L52" s="96" t="n">
        <f aca="false">J52+K52</f>
        <v>2095.44609998175</v>
      </c>
      <c r="M52" s="32" t="n">
        <f aca="false">IF(L52=0,0,J52/L52)</f>
        <v>0.826303848108899</v>
      </c>
      <c r="N52" s="96" t="n">
        <f aca="false">J14</f>
        <v>-6358.50451986986</v>
      </c>
    </row>
    <row r="53" customFormat="false" ht="15" hidden="false" customHeight="false" outlineLevel="0" collapsed="false">
      <c r="A53" s="25" t="n">
        <f aca="false">A15</f>
        <v>0.09</v>
      </c>
      <c r="B53" s="89" t="n">
        <f aca="false">B15</f>
        <v>0.0550751554838188</v>
      </c>
      <c r="C53" s="96" t="n">
        <f aca="false">(C15-$B15)*10000</f>
        <v>22.9353837045603</v>
      </c>
      <c r="D53" s="96" t="n">
        <f aca="false">(D15-$B15)*10000</f>
        <v>129.729033137238</v>
      </c>
      <c r="E53" s="96" t="n">
        <f aca="false">(E15-$B15)*10000</f>
        <v>129.729033137238</v>
      </c>
      <c r="F53" s="96" t="n">
        <f aca="false">(F15-$B15)*10000</f>
        <v>50.5713598965984</v>
      </c>
      <c r="I53" s="25" t="n">
        <f aca="false">A15</f>
        <v>0.09</v>
      </c>
      <c r="J53" s="47" t="n">
        <f aca="false">Engine!$Q$30</f>
        <v>1731.47517591971</v>
      </c>
      <c r="K53" s="47" t="n">
        <f aca="false">Engine!$R$30</f>
        <v>446.207924093906</v>
      </c>
      <c r="L53" s="96" t="n">
        <f aca="false">J53+K53</f>
        <v>2177.68310001361</v>
      </c>
      <c r="M53" s="32" t="n">
        <f aca="false">IF(L53=0,0,J53/L53)</f>
        <v>0.795099698348618</v>
      </c>
      <c r="N53" s="96" t="n">
        <f aca="false">J15</f>
        <v>-5923.62436743548</v>
      </c>
    </row>
    <row r="54" customFormat="false" ht="15" hidden="false" customHeight="false" outlineLevel="0" collapsed="false">
      <c r="A54" s="25" t="n">
        <f aca="false">A16</f>
        <v>0.1</v>
      </c>
      <c r="B54" s="89" t="n">
        <f aca="false">B16</f>
        <v>0.0641907883459574</v>
      </c>
      <c r="C54" s="96" t="n">
        <f aca="false">(C16-$B16)*10000</f>
        <v>22.8379896632799</v>
      </c>
      <c r="D54" s="96" t="n">
        <f aca="false">(D16-$B16)*10000</f>
        <v>141.446887842056</v>
      </c>
      <c r="E54" s="96" t="n">
        <f aca="false">(E16-$B16)*10000</f>
        <v>141.446887842056</v>
      </c>
      <c r="F54" s="96" t="n">
        <f aca="false">(F16-$B16)*10000</f>
        <v>53.6409665662552</v>
      </c>
      <c r="I54" s="25" t="n">
        <f aca="false">A16</f>
        <v>0.1</v>
      </c>
      <c r="J54" s="47" t="n">
        <f aca="false">Engine!$Q$31</f>
        <v>1731.47517591971</v>
      </c>
      <c r="K54" s="47" t="n">
        <f aca="false">Engine!$R$31</f>
        <v>533.265583504789</v>
      </c>
      <c r="L54" s="96" t="n">
        <f aca="false">J54+K54</f>
        <v>2264.7407594245</v>
      </c>
      <c r="M54" s="32" t="n">
        <f aca="false">IF(L54=0,0,J54/L54)</f>
        <v>0.76453570622348</v>
      </c>
      <c r="N54" s="96" t="n">
        <f aca="false">J16</f>
        <v>-5465.50152471426</v>
      </c>
    </row>
    <row r="55" customFormat="false" ht="15" hidden="false" customHeight="false" outlineLevel="0" collapsed="false">
      <c r="A55" s="25" t="n">
        <f aca="false">A17</f>
        <v>0.11</v>
      </c>
      <c r="B55" s="89" t="n">
        <f aca="false">B17</f>
        <v>0.0733823151849494</v>
      </c>
      <c r="C55" s="96" t="n">
        <f aca="false">(C17-$B17)*10000</f>
        <v>22.6731845847131</v>
      </c>
      <c r="D55" s="96" t="n">
        <f aca="false">(D17-$B17)*10000</f>
        <v>135.504664051666</v>
      </c>
      <c r="E55" s="96" t="n">
        <f aca="false">(E17-$B17)*10000</f>
        <v>66.1768481505061</v>
      </c>
      <c r="F55" s="96" t="n">
        <f aca="false">(F17-$B17)*10000</f>
        <v>56.4232591135809</v>
      </c>
      <c r="I55" s="25" t="n">
        <f aca="false">A17</f>
        <v>0.11</v>
      </c>
      <c r="J55" s="47" t="n">
        <f aca="false">Engine!$Q$32</f>
        <v>1731.47517591971</v>
      </c>
      <c r="K55" s="47" t="n">
        <f aca="false">Engine!$R$32</f>
        <v>625.409925623286</v>
      </c>
      <c r="L55" s="96" t="n">
        <f aca="false">J55+K55</f>
        <v>2356.88510154299</v>
      </c>
      <c r="M55" s="32" t="n">
        <f aca="false">IF(L55=0,0,J55/L55)</f>
        <v>0.734645560271969</v>
      </c>
      <c r="N55" s="96" t="n">
        <f aca="false">J17</f>
        <v>-4982.93509740619</v>
      </c>
    </row>
    <row r="56" customFormat="false" ht="15" hidden="false" customHeight="false" outlineLevel="0" collapsed="false">
      <c r="A56" s="25" t="n">
        <f aca="false">A18</f>
        <v>0.12</v>
      </c>
      <c r="B56" s="89" t="n">
        <f aca="false">B18</f>
        <v>0.0825791858593733</v>
      </c>
      <c r="C56" s="96" t="n">
        <f aca="false">(C18-$B18)*10000</f>
        <v>22.4401486987685</v>
      </c>
      <c r="D56" s="96" t="n">
        <f aca="false">(D18-$B18)*10000</f>
        <v>127.38183985193</v>
      </c>
      <c r="E56" s="96" t="n">
        <f aca="false">(E18-$B18)*10000</f>
        <v>23.287220614563</v>
      </c>
      <c r="F56" s="96" t="n">
        <f aca="false">(F18-$B18)*10000</f>
        <v>59.0885248244055</v>
      </c>
      <c r="I56" s="25" t="n">
        <f aca="false">A18</f>
        <v>0.12</v>
      </c>
      <c r="J56" s="47" t="n">
        <f aca="false">Engine!$Q$33</f>
        <v>1731.47517591971</v>
      </c>
      <c r="K56" s="47" t="n">
        <f aca="false">Engine!$R$33</f>
        <v>728.742868637482</v>
      </c>
      <c r="L56" s="96" t="n">
        <f aca="false">J56+K56</f>
        <v>2460.21804455719</v>
      </c>
      <c r="M56" s="32" t="n">
        <f aca="false">IF(L56=0,0,J56/L56)</f>
        <v>0.703789316459287</v>
      </c>
      <c r="N56" s="96" t="n">
        <f aca="false">J18</f>
        <v>-4480.48867305447</v>
      </c>
    </row>
    <row r="57" customFormat="false" ht="15" hidden="false" customHeight="false" outlineLevel="0" collapsed="false">
      <c r="A57" s="25" t="n">
        <f aca="false">A19</f>
        <v>0.13</v>
      </c>
      <c r="B57" s="89" t="n">
        <f aca="false">B19</f>
        <v>0.0918189906534683</v>
      </c>
      <c r="C57" s="96" t="n">
        <f aca="false">(C19-$B19)*10000</f>
        <v>22.3213385611627</v>
      </c>
      <c r="D57" s="96" t="n">
        <f aca="false">(D19-$B19)*10000</f>
        <v>119.978603763925</v>
      </c>
      <c r="E57" s="96" t="n">
        <f aca="false">(E19-$B19)*10000</f>
        <v>24.0477237039732</v>
      </c>
      <c r="F57" s="96" t="n">
        <f aca="false">(F19-$B19)*10000</f>
        <v>61.6885851807275</v>
      </c>
      <c r="I57" s="25" t="n">
        <f aca="false">A19</f>
        <v>0.13</v>
      </c>
      <c r="J57" s="47" t="n">
        <f aca="false">Engine!$Q$34</f>
        <v>1731.47517591971</v>
      </c>
      <c r="K57" s="47" t="n">
        <f aca="false">Engine!$R$34</f>
        <v>839.081585382229</v>
      </c>
      <c r="L57" s="96" t="n">
        <f aca="false">J57+K57</f>
        <v>2570.55676130194</v>
      </c>
      <c r="M57" s="32" t="n">
        <f aca="false">IF(L57=0,0,J57/L57)</f>
        <v>0.673579825968422</v>
      </c>
      <c r="N57" s="96" t="n">
        <f aca="false">J19</f>
        <v>-3952.36655664077</v>
      </c>
    </row>
    <row r="58" customFormat="false" ht="15" hidden="false" customHeight="false" outlineLevel="0" collapsed="false">
      <c r="A58" s="25" t="n">
        <f aca="false">A20</f>
        <v>0.14</v>
      </c>
      <c r="B58" s="89" t="n">
        <f aca="false">B20</f>
        <v>0.10110885463485</v>
      </c>
      <c r="C58" s="96" t="n">
        <f aca="false">(C20-$B20)*10000</f>
        <v>22.2075017386203</v>
      </c>
      <c r="D58" s="96" t="n">
        <f aca="false">(D20-$B20)*10000</f>
        <v>113.153860792224</v>
      </c>
      <c r="E58" s="96" t="n">
        <f aca="false">(E20-$B20)*10000</f>
        <v>24.8979049879998</v>
      </c>
      <c r="F58" s="96" t="n">
        <f aca="false">(F20-$B20)*10000</f>
        <v>64.1244990034602</v>
      </c>
      <c r="I58" s="25" t="n">
        <f aca="false">A20</f>
        <v>0.14</v>
      </c>
      <c r="J58" s="47" t="n">
        <f aca="false">Engine!$Q$35</f>
        <v>1731.47517591971</v>
      </c>
      <c r="K58" s="47" t="n">
        <f aca="false">Engine!$R$35</f>
        <v>955.70301115641</v>
      </c>
      <c r="L58" s="96" t="n">
        <f aca="false">J58+K58</f>
        <v>2687.17818707612</v>
      </c>
      <c r="M58" s="32" t="n">
        <f aca="false">IF(L58=0,0,J58/L58)</f>
        <v>0.644346989807811</v>
      </c>
      <c r="N58" s="96" t="n">
        <f aca="false">J20</f>
        <v>-3396.15503629748</v>
      </c>
    </row>
    <row r="59" customFormat="false" ht="15" hidden="false" customHeight="false" outlineLevel="0" collapsed="false">
      <c r="A59" s="25" t="n">
        <f aca="false">A21</f>
        <v>0.15</v>
      </c>
      <c r="B59" s="89" t="n">
        <f aca="false">B21</f>
        <v>0.110445197701687</v>
      </c>
      <c r="C59" s="96" t="n">
        <f aca="false">(C21-$B21)*10000</f>
        <v>21.9437581032246</v>
      </c>
      <c r="D59" s="96" t="n">
        <f aca="false">(D21-$B21)*10000</f>
        <v>106.875792324052</v>
      </c>
      <c r="E59" s="96" t="n">
        <f aca="false">(E21-$B21)*10000</f>
        <v>25.8247295431019</v>
      </c>
      <c r="F59" s="96" t="n">
        <f aca="false">(F21-$B21)*10000</f>
        <v>66.289320605963</v>
      </c>
      <c r="I59" s="25" t="n">
        <f aca="false">A21</f>
        <v>0.15</v>
      </c>
      <c r="J59" s="47" t="n">
        <f aca="false">Engine!$Q$36</f>
        <v>1731.47517591971</v>
      </c>
      <c r="K59" s="47" t="n">
        <f aca="false">Engine!$R$36</f>
        <v>1078.94342289774</v>
      </c>
      <c r="L59" s="96" t="n">
        <f aca="false">J59+K59</f>
        <v>2810.41859881745</v>
      </c>
      <c r="M59" s="32" t="n">
        <f aca="false">IF(L59=0,0,J59/L59)</f>
        <v>0.616091558975687</v>
      </c>
      <c r="N59" s="96" t="n">
        <f aca="false">J21</f>
        <v>-2810.41859881745</v>
      </c>
    </row>
    <row r="60" customFormat="false" ht="15" hidden="false" customHeight="false" outlineLevel="0" collapsed="false">
      <c r="A60" s="25" t="n">
        <f aca="false">A22</f>
        <v>0.16</v>
      </c>
      <c r="B60" s="89" t="n">
        <f aca="false">B22</f>
        <v>0.119743396043373</v>
      </c>
      <c r="C60" s="96" t="n">
        <f aca="false">(C22-$B22)*10000</f>
        <v>21.7705231889619</v>
      </c>
      <c r="D60" s="96" t="n">
        <f aca="false">(D22-$B22)*10000</f>
        <v>101.925481906798</v>
      </c>
      <c r="E60" s="96" t="n">
        <f aca="false">(E22-$B22)*10000</f>
        <v>27.6289930650124</v>
      </c>
      <c r="F60" s="96" t="n">
        <f aca="false">(F22-$B22)*10000</f>
        <v>68.5751430510191</v>
      </c>
      <c r="I60" s="25" t="n">
        <f aca="false">A22</f>
        <v>0.16</v>
      </c>
      <c r="J60" s="47" t="n">
        <f aca="false">Engine!$Q$37</f>
        <v>1731.47517591971</v>
      </c>
      <c r="K60" s="47" t="n">
        <f aca="false">Engine!$R$37</f>
        <v>1215.85320453675</v>
      </c>
      <c r="L60" s="96" t="n">
        <f aca="false">J60+K60</f>
        <v>2947.32838045646</v>
      </c>
      <c r="M60" s="32" t="n">
        <f aca="false">IF(L60=0,0,J60/L60)</f>
        <v>0.587472772766349</v>
      </c>
      <c r="N60" s="96" t="n">
        <f aca="false">J22</f>
        <v>-2200.3512060495</v>
      </c>
    </row>
    <row r="61" customFormat="false" ht="15" hidden="false" customHeight="false" outlineLevel="0" collapsed="false">
      <c r="A61" s="25" t="n">
        <f aca="false">A23</f>
        <v>0.17</v>
      </c>
      <c r="B61" s="89" t="n">
        <f aca="false">B23</f>
        <v>0.129069364918192</v>
      </c>
      <c r="C61" s="96" t="n">
        <f aca="false">(C23-$B23)*10000</f>
        <v>21.6566983398656</v>
      </c>
      <c r="D61" s="96" t="n">
        <f aca="false">(D23-$B23)*10000</f>
        <v>97.5812697715855</v>
      </c>
      <c r="E61" s="96" t="n">
        <f aca="false">(E23-$B23)*10000</f>
        <v>29.6093461740651</v>
      </c>
      <c r="F61" s="96" t="n">
        <f aca="false">(F23-$B23)*10000</f>
        <v>70.7995653418978</v>
      </c>
      <c r="I61" s="25" t="n">
        <f aca="false">A23</f>
        <v>0.17</v>
      </c>
      <c r="J61" s="47" t="n">
        <f aca="false">Engine!$Q$38</f>
        <v>1731.47517591971</v>
      </c>
      <c r="K61" s="47" t="n">
        <f aca="false">Engine!$R$38</f>
        <v>1360.81954372</v>
      </c>
      <c r="L61" s="96" t="n">
        <f aca="false">J61+K61</f>
        <v>3092.29471963971</v>
      </c>
      <c r="M61" s="32" t="n">
        <f aca="false">IF(L61=0,0,J61/L61)</f>
        <v>0.55993213225208</v>
      </c>
      <c r="N61" s="96" t="n">
        <f aca="false">J23</f>
        <v>-1558.39537354995</v>
      </c>
    </row>
    <row r="62" customFormat="false" ht="15" hidden="false" customHeight="false" outlineLevel="0" collapsed="false">
      <c r="A62" s="25" t="n">
        <f aca="false">A24</f>
        <v>0.18</v>
      </c>
      <c r="B62" s="89" t="n">
        <f aca="false">B24</f>
        <v>0.138426292206597</v>
      </c>
      <c r="C62" s="96" t="n">
        <f aca="false">(C24-$B24)*10000</f>
        <v>21.5501746701852</v>
      </c>
      <c r="D62" s="96" t="n">
        <f aca="false">(D24-$B24)*10000</f>
        <v>93.7515468143085</v>
      </c>
      <c r="E62" s="96" t="n">
        <f aca="false">(E24-$B24)*10000</f>
        <v>31.6948005833725</v>
      </c>
      <c r="F62" s="96" t="n">
        <f aca="false">(F24-$B24)*10000</f>
        <v>72.9169294197243</v>
      </c>
      <c r="I62" s="25" t="n">
        <f aca="false">A24</f>
        <v>0.18</v>
      </c>
      <c r="J62" s="47" t="n">
        <f aca="false">Engine!$Q$39</f>
        <v>1731.47517591971</v>
      </c>
      <c r="K62" s="47" t="n">
        <f aca="false">Engine!$R$39</f>
        <v>1513.80087482</v>
      </c>
      <c r="L62" s="96" t="n">
        <f aca="false">J62+K62</f>
        <v>3245.2760507397</v>
      </c>
      <c r="M62" s="32" t="n">
        <f aca="false">IF(L62=0,0,J62/L62)</f>
        <v>0.533537100957883</v>
      </c>
      <c r="N62" s="96" t="n">
        <f aca="false">J24</f>
        <v>-882.472862498112</v>
      </c>
    </row>
    <row r="63" customFormat="false" ht="15" hidden="false" customHeight="false" outlineLevel="0" collapsed="false">
      <c r="A63" s="25" t="n">
        <f aca="false">A25</f>
        <v>0.19</v>
      </c>
      <c r="B63" s="89" t="n">
        <f aca="false">B25</f>
        <v>0.147812293376628</v>
      </c>
      <c r="C63" s="96" t="n">
        <f aca="false">(C25-$B25)*10000</f>
        <v>21.4507304733866</v>
      </c>
      <c r="D63" s="96" t="n">
        <f aca="false">(D25-$B25)*10000</f>
        <v>90.3982873384385</v>
      </c>
      <c r="E63" s="96" t="n">
        <f aca="false">(E25-$B25)*10000</f>
        <v>33.8680149388213</v>
      </c>
      <c r="F63" s="96" t="n">
        <f aca="false">(F25-$B25)*10000</f>
        <v>74.9331597603525</v>
      </c>
      <c r="I63" s="25" t="n">
        <f aca="false">A25</f>
        <v>0.19</v>
      </c>
      <c r="J63" s="47" t="n">
        <f aca="false">Engine!$Q$40</f>
        <v>1731.47517591971</v>
      </c>
      <c r="K63" s="47" t="n">
        <f aca="false">Engine!$R$40</f>
        <v>1675.21356267426</v>
      </c>
      <c r="L63" s="96" t="n">
        <f aca="false">J63+K63</f>
        <v>3406.68873859397</v>
      </c>
      <c r="M63" s="32" t="n">
        <f aca="false">IF(L63=0,0,J63/L63)</f>
        <v>0.508257521828758</v>
      </c>
      <c r="N63" s="96" t="n">
        <f aca="false">J25</f>
        <v>-170.867475319214</v>
      </c>
    </row>
    <row r="64" customFormat="false" ht="15" hidden="false" customHeight="false" outlineLevel="0" collapsed="false">
      <c r="A64" s="25" t="n">
        <f aca="false">A26</f>
        <v>0.2</v>
      </c>
      <c r="B64" s="89" t="n">
        <f aca="false">B26</f>
        <v>0.15722559423369</v>
      </c>
      <c r="C64" s="96" t="n">
        <f aca="false">(C26-$B26)*10000</f>
        <v>21.3581432453136</v>
      </c>
      <c r="D64" s="96" t="n">
        <f aca="false">(D26-$B26)*10000</f>
        <v>86.9263009407256</v>
      </c>
      <c r="E64" s="96" t="n">
        <f aca="false">(E26-$B26)*10000</f>
        <v>30.6664345961763</v>
      </c>
      <c r="F64" s="96" t="n">
        <f aca="false">(F26-$B26)*10000</f>
        <v>76.8538834730492</v>
      </c>
      <c r="I64" s="25" t="n">
        <f aca="false">A26</f>
        <v>0.2</v>
      </c>
      <c r="J64" s="47" t="n">
        <f aca="false">Engine!$Q$41</f>
        <v>1731.47517591971</v>
      </c>
      <c r="K64" s="47" t="n">
        <f aca="false">Engine!$R$41</f>
        <v>1845.49373575418</v>
      </c>
      <c r="L64" s="96" t="n">
        <f aca="false">J64+K64</f>
        <v>3576.96891167389</v>
      </c>
      <c r="M64" s="32" t="n">
        <f aca="false">IF(L64=0,0,J64/L64)</f>
        <v>0.484062125971747</v>
      </c>
      <c r="N64" s="96" t="n">
        <f aca="false">J26</f>
        <v>578.217140375093</v>
      </c>
    </row>
    <row r="65" customFormat="false" ht="15" hidden="false" customHeight="false" outlineLevel="0" collapsed="false">
      <c r="A65" s="25" t="n">
        <f aca="false">A27</f>
        <v>0.21</v>
      </c>
      <c r="B65" s="89" t="n">
        <f aca="false">B27</f>
        <v>0.166664524947092</v>
      </c>
      <c r="C65" s="96" t="n">
        <f aca="false">(C27-$B27)*10000</f>
        <v>21.2721910238242</v>
      </c>
      <c r="D65" s="96" t="n">
        <f aca="false">(D27-$B27)*10000</f>
        <v>83.5971691055876</v>
      </c>
      <c r="E65" s="96" t="n">
        <f aca="false">(E27-$B27)*10000</f>
        <v>27.5709147762757</v>
      </c>
      <c r="F65" s="96" t="n">
        <f aca="false">(F27-$B27)*10000</f>
        <v>78.6844405594023</v>
      </c>
      <c r="I65" s="25" t="n">
        <f aca="false">A27</f>
        <v>0.21</v>
      </c>
      <c r="J65" s="47" t="n">
        <f aca="false">Engine!$Q$42</f>
        <v>1731.47517591971</v>
      </c>
      <c r="K65" s="47" t="n">
        <f aca="false">Engine!$R$42</f>
        <v>2025.09811745695</v>
      </c>
      <c r="L65" s="96" t="n">
        <f aca="false">J65+K65</f>
        <v>3756.57329337666</v>
      </c>
      <c r="M65" s="32" t="n">
        <f aca="false">IF(L65=0,0,J65/L65)</f>
        <v>0.460918779083196</v>
      </c>
      <c r="N65" s="96" t="n">
        <f aca="false">J27</f>
        <v>1366.66083501885</v>
      </c>
    </row>
    <row r="66" customFormat="false" ht="15" hidden="false" customHeight="false" outlineLevel="0" collapsed="false">
      <c r="A66" s="25" t="n">
        <f aca="false">A28</f>
        <v>0.22</v>
      </c>
      <c r="B66" s="89" t="n">
        <f aca="false">B28</f>
        <v>0.176095893384123</v>
      </c>
      <c r="C66" s="96" t="n">
        <f aca="false">(C28-$B28)*10000</f>
        <v>20.9492097953193</v>
      </c>
      <c r="D66" s="96" t="n">
        <f aca="false">(D28-$B28)*10000</f>
        <v>80.8734125923677</v>
      </c>
      <c r="E66" s="96" t="n">
        <f aca="false">(E28-$B28)*10000</f>
        <v>28.9762922417242</v>
      </c>
      <c r="F66" s="96" t="n">
        <f aca="false">(F28-$B28)*10000</f>
        <v>80.3270113341648</v>
      </c>
      <c r="I66" s="25" t="n">
        <f aca="false">A28</f>
        <v>0.22</v>
      </c>
      <c r="J66" s="47" t="n">
        <f aca="false">Engine!$Q$43</f>
        <v>1731.47517591971</v>
      </c>
      <c r="K66" s="47" t="n">
        <f aca="false">Engine!$R$43</f>
        <v>2216.90743523053</v>
      </c>
      <c r="L66" s="96" t="n">
        <f aca="false">J66+K66</f>
        <v>3948.38261115024</v>
      </c>
      <c r="M66" s="32" t="n">
        <f aca="false">IF(L66=0,0,J66/L66)</f>
        <v>0.43852770778344</v>
      </c>
      <c r="N66" s="96" t="n">
        <f aca="false">J28</f>
        <v>2194.02787206449</v>
      </c>
    </row>
    <row r="67" customFormat="false" ht="15" hidden="false" customHeight="false" outlineLevel="0" collapsed="false">
      <c r="A67" s="25" t="n">
        <f aca="false">A29</f>
        <v>0.23</v>
      </c>
      <c r="B67" s="89" t="n">
        <f aca="false">B29</f>
        <v>0.185484674192742</v>
      </c>
      <c r="C67" s="96" t="n">
        <f aca="false">(C29-$B29)*10000</f>
        <v>20.8648826127159</v>
      </c>
      <c r="D67" s="96" t="n">
        <f aca="false">(D29-$B29)*10000</f>
        <v>79.0715802567293</v>
      </c>
      <c r="E67" s="96" t="n">
        <f aca="false">(E29-$B29)*10000</f>
        <v>31.063598056327</v>
      </c>
      <c r="F67" s="96" t="n">
        <f aca="false">(F29-$B29)*10000</f>
        <v>82.2285067644546</v>
      </c>
      <c r="I67" s="25" t="n">
        <f aca="false">A29</f>
        <v>0.23</v>
      </c>
      <c r="J67" s="47" t="n">
        <f aca="false">Engine!$Q$44</f>
        <v>1731.47517591971</v>
      </c>
      <c r="K67" s="47" t="n">
        <f aca="false">Engine!$R$44</f>
        <v>2423.90804714088</v>
      </c>
      <c r="L67" s="96" t="n">
        <f aca="false">J67+K67</f>
        <v>4155.38322306059</v>
      </c>
      <c r="M67" s="32" t="n">
        <f aca="false">IF(L67=0,0,J67/L67)</f>
        <v>0.416682429266876</v>
      </c>
      <c r="N67" s="96" t="n">
        <f aca="false">J29</f>
        <v>3059.8897794602</v>
      </c>
    </row>
    <row r="68" customFormat="false" ht="15" hidden="false" customHeight="false" outlineLevel="0" collapsed="false">
      <c r="A68" s="25" t="n">
        <f aca="false">A30</f>
        <v>0.24</v>
      </c>
      <c r="B68" s="89" t="n">
        <f aca="false">B30</f>
        <v>0.194890709683597</v>
      </c>
      <c r="C68" s="96" t="n">
        <f aca="false">(C30-$B30)*10000</f>
        <v>20.7875961127843</v>
      </c>
      <c r="D68" s="96" t="n">
        <f aca="false">(D30-$B30)*10000</f>
        <v>77.0163807700797</v>
      </c>
      <c r="E68" s="96" t="n">
        <f aca="false">(E30-$B30)*10000</f>
        <v>28.6904279790079</v>
      </c>
      <c r="F68" s="96" t="n">
        <f aca="false">(F30-$B30)*10000</f>
        <v>84.0667559652936</v>
      </c>
      <c r="I68" s="25" t="n">
        <f aca="false">A30</f>
        <v>0.24</v>
      </c>
      <c r="J68" s="47" t="n">
        <f aca="false">Engine!$Q$45</f>
        <v>1731.47517591971</v>
      </c>
      <c r="K68" s="47" t="n">
        <f aca="false">Engine!$R$45</f>
        <v>2641.97570256733</v>
      </c>
      <c r="L68" s="96" t="n">
        <f aca="false">J68+K68</f>
        <v>4373.45087848704</v>
      </c>
      <c r="M68" s="32" t="n">
        <f aca="false">IF(L68=0,0,J68/L68)</f>
        <v>0.395905938817518</v>
      </c>
      <c r="N68" s="96" t="n">
        <f aca="false">J30</f>
        <v>3971.0462254167</v>
      </c>
    </row>
    <row r="69" customFormat="false" ht="15" hidden="false" customHeight="false" outlineLevel="0" collapsed="false">
      <c r="A69" s="25" t="n">
        <f aca="false">A31</f>
        <v>0.25</v>
      </c>
      <c r="B69" s="89" t="n">
        <f aca="false">B31</f>
        <v>0.20431317294718</v>
      </c>
      <c r="C69" s="96" t="n">
        <f aca="false">(C31-$B31)*10000</f>
        <v>20.7170418280842</v>
      </c>
      <c r="D69" s="96" t="n">
        <f aca="false">(D31-$B31)*10000</f>
        <v>74.8841338305833</v>
      </c>
      <c r="E69" s="96" t="n">
        <f aca="false">(E31-$B31)*10000</f>
        <v>24.3235234344891</v>
      </c>
      <c r="F69" s="96" t="n">
        <f aca="false">(F31-$B31)*10000</f>
        <v>85.8447364287712</v>
      </c>
      <c r="I69" s="25" t="n">
        <f aca="false">A31</f>
        <v>0.25</v>
      </c>
      <c r="J69" s="47" t="n">
        <f aca="false">Engine!$Q$46</f>
        <v>1731.47517591971</v>
      </c>
      <c r="K69" s="47" t="n">
        <f aca="false">Engine!$R$46</f>
        <v>2871.66531141065</v>
      </c>
      <c r="L69" s="96" t="n">
        <f aca="false">J69+K69</f>
        <v>4603.14048733036</v>
      </c>
      <c r="M69" s="32" t="n">
        <f aca="false">IF(L69=0,0,J69/L69)</f>
        <v>0.376150843252646</v>
      </c>
      <c r="N69" s="96" t="n">
        <f aca="false">J31</f>
        <v>4929.74004864827</v>
      </c>
    </row>
    <row r="70" customFormat="false" ht="15" hidden="false" customHeight="false" outlineLevel="0" collapsed="false">
      <c r="A70" s="25" t="n">
        <f aca="false">A32</f>
        <v>0.26</v>
      </c>
      <c r="B70" s="89" t="n">
        <f aca="false">B32</f>
        <v>0.213751277308882</v>
      </c>
      <c r="C70" s="96" t="n">
        <f aca="false">(C32-$B32)*10000</f>
        <v>20.6529253081753</v>
      </c>
      <c r="D70" s="96" t="n">
        <f aca="false">(D32-$B32)*10000</f>
        <v>72.9408101632556</v>
      </c>
      <c r="E70" s="96" t="n">
        <f aca="false">(E32-$B32)*10000</f>
        <v>25.3394379325375</v>
      </c>
      <c r="F70" s="96" t="n">
        <f aca="false">(F32-$B32)*10000</f>
        <v>87.5652810311364</v>
      </c>
      <c r="I70" s="25" t="n">
        <f aca="false">A32</f>
        <v>0.26</v>
      </c>
      <c r="J70" s="47" t="n">
        <f aca="false">Engine!$Q$47</f>
        <v>1731.47517591971</v>
      </c>
      <c r="K70" s="47" t="n">
        <f aca="false">Engine!$R$47</f>
        <v>3113.55716369572</v>
      </c>
      <c r="L70" s="96" t="n">
        <f aca="false">J70+K70</f>
        <v>4845.03233961543</v>
      </c>
      <c r="M70" s="32" t="n">
        <f aca="false">IF(L70=0,0,J70/L70)</f>
        <v>0.357371231923943</v>
      </c>
      <c r="N70" s="96" t="n">
        <f aca="false">J32</f>
        <v>5938.31600587542</v>
      </c>
    </row>
    <row r="71" customFormat="false" ht="15" hidden="false" customHeight="false" outlineLevel="0" collapsed="false">
      <c r="A71" s="25" t="n">
        <f aca="false">A33</f>
        <v>0.27</v>
      </c>
      <c r="B71" s="89" t="n">
        <f aca="false">B33</f>
        <v>0.223204274320159</v>
      </c>
      <c r="C71" s="96" t="n">
        <f aca="false">(C33-$B33)*10000</f>
        <v>20.594965567306</v>
      </c>
      <c r="D71" s="96" t="n">
        <f aca="false">(D33-$B33)*10000</f>
        <v>71.1748126229817</v>
      </c>
      <c r="E71" s="96" t="n">
        <f aca="false">(E33-$B33)*10000</f>
        <v>26.3867777425486</v>
      </c>
      <c r="F71" s="96" t="n">
        <f aca="false">(F33-$B33)*10000</f>
        <v>89.2310852417366</v>
      </c>
      <c r="I71" s="25" t="n">
        <f aca="false">A33</f>
        <v>0.27</v>
      </c>
      <c r="J71" s="47" t="n">
        <f aca="false">Engine!$Q$48</f>
        <v>1731.47517591971</v>
      </c>
      <c r="K71" s="47" t="n">
        <f aca="false">Engine!$R$48</f>
        <v>3368.25795658404</v>
      </c>
      <c r="L71" s="96" t="n">
        <f aca="false">J71+K71</f>
        <v>5099.73313250375</v>
      </c>
      <c r="M71" s="32" t="n">
        <f aca="false">IF(L71=0,0,J71/L71)</f>
        <v>0.339522702645742</v>
      </c>
      <c r="N71" s="96" t="n">
        <f aca="false">J33</f>
        <v>6999.22488434471</v>
      </c>
    </row>
    <row r="72" customFormat="false" ht="15" hidden="false" customHeight="false" outlineLevel="0" collapsed="false">
      <c r="A72" s="25" t="n">
        <f aca="false">A34</f>
        <v>0.28</v>
      </c>
      <c r="B72" s="89" t="n">
        <f aca="false">B34</f>
        <v>0.232671451853009</v>
      </c>
      <c r="C72" s="96" t="n">
        <f aca="false">(C34-$B34)*10000</f>
        <v>20.5428945393393</v>
      </c>
      <c r="D72" s="96" t="n">
        <f aca="false">(D34-$B34)*10000</f>
        <v>69.5751822255994</v>
      </c>
      <c r="E72" s="96" t="n">
        <f aca="false">(E34-$B34)*10000</f>
        <v>27.4616071322886</v>
      </c>
      <c r="F72" s="96" t="n">
        <f aca="false">(F34-$B34)*10000</f>
        <v>90.8447139655039</v>
      </c>
      <c r="I72" s="25" t="n">
        <f aca="false">A34</f>
        <v>0.28</v>
      </c>
      <c r="J72" s="47" t="n">
        <f aca="false">Engine!$Q$49</f>
        <v>1731.47517591971</v>
      </c>
      <c r="K72" s="47" t="n">
        <f aca="false">Engine!$R$49</f>
        <v>3636.40185684164</v>
      </c>
      <c r="L72" s="96" t="n">
        <f aca="false">J72+K72</f>
        <v>5367.87703276135</v>
      </c>
      <c r="M72" s="32" t="n">
        <f aca="false">IF(L72=0,0,J72/L72)</f>
        <v>0.322562377146892</v>
      </c>
      <c r="N72" s="96" t="n">
        <f aca="false">J34</f>
        <v>8115.02775619416</v>
      </c>
    </row>
    <row r="73" customFormat="false" ht="15" hidden="false" customHeight="false" outlineLevel="0" collapsed="false">
      <c r="A73" s="25" t="n">
        <f aca="false">A35</f>
        <v>0.29</v>
      </c>
      <c r="B73" s="89" t="n">
        <f aca="false">B35</f>
        <v>0.242152132291556</v>
      </c>
      <c r="C73" s="96" t="n">
        <f aca="false">(C35-$B35)*10000</f>
        <v>20.4964565383353</v>
      </c>
      <c r="D73" s="96" t="n">
        <f aca="false">(D35-$B35)*10000</f>
        <v>68.1315709362951</v>
      </c>
      <c r="E73" s="96" t="n">
        <f aca="false">(E35-$B35)*10000</f>
        <v>28.5603034838267</v>
      </c>
      <c r="F73" s="96" t="n">
        <f aca="false">(F35-$B35)*10000</f>
        <v>92.408608047426</v>
      </c>
      <c r="I73" s="25" t="n">
        <f aca="false">A35</f>
        <v>0.29</v>
      </c>
      <c r="J73" s="47" t="n">
        <f aca="false">Engine!$Q$50</f>
        <v>1731.47517591971</v>
      </c>
      <c r="K73" s="47" t="n">
        <f aca="false">Engine!$R$50</f>
        <v>3918.65159975812</v>
      </c>
      <c r="L73" s="96" t="n">
        <f aca="false">J73+K73</f>
        <v>5650.12677567783</v>
      </c>
      <c r="M73" s="32" t="n">
        <f aca="false">IF(L73=0,0,J73/L73)</f>
        <v>0.306448907195005</v>
      </c>
      <c r="N73" s="96" t="n">
        <f aca="false">J35</f>
        <v>9288.40037864708</v>
      </c>
    </row>
    <row r="74" customFormat="false" ht="15" hidden="false" customHeight="false" outlineLevel="0" collapsed="false">
      <c r="A74" s="25" t="n">
        <f aca="false">A36</f>
        <v>0.3</v>
      </c>
      <c r="B74" s="89" t="n">
        <f aca="false">B36</f>
        <v>0.251645670816069</v>
      </c>
      <c r="C74" s="96" t="n">
        <f aca="false">(C36-$B36)*10000</f>
        <v>20.4554077301922</v>
      </c>
      <c r="D74" s="96" t="n">
        <f aca="false">(D36-$B36)*10000</f>
        <v>66.8342144847162</v>
      </c>
      <c r="E74" s="96" t="n">
        <f aca="false">(E36-$B36)*10000</f>
        <v>29.6795361575758</v>
      </c>
      <c r="F74" s="96" t="n">
        <f aca="false">(F36-$B36)*10000</f>
        <v>93.9250904490074</v>
      </c>
      <c r="I74" s="25" t="n">
        <f aca="false">A36</f>
        <v>0.3</v>
      </c>
      <c r="J74" s="47" t="n">
        <f aca="false">Engine!$Q$51</f>
        <v>1731.47517591971</v>
      </c>
      <c r="K74" s="47" t="n">
        <f aca="false">Engine!$R$51</f>
        <v>4215.69962553358</v>
      </c>
      <c r="L74" s="96" t="n">
        <f aca="false">J74+K74</f>
        <v>5947.17480145329</v>
      </c>
      <c r="M74" s="32" t="n">
        <f aca="false">IF(L74=0,0,J74/L74)</f>
        <v>0.291142472472239</v>
      </c>
      <c r="N74" s="96" t="n">
        <f aca="false">J36</f>
        <v>10522.1377441016</v>
      </c>
    </row>
    <row r="76" customFormat="false" ht="15" hidden="false" customHeight="false" outlineLevel="0" collapsed="false">
      <c r="A76" s="2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W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21" min="3" style="0" width="11"/>
    <col collapsed="false" customWidth="true" hidden="false" outlineLevel="0" max="22" min="22" style="0" width="3"/>
    <col collapsed="false" customWidth="true" hidden="false" outlineLevel="0" max="44" min="23" style="0" width="11"/>
    <col collapsed="false" customWidth="true" hidden="false" outlineLevel="0" max="45" min="45" style="0" width="3"/>
    <col collapsed="false" customWidth="true" hidden="false" outlineLevel="0" max="205" min="46" style="0" width="11"/>
  </cols>
  <sheetData>
    <row r="1" customFormat="false" ht="15" hidden="false" customHeight="false" outlineLevel="0" collapsed="false">
      <c r="A1" s="18" t="s">
        <v>555</v>
      </c>
    </row>
    <row r="2" customFormat="false" ht="15" hidden="false" customHeight="false" outlineLevel="0" collapsed="false">
      <c r="A2" s="2" t="s">
        <v>556</v>
      </c>
    </row>
    <row r="4" customFormat="false" ht="15" hidden="false" customHeight="false" outlineLevel="0" collapsed="false">
      <c r="A4" s="130" t="s">
        <v>557</v>
      </c>
      <c r="B4" s="131"/>
      <c r="C4" s="131"/>
      <c r="D4" s="130" t="s">
        <v>558</v>
      </c>
      <c r="E4" s="131"/>
      <c r="F4" s="131"/>
      <c r="G4" s="131"/>
      <c r="H4" s="131"/>
      <c r="I4" s="131"/>
      <c r="J4" s="131"/>
      <c r="K4" s="130" t="s">
        <v>559</v>
      </c>
      <c r="L4" s="131"/>
      <c r="M4" s="131"/>
      <c r="N4" s="131"/>
      <c r="O4" s="131"/>
      <c r="P4" s="131"/>
      <c r="Q4" s="131"/>
      <c r="R4" s="131"/>
      <c r="S4" s="131"/>
      <c r="T4" s="131"/>
      <c r="U4" s="131"/>
      <c r="W4" s="130" t="s">
        <v>560</v>
      </c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 t="s">
        <v>561</v>
      </c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T4" s="130" t="s">
        <v>562</v>
      </c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0" t="s">
        <v>563</v>
      </c>
      <c r="BK4" s="131"/>
      <c r="BL4" s="131"/>
      <c r="BM4" s="131"/>
      <c r="BN4" s="131"/>
      <c r="BO4" s="131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30" t="s">
        <v>564</v>
      </c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0" t="s">
        <v>565</v>
      </c>
      <c r="CQ4" s="131"/>
      <c r="CR4" s="131"/>
      <c r="CS4" s="131"/>
      <c r="CT4" s="131"/>
      <c r="CU4" s="131"/>
      <c r="CV4" s="131"/>
      <c r="CW4" s="131"/>
      <c r="CX4" s="131"/>
      <c r="CY4" s="131"/>
      <c r="CZ4" s="131"/>
      <c r="DA4" s="131"/>
      <c r="DB4" s="131"/>
      <c r="DC4" s="131"/>
      <c r="DD4" s="131"/>
      <c r="DE4" s="131"/>
      <c r="DF4" s="130" t="s">
        <v>566</v>
      </c>
      <c r="DG4" s="131"/>
      <c r="DH4" s="131"/>
      <c r="DI4" s="131"/>
      <c r="DJ4" s="131"/>
      <c r="DK4" s="131"/>
      <c r="DL4" s="131"/>
      <c r="DM4" s="131"/>
      <c r="DN4" s="131"/>
      <c r="DO4" s="131"/>
      <c r="DP4" s="131"/>
      <c r="DQ4" s="131"/>
      <c r="DR4" s="131"/>
      <c r="DS4" s="131"/>
      <c r="DT4" s="131"/>
      <c r="DU4" s="131"/>
      <c r="DV4" s="130" t="s">
        <v>567</v>
      </c>
      <c r="DW4" s="131"/>
      <c r="DX4" s="131"/>
      <c r="DY4" s="131"/>
      <c r="DZ4" s="131"/>
      <c r="EA4" s="131"/>
      <c r="EB4" s="131"/>
      <c r="EC4" s="131"/>
      <c r="ED4" s="131"/>
      <c r="EE4" s="131"/>
      <c r="EF4" s="131"/>
      <c r="EG4" s="131"/>
      <c r="EH4" s="131"/>
      <c r="EI4" s="131"/>
      <c r="EJ4" s="131"/>
      <c r="EK4" s="131"/>
      <c r="EL4" s="130" t="s">
        <v>568</v>
      </c>
      <c r="EM4" s="131"/>
      <c r="EN4" s="131"/>
      <c r="EO4" s="131"/>
      <c r="EP4" s="131"/>
      <c r="EQ4" s="131"/>
      <c r="ER4" s="131"/>
      <c r="ES4" s="131"/>
      <c r="ET4" s="131"/>
      <c r="EU4" s="131"/>
      <c r="EV4" s="131"/>
      <c r="EW4" s="131"/>
      <c r="EX4" s="131"/>
      <c r="EY4" s="131"/>
      <c r="EZ4" s="131"/>
      <c r="FA4" s="131"/>
      <c r="FB4" s="130" t="s">
        <v>569</v>
      </c>
      <c r="FC4" s="131"/>
      <c r="FD4" s="131"/>
      <c r="FE4" s="131"/>
      <c r="FF4" s="131"/>
      <c r="FG4" s="131"/>
      <c r="FH4" s="131"/>
      <c r="FI4" s="131"/>
      <c r="FJ4" s="131"/>
      <c r="FK4" s="131"/>
      <c r="FL4" s="131"/>
      <c r="FM4" s="131"/>
      <c r="FN4" s="131"/>
      <c r="FO4" s="131"/>
      <c r="FP4" s="131"/>
      <c r="FQ4" s="131"/>
      <c r="FR4" s="130" t="s">
        <v>570</v>
      </c>
      <c r="FS4" s="131"/>
      <c r="FT4" s="131"/>
      <c r="FU4" s="131"/>
      <c r="FV4" s="131"/>
      <c r="FW4" s="131"/>
      <c r="FX4" s="131"/>
      <c r="FY4" s="131"/>
      <c r="FZ4" s="131"/>
      <c r="GA4" s="131"/>
      <c r="GB4" s="131"/>
      <c r="GC4" s="131"/>
      <c r="GD4" s="131"/>
      <c r="GE4" s="131"/>
      <c r="GF4" s="131"/>
      <c r="GG4" s="131"/>
      <c r="GH4" s="130" t="s">
        <v>571</v>
      </c>
      <c r="GI4" s="131"/>
      <c r="GJ4" s="131"/>
      <c r="GK4" s="131"/>
      <c r="GL4" s="131"/>
      <c r="GM4" s="131"/>
      <c r="GN4" s="131"/>
      <c r="GO4" s="131"/>
      <c r="GP4" s="131"/>
      <c r="GQ4" s="131"/>
      <c r="GR4" s="131"/>
      <c r="GS4" s="131"/>
      <c r="GT4" s="131"/>
      <c r="GU4" s="131"/>
      <c r="GV4" s="131"/>
      <c r="GW4" s="131"/>
    </row>
    <row r="5" customFormat="false" ht="39.75" hidden="false" customHeight="true" outlineLevel="0" collapsed="false">
      <c r="A5" s="53" t="s">
        <v>572</v>
      </c>
      <c r="B5" s="53" t="s">
        <v>557</v>
      </c>
      <c r="C5" s="53" t="s">
        <v>573</v>
      </c>
      <c r="D5" s="53" t="s">
        <v>574</v>
      </c>
      <c r="E5" s="53" t="s">
        <v>575</v>
      </c>
      <c r="F5" s="53" t="s">
        <v>576</v>
      </c>
      <c r="G5" s="53" t="s">
        <v>234</v>
      </c>
      <c r="H5" s="53" t="s">
        <v>577</v>
      </c>
      <c r="I5" s="53" t="s">
        <v>246</v>
      </c>
      <c r="J5" s="53" t="s">
        <v>578</v>
      </c>
      <c r="K5" s="53" t="s">
        <v>341</v>
      </c>
      <c r="L5" s="53" t="s">
        <v>361</v>
      </c>
      <c r="M5" s="53" t="s">
        <v>579</v>
      </c>
      <c r="N5" s="53" t="s">
        <v>580</v>
      </c>
      <c r="O5" s="53" t="s">
        <v>581</v>
      </c>
      <c r="P5" s="53" t="s">
        <v>582</v>
      </c>
      <c r="Q5" s="53" t="s">
        <v>247</v>
      </c>
      <c r="R5" s="53" t="s">
        <v>248</v>
      </c>
      <c r="S5" s="53" t="s">
        <v>583</v>
      </c>
      <c r="T5" s="53" t="s">
        <v>584</v>
      </c>
      <c r="U5" s="53" t="s">
        <v>585</v>
      </c>
      <c r="W5" s="53" t="s">
        <v>586</v>
      </c>
      <c r="X5" s="53" t="s">
        <v>587</v>
      </c>
      <c r="Y5" s="53" t="s">
        <v>588</v>
      </c>
      <c r="Z5" s="53" t="s">
        <v>589</v>
      </c>
      <c r="AA5" s="53" t="s">
        <v>590</v>
      </c>
      <c r="AB5" s="53" t="s">
        <v>591</v>
      </c>
      <c r="AC5" s="53" t="s">
        <v>592</v>
      </c>
      <c r="AD5" s="53" t="s">
        <v>593</v>
      </c>
      <c r="AE5" s="53" t="s">
        <v>594</v>
      </c>
      <c r="AF5" s="53" t="s">
        <v>595</v>
      </c>
      <c r="AG5" s="53" t="s">
        <v>596</v>
      </c>
      <c r="AH5" s="53" t="s">
        <v>586</v>
      </c>
      <c r="AI5" s="53" t="s">
        <v>587</v>
      </c>
      <c r="AJ5" s="53" t="s">
        <v>588</v>
      </c>
      <c r="AK5" s="53" t="s">
        <v>589</v>
      </c>
      <c r="AL5" s="53" t="s">
        <v>590</v>
      </c>
      <c r="AM5" s="53" t="s">
        <v>591</v>
      </c>
      <c r="AN5" s="53" t="s">
        <v>592</v>
      </c>
      <c r="AO5" s="53" t="s">
        <v>593</v>
      </c>
      <c r="AP5" s="53" t="s">
        <v>594</v>
      </c>
      <c r="AQ5" s="53" t="s">
        <v>595</v>
      </c>
      <c r="AR5" s="53" t="s">
        <v>596</v>
      </c>
      <c r="AT5" s="53" t="s">
        <v>597</v>
      </c>
      <c r="AU5" s="53" t="s">
        <v>598</v>
      </c>
      <c r="AV5" s="53" t="s">
        <v>599</v>
      </c>
      <c r="AW5" s="53" t="s">
        <v>600</v>
      </c>
      <c r="AX5" s="53" t="s">
        <v>601</v>
      </c>
      <c r="AY5" s="53" t="s">
        <v>602</v>
      </c>
      <c r="AZ5" s="53" t="s">
        <v>603</v>
      </c>
      <c r="BA5" s="53" t="s">
        <v>604</v>
      </c>
      <c r="BB5" s="53" t="s">
        <v>605</v>
      </c>
      <c r="BC5" s="53" t="s">
        <v>606</v>
      </c>
      <c r="BD5" s="53" t="s">
        <v>141</v>
      </c>
      <c r="BE5" s="53" t="s">
        <v>607</v>
      </c>
      <c r="BF5" s="53" t="s">
        <v>608</v>
      </c>
      <c r="BG5" s="53" t="s">
        <v>609</v>
      </c>
      <c r="BH5" s="53" t="s">
        <v>610</v>
      </c>
      <c r="BI5" s="53" t="s">
        <v>611</v>
      </c>
      <c r="BJ5" s="53" t="s">
        <v>597</v>
      </c>
      <c r="BK5" s="53" t="s">
        <v>598</v>
      </c>
      <c r="BL5" s="53" t="s">
        <v>599</v>
      </c>
      <c r="BM5" s="53" t="s">
        <v>600</v>
      </c>
      <c r="BN5" s="53" t="s">
        <v>601</v>
      </c>
      <c r="BO5" s="53" t="s">
        <v>602</v>
      </c>
      <c r="BP5" s="53" t="s">
        <v>603</v>
      </c>
      <c r="BQ5" s="53" t="s">
        <v>604</v>
      </c>
      <c r="BR5" s="53" t="s">
        <v>605</v>
      </c>
      <c r="BS5" s="53" t="s">
        <v>606</v>
      </c>
      <c r="BT5" s="53" t="s">
        <v>141</v>
      </c>
      <c r="BU5" s="53" t="s">
        <v>607</v>
      </c>
      <c r="BV5" s="53" t="s">
        <v>608</v>
      </c>
      <c r="BW5" s="53" t="s">
        <v>609</v>
      </c>
      <c r="BX5" s="53" t="s">
        <v>610</v>
      </c>
      <c r="BY5" s="53" t="s">
        <v>611</v>
      </c>
      <c r="BZ5" s="53" t="s">
        <v>597</v>
      </c>
      <c r="CA5" s="53" t="s">
        <v>598</v>
      </c>
      <c r="CB5" s="53" t="s">
        <v>599</v>
      </c>
      <c r="CC5" s="53" t="s">
        <v>600</v>
      </c>
      <c r="CD5" s="53" t="s">
        <v>601</v>
      </c>
      <c r="CE5" s="53" t="s">
        <v>602</v>
      </c>
      <c r="CF5" s="53" t="s">
        <v>603</v>
      </c>
      <c r="CG5" s="53" t="s">
        <v>604</v>
      </c>
      <c r="CH5" s="53" t="s">
        <v>605</v>
      </c>
      <c r="CI5" s="53" t="s">
        <v>606</v>
      </c>
      <c r="CJ5" s="53" t="s">
        <v>141</v>
      </c>
      <c r="CK5" s="53" t="s">
        <v>607</v>
      </c>
      <c r="CL5" s="53" t="s">
        <v>608</v>
      </c>
      <c r="CM5" s="53" t="s">
        <v>609</v>
      </c>
      <c r="CN5" s="53" t="s">
        <v>610</v>
      </c>
      <c r="CO5" s="53" t="s">
        <v>611</v>
      </c>
      <c r="CP5" s="53" t="s">
        <v>597</v>
      </c>
      <c r="CQ5" s="53" t="s">
        <v>598</v>
      </c>
      <c r="CR5" s="53" t="s">
        <v>599</v>
      </c>
      <c r="CS5" s="53" t="s">
        <v>600</v>
      </c>
      <c r="CT5" s="53" t="s">
        <v>601</v>
      </c>
      <c r="CU5" s="53" t="s">
        <v>602</v>
      </c>
      <c r="CV5" s="53" t="s">
        <v>603</v>
      </c>
      <c r="CW5" s="53" t="s">
        <v>604</v>
      </c>
      <c r="CX5" s="53" t="s">
        <v>605</v>
      </c>
      <c r="CY5" s="53" t="s">
        <v>606</v>
      </c>
      <c r="CZ5" s="53" t="s">
        <v>141</v>
      </c>
      <c r="DA5" s="53" t="s">
        <v>607</v>
      </c>
      <c r="DB5" s="53" t="s">
        <v>608</v>
      </c>
      <c r="DC5" s="53" t="s">
        <v>609</v>
      </c>
      <c r="DD5" s="53" t="s">
        <v>610</v>
      </c>
      <c r="DE5" s="53" t="s">
        <v>611</v>
      </c>
      <c r="DF5" s="53" t="s">
        <v>597</v>
      </c>
      <c r="DG5" s="53" t="s">
        <v>598</v>
      </c>
      <c r="DH5" s="53" t="s">
        <v>599</v>
      </c>
      <c r="DI5" s="53" t="s">
        <v>600</v>
      </c>
      <c r="DJ5" s="53" t="s">
        <v>601</v>
      </c>
      <c r="DK5" s="53" t="s">
        <v>602</v>
      </c>
      <c r="DL5" s="53" t="s">
        <v>603</v>
      </c>
      <c r="DM5" s="53" t="s">
        <v>604</v>
      </c>
      <c r="DN5" s="53" t="s">
        <v>605</v>
      </c>
      <c r="DO5" s="53" t="s">
        <v>606</v>
      </c>
      <c r="DP5" s="53" t="s">
        <v>141</v>
      </c>
      <c r="DQ5" s="53" t="s">
        <v>607</v>
      </c>
      <c r="DR5" s="53" t="s">
        <v>608</v>
      </c>
      <c r="DS5" s="53" t="s">
        <v>609</v>
      </c>
      <c r="DT5" s="53" t="s">
        <v>610</v>
      </c>
      <c r="DU5" s="53" t="s">
        <v>611</v>
      </c>
      <c r="DV5" s="53" t="s">
        <v>597</v>
      </c>
      <c r="DW5" s="53" t="s">
        <v>598</v>
      </c>
      <c r="DX5" s="53" t="s">
        <v>599</v>
      </c>
      <c r="DY5" s="53" t="s">
        <v>600</v>
      </c>
      <c r="DZ5" s="53" t="s">
        <v>601</v>
      </c>
      <c r="EA5" s="53" t="s">
        <v>602</v>
      </c>
      <c r="EB5" s="53" t="s">
        <v>603</v>
      </c>
      <c r="EC5" s="53" t="s">
        <v>604</v>
      </c>
      <c r="ED5" s="53" t="s">
        <v>605</v>
      </c>
      <c r="EE5" s="53" t="s">
        <v>606</v>
      </c>
      <c r="EF5" s="53" t="s">
        <v>141</v>
      </c>
      <c r="EG5" s="53" t="s">
        <v>607</v>
      </c>
      <c r="EH5" s="53" t="s">
        <v>608</v>
      </c>
      <c r="EI5" s="53" t="s">
        <v>609</v>
      </c>
      <c r="EJ5" s="53" t="s">
        <v>610</v>
      </c>
      <c r="EK5" s="53" t="s">
        <v>611</v>
      </c>
      <c r="EL5" s="53" t="s">
        <v>597</v>
      </c>
      <c r="EM5" s="53" t="s">
        <v>598</v>
      </c>
      <c r="EN5" s="53" t="s">
        <v>599</v>
      </c>
      <c r="EO5" s="53" t="s">
        <v>600</v>
      </c>
      <c r="EP5" s="53" t="s">
        <v>601</v>
      </c>
      <c r="EQ5" s="53" t="s">
        <v>602</v>
      </c>
      <c r="ER5" s="53" t="s">
        <v>603</v>
      </c>
      <c r="ES5" s="53" t="s">
        <v>604</v>
      </c>
      <c r="ET5" s="53" t="s">
        <v>605</v>
      </c>
      <c r="EU5" s="53" t="s">
        <v>606</v>
      </c>
      <c r="EV5" s="53" t="s">
        <v>141</v>
      </c>
      <c r="EW5" s="53" t="s">
        <v>607</v>
      </c>
      <c r="EX5" s="53" t="s">
        <v>608</v>
      </c>
      <c r="EY5" s="53" t="s">
        <v>609</v>
      </c>
      <c r="EZ5" s="53" t="s">
        <v>610</v>
      </c>
      <c r="FA5" s="53" t="s">
        <v>611</v>
      </c>
      <c r="FB5" s="53" t="s">
        <v>597</v>
      </c>
      <c r="FC5" s="53" t="s">
        <v>598</v>
      </c>
      <c r="FD5" s="53" t="s">
        <v>599</v>
      </c>
      <c r="FE5" s="53" t="s">
        <v>600</v>
      </c>
      <c r="FF5" s="53" t="s">
        <v>601</v>
      </c>
      <c r="FG5" s="53" t="s">
        <v>602</v>
      </c>
      <c r="FH5" s="53" t="s">
        <v>603</v>
      </c>
      <c r="FI5" s="53" t="s">
        <v>604</v>
      </c>
      <c r="FJ5" s="53" t="s">
        <v>605</v>
      </c>
      <c r="FK5" s="53" t="s">
        <v>606</v>
      </c>
      <c r="FL5" s="53" t="s">
        <v>141</v>
      </c>
      <c r="FM5" s="53" t="s">
        <v>607</v>
      </c>
      <c r="FN5" s="53" t="s">
        <v>608</v>
      </c>
      <c r="FO5" s="53" t="s">
        <v>609</v>
      </c>
      <c r="FP5" s="53" t="s">
        <v>610</v>
      </c>
      <c r="FQ5" s="53" t="s">
        <v>611</v>
      </c>
      <c r="FR5" s="53" t="s">
        <v>597</v>
      </c>
      <c r="FS5" s="53" t="s">
        <v>598</v>
      </c>
      <c r="FT5" s="53" t="s">
        <v>599</v>
      </c>
      <c r="FU5" s="53" t="s">
        <v>600</v>
      </c>
      <c r="FV5" s="53" t="s">
        <v>601</v>
      </c>
      <c r="FW5" s="53" t="s">
        <v>602</v>
      </c>
      <c r="FX5" s="53" t="s">
        <v>603</v>
      </c>
      <c r="FY5" s="53" t="s">
        <v>604</v>
      </c>
      <c r="FZ5" s="53" t="s">
        <v>605</v>
      </c>
      <c r="GA5" s="53" t="s">
        <v>606</v>
      </c>
      <c r="GB5" s="53" t="s">
        <v>141</v>
      </c>
      <c r="GC5" s="53" t="s">
        <v>607</v>
      </c>
      <c r="GD5" s="53" t="s">
        <v>608</v>
      </c>
      <c r="GE5" s="53" t="s">
        <v>609</v>
      </c>
      <c r="GF5" s="53" t="s">
        <v>610</v>
      </c>
      <c r="GG5" s="53" t="s">
        <v>611</v>
      </c>
      <c r="GH5" s="53" t="s">
        <v>597</v>
      </c>
      <c r="GI5" s="53" t="s">
        <v>598</v>
      </c>
      <c r="GJ5" s="53" t="s">
        <v>599</v>
      </c>
      <c r="GK5" s="53" t="s">
        <v>600</v>
      </c>
      <c r="GL5" s="53" t="s">
        <v>601</v>
      </c>
      <c r="GM5" s="53" t="s">
        <v>602</v>
      </c>
      <c r="GN5" s="53" t="s">
        <v>603</v>
      </c>
      <c r="GO5" s="53" t="s">
        <v>604</v>
      </c>
      <c r="GP5" s="53" t="s">
        <v>605</v>
      </c>
      <c r="GQ5" s="53" t="s">
        <v>606</v>
      </c>
      <c r="GR5" s="53" t="s">
        <v>141</v>
      </c>
      <c r="GS5" s="53" t="s">
        <v>607</v>
      </c>
      <c r="GT5" s="53" t="s">
        <v>608</v>
      </c>
      <c r="GU5" s="53" t="s">
        <v>609</v>
      </c>
      <c r="GV5" s="53" t="s">
        <v>610</v>
      </c>
      <c r="GW5" s="53" t="s">
        <v>611</v>
      </c>
    </row>
    <row r="7" customFormat="false" ht="15" hidden="false" customHeight="false" outlineLevel="0" collapsed="false">
      <c r="A7" s="5" t="s">
        <v>612</v>
      </c>
      <c r="B7" s="5" t="s">
        <v>613</v>
      </c>
      <c r="D7" s="47" t="n">
        <f aca="false">Inputs!$C$6</f>
        <v>20000</v>
      </c>
      <c r="E7" s="35" t="n">
        <f aca="false">Inputs!$C$18</f>
        <v>0.015</v>
      </c>
      <c r="F7" s="36" t="n">
        <f aca="false">Inputs!$C$20</f>
        <v>0.2</v>
      </c>
      <c r="G7" s="30" t="n">
        <v>0</v>
      </c>
      <c r="H7" s="27" t="n">
        <v>0</v>
      </c>
      <c r="I7" s="132" t="n">
        <f aca="false">Inputs!$C$8</f>
        <v>0.2</v>
      </c>
      <c r="J7" s="36" t="n">
        <f aca="false">Inputs!$C$9</f>
        <v>0.15</v>
      </c>
      <c r="K7" s="89" t="n">
        <f aca="false">IRR(W7:AG7,0.1)</f>
        <v>0.15722559423369</v>
      </c>
      <c r="L7" s="45" t="n">
        <f aca="false">W7+NPV($J7,X7:AG7)</f>
        <v>578.217140375093</v>
      </c>
      <c r="M7" s="45" t="n">
        <f aca="false">SUM(BF7,BV7,CL7,DB7,DR7,EH7,EX7,FN7,GD7,GT7)</f>
        <v>48070.520865654</v>
      </c>
      <c r="N7" s="43" t="n">
        <f aca="false">IF($D7*SUM(Inputs!$C$13:$L$13)=0,0,M7/($D7*SUM(Inputs!$C$13:$L$13)))</f>
        <v>2.4035260432827</v>
      </c>
      <c r="O7" s="42" t="n">
        <f aca="false">$D7*$E7*COLUMNS(Inputs!$C$13:$L$13)</f>
        <v>3000</v>
      </c>
      <c r="P7" s="45" t="n">
        <f aca="false">SUM(BG7,BW7,CM7,DC7,DS7,EI7,EY7,FO7,GE7,GU7)</f>
        <v>7017.63021641351</v>
      </c>
      <c r="Q7" s="42" t="n">
        <f aca="false">PV($J7,COLUMNS(Inputs!$C$13:$L$13),-$D7*$E7,0,1)</f>
        <v>1731.47517591971</v>
      </c>
      <c r="R7" s="45" t="n">
        <f aca="false">NPV($J7,BG7,BW7,CM7,DC7,DS7,EI7,EY7,FO7,GE7,GU7)</f>
        <v>1845.49373575418</v>
      </c>
      <c r="S7" s="45" t="n">
        <f aca="false">Q7+R7</f>
        <v>3576.96891167389</v>
      </c>
      <c r="T7" s="32" t="n">
        <f aca="false">IF(S7=0,0,Q7/S7)</f>
        <v>0.484062125971747</v>
      </c>
      <c r="U7" s="45" t="n">
        <f aca="false">ROUND(ABS(GK7)+ABS(SUM(AV7,BL7,CB7,CR7,DH7,DX7,EN7,FD7,FT7,GJ7)-M7-P7)+ABS(S7-(AH7+NPV($J7,AI7:AR7))),6)</f>
        <v>0</v>
      </c>
      <c r="W7" s="133" t="n">
        <f aca="false">-$D7*Inputs!$C$13</f>
        <v>-4000</v>
      </c>
      <c r="X7" s="133" t="n">
        <f aca="false">BF7-$D7*Inputs!$D$13</f>
        <v>-4000</v>
      </c>
      <c r="Y7" s="133" t="n">
        <f aca="false">BV7-$D7*Inputs!$E$13</f>
        <v>-4000</v>
      </c>
      <c r="Z7" s="133" t="n">
        <f aca="false">CL7-$D7*Inputs!$F$13</f>
        <v>-4000</v>
      </c>
      <c r="AA7" s="133" t="n">
        <f aca="false">DB7-$D7*Inputs!$G$13</f>
        <v>-4000</v>
      </c>
      <c r="AB7" s="133" t="n">
        <f aca="false">DR7-$D7*Inputs!$H$13</f>
        <v>6608.1408</v>
      </c>
      <c r="AC7" s="133" t="n">
        <f aca="false">EH7-$D7*Inputs!$I$13</f>
        <v>6271.815168</v>
      </c>
      <c r="AD7" s="133" t="n">
        <f aca="false">EX7-$D7*Inputs!$J$13</f>
        <v>5948.94256128</v>
      </c>
      <c r="AE7" s="133" t="n">
        <f aca="false">FN7-$D7*Inputs!$K$13</f>
        <v>4745.40818120704</v>
      </c>
      <c r="AF7" s="133" t="n">
        <f aca="false">GD7-$D7*Inputs!$L$13</f>
        <v>4273.14037158052</v>
      </c>
      <c r="AG7" s="84" t="n">
        <f aca="false">GT7</f>
        <v>20223.0737835865</v>
      </c>
      <c r="AH7" s="84" t="n">
        <f aca="false">$D7*$E7</f>
        <v>300</v>
      </c>
      <c r="AI7" s="84" t="n">
        <f aca="false">BG7+$D7*$E7</f>
        <v>300</v>
      </c>
      <c r="AJ7" s="84" t="n">
        <f aca="false">BW7+$D7*$E7</f>
        <v>300</v>
      </c>
      <c r="AK7" s="84" t="n">
        <f aca="false">CM7+$D7*$E7</f>
        <v>300</v>
      </c>
      <c r="AL7" s="84" t="n">
        <f aca="false">DC7+$D7*$E7</f>
        <v>300</v>
      </c>
      <c r="AM7" s="84" t="n">
        <f aca="false">DS7+$D7*$E7</f>
        <v>300</v>
      </c>
      <c r="AN7" s="84" t="n">
        <f aca="false">EI7+$D7*$E7</f>
        <v>300</v>
      </c>
      <c r="AO7" s="84" t="n">
        <f aca="false">EY7+$D7*$E7</f>
        <v>300</v>
      </c>
      <c r="AP7" s="84" t="n">
        <f aca="false">FO7+$D7*$E7</f>
        <v>1193.57667762176</v>
      </c>
      <c r="AQ7" s="84" t="n">
        <f aca="false">GE7+$D7*$E7</f>
        <v>1368.28509289513</v>
      </c>
      <c r="AR7" s="84" t="n">
        <f aca="false">GU7</f>
        <v>5055.76844589662</v>
      </c>
      <c r="AT7" s="133" t="n">
        <f aca="false">$D7*Inputs!$C$13-$D7*$E7</f>
        <v>3700</v>
      </c>
      <c r="AU7" s="84" t="n">
        <f aca="false">AT7*(1+$I7)</f>
        <v>4440</v>
      </c>
      <c r="AV7" s="133" t="n">
        <f aca="false">AU7*Inputs!$C$14</f>
        <v>0</v>
      </c>
      <c r="AW7" s="84" t="n">
        <f aca="false">AU7-AV7</f>
        <v>4440</v>
      </c>
      <c r="AX7" s="133" t="n">
        <f aca="false">$D7*Inputs!$C$13</f>
        <v>4000</v>
      </c>
      <c r="AY7" s="84" t="n">
        <f aca="false">MIN(AV7,AX7)</f>
        <v>0</v>
      </c>
      <c r="AZ7" s="84" t="n">
        <f aca="false">AX7-AY7</f>
        <v>4000</v>
      </c>
      <c r="BA7" s="84" t="n">
        <f aca="false">$G7*AX7</f>
        <v>0</v>
      </c>
      <c r="BB7" s="84" t="n">
        <f aca="false">MIN(AV7-AY7,BA7)</f>
        <v>0</v>
      </c>
      <c r="BC7" s="84" t="n">
        <f aca="false">BA7-BB7</f>
        <v>0</v>
      </c>
      <c r="BD7" s="84" t="n">
        <f aca="false">IF($H7=1,MIN(AV7-AY7-BB7,MAX(0,$F7/(1-$F7)*BB7)),0)</f>
        <v>0</v>
      </c>
      <c r="BE7" s="84" t="n">
        <f aca="false">AV7-AY7-BB7-BD7</f>
        <v>0</v>
      </c>
      <c r="BF7" s="84" t="n">
        <f aca="false">AY7+BB7+(1-$F7)*BE7</f>
        <v>0</v>
      </c>
      <c r="BG7" s="84" t="n">
        <f aca="false">BD7+$F7*BE7</f>
        <v>0</v>
      </c>
      <c r="BH7" s="84" t="n">
        <f aca="false">BB7+(1-$F7)*BE7</f>
        <v>0</v>
      </c>
      <c r="BI7" s="84" t="n">
        <f aca="false">BG7</f>
        <v>0</v>
      </c>
      <c r="BJ7" s="133" t="n">
        <f aca="false">AW7+$D7*Inputs!$D$13-$D7*$E7</f>
        <v>8140</v>
      </c>
      <c r="BK7" s="84" t="n">
        <f aca="false">BJ7*(1+$I7)</f>
        <v>9768</v>
      </c>
      <c r="BL7" s="133" t="n">
        <f aca="false">BK7*Inputs!$D$14</f>
        <v>0</v>
      </c>
      <c r="BM7" s="84" t="n">
        <f aca="false">BK7-BL7</f>
        <v>9768</v>
      </c>
      <c r="BN7" s="133" t="n">
        <f aca="false">AZ7+$D7*Inputs!$D$13</f>
        <v>8000</v>
      </c>
      <c r="BO7" s="84" t="n">
        <f aca="false">MIN(BL7,BN7)</f>
        <v>0</v>
      </c>
      <c r="BP7" s="84" t="n">
        <f aca="false">BN7-BO7</f>
        <v>8000</v>
      </c>
      <c r="BQ7" s="84" t="n">
        <f aca="false">BC7+$G7*(BN7+BC7)</f>
        <v>0</v>
      </c>
      <c r="BR7" s="84" t="n">
        <f aca="false">MIN(BL7-BO7,BQ7)</f>
        <v>0</v>
      </c>
      <c r="BS7" s="84" t="n">
        <f aca="false">BQ7-BR7</f>
        <v>0</v>
      </c>
      <c r="BT7" s="84" t="n">
        <f aca="false">IF($H7=1,MIN(BL7-BO7-BR7,MAX(0,$F7/(1-$F7)*(BH7+BR7)-BI7)),0)</f>
        <v>0</v>
      </c>
      <c r="BU7" s="84" t="n">
        <f aca="false">BL7-BO7-BR7-BT7</f>
        <v>0</v>
      </c>
      <c r="BV7" s="84" t="n">
        <f aca="false">BO7+BR7+(1-$F7)*BU7</f>
        <v>0</v>
      </c>
      <c r="BW7" s="84" t="n">
        <f aca="false">BT7+$F7*BU7</f>
        <v>0</v>
      </c>
      <c r="BX7" s="84" t="n">
        <f aca="false">BH7+BR7+(1-$F7)*BU7</f>
        <v>0</v>
      </c>
      <c r="BY7" s="84" t="n">
        <f aca="false">BI7+BW7</f>
        <v>0</v>
      </c>
      <c r="BZ7" s="133" t="n">
        <f aca="false">BM7+$D7*Inputs!$E$13-$D7*$E7</f>
        <v>13468</v>
      </c>
      <c r="CA7" s="84" t="n">
        <f aca="false">BZ7*(1+$I7)</f>
        <v>16161.6</v>
      </c>
      <c r="CB7" s="133" t="n">
        <f aca="false">CA7*Inputs!$E$14</f>
        <v>0</v>
      </c>
      <c r="CC7" s="84" t="n">
        <f aca="false">CA7-CB7</f>
        <v>16161.6</v>
      </c>
      <c r="CD7" s="133" t="n">
        <f aca="false">BP7+$D7*Inputs!$E$13</f>
        <v>12000</v>
      </c>
      <c r="CE7" s="84" t="n">
        <f aca="false">MIN(CB7,CD7)</f>
        <v>0</v>
      </c>
      <c r="CF7" s="84" t="n">
        <f aca="false">CD7-CE7</f>
        <v>12000</v>
      </c>
      <c r="CG7" s="84" t="n">
        <f aca="false">BS7+$G7*(CD7+BS7)</f>
        <v>0</v>
      </c>
      <c r="CH7" s="84" t="n">
        <f aca="false">MIN(CB7-CE7,CG7)</f>
        <v>0</v>
      </c>
      <c r="CI7" s="84" t="n">
        <f aca="false">CG7-CH7</f>
        <v>0</v>
      </c>
      <c r="CJ7" s="84" t="n">
        <f aca="false">IF($H7=1,MIN(CB7-CE7-CH7,MAX(0,$F7/(1-$F7)*(BX7+CH7)-BY7)),0)</f>
        <v>0</v>
      </c>
      <c r="CK7" s="84" t="n">
        <f aca="false">CB7-CE7-CH7-CJ7</f>
        <v>0</v>
      </c>
      <c r="CL7" s="84" t="n">
        <f aca="false">CE7+CH7+(1-$F7)*CK7</f>
        <v>0</v>
      </c>
      <c r="CM7" s="84" t="n">
        <f aca="false">CJ7+$F7*CK7</f>
        <v>0</v>
      </c>
      <c r="CN7" s="84" t="n">
        <f aca="false">BX7+CH7+(1-$F7)*CK7</f>
        <v>0</v>
      </c>
      <c r="CO7" s="84" t="n">
        <f aca="false">BY7+CM7</f>
        <v>0</v>
      </c>
      <c r="CP7" s="133" t="n">
        <f aca="false">CC7+$D7*Inputs!$F$13-$D7*$E7</f>
        <v>19861.6</v>
      </c>
      <c r="CQ7" s="84" t="n">
        <f aca="false">CP7*(1+$I7)</f>
        <v>23833.92</v>
      </c>
      <c r="CR7" s="133" t="n">
        <f aca="false">CQ7*Inputs!$F$14</f>
        <v>0</v>
      </c>
      <c r="CS7" s="84" t="n">
        <f aca="false">CQ7-CR7</f>
        <v>23833.92</v>
      </c>
      <c r="CT7" s="133" t="n">
        <f aca="false">CF7+$D7*Inputs!$F$13</f>
        <v>16000</v>
      </c>
      <c r="CU7" s="84" t="n">
        <f aca="false">MIN(CR7,CT7)</f>
        <v>0</v>
      </c>
      <c r="CV7" s="84" t="n">
        <f aca="false">CT7-CU7</f>
        <v>16000</v>
      </c>
      <c r="CW7" s="84" t="n">
        <f aca="false">CI7+$G7*(CT7+CI7)</f>
        <v>0</v>
      </c>
      <c r="CX7" s="84" t="n">
        <f aca="false">MIN(CR7-CU7,CW7)</f>
        <v>0</v>
      </c>
      <c r="CY7" s="84" t="n">
        <f aca="false">CW7-CX7</f>
        <v>0</v>
      </c>
      <c r="CZ7" s="84" t="n">
        <f aca="false">IF($H7=1,MIN(CR7-CU7-CX7,MAX(0,$F7/(1-$F7)*(CN7+CX7)-CO7)),0)</f>
        <v>0</v>
      </c>
      <c r="DA7" s="84" t="n">
        <f aca="false">CR7-CU7-CX7-CZ7</f>
        <v>0</v>
      </c>
      <c r="DB7" s="84" t="n">
        <f aca="false">CU7+CX7+(1-$F7)*DA7</f>
        <v>0</v>
      </c>
      <c r="DC7" s="84" t="n">
        <f aca="false">CZ7+$F7*DA7</f>
        <v>0</v>
      </c>
      <c r="DD7" s="84" t="n">
        <f aca="false">CN7+CX7+(1-$F7)*DA7</f>
        <v>0</v>
      </c>
      <c r="DE7" s="84" t="n">
        <f aca="false">CO7+DC7</f>
        <v>0</v>
      </c>
      <c r="DF7" s="133" t="n">
        <f aca="false">CS7+$D7*Inputs!$G$13-$D7*$E7</f>
        <v>27533.92</v>
      </c>
      <c r="DG7" s="84" t="n">
        <f aca="false">DF7*(1+$I7)</f>
        <v>33040.704</v>
      </c>
      <c r="DH7" s="133" t="n">
        <f aca="false">DG7*Inputs!$G$14</f>
        <v>6608.1408</v>
      </c>
      <c r="DI7" s="84" t="n">
        <f aca="false">DG7-DH7</f>
        <v>26432.5632</v>
      </c>
      <c r="DJ7" s="133" t="n">
        <f aca="false">CV7+$D7*Inputs!$G$13</f>
        <v>20000</v>
      </c>
      <c r="DK7" s="84" t="n">
        <f aca="false">MIN(DH7,DJ7)</f>
        <v>6608.1408</v>
      </c>
      <c r="DL7" s="84" t="n">
        <f aca="false">DJ7-DK7</f>
        <v>13391.8592</v>
      </c>
      <c r="DM7" s="84" t="n">
        <f aca="false">CY7+$G7*(DJ7+CY7)</f>
        <v>0</v>
      </c>
      <c r="DN7" s="84" t="n">
        <f aca="false">MIN(DH7-DK7,DM7)</f>
        <v>0</v>
      </c>
      <c r="DO7" s="84" t="n">
        <f aca="false">DM7-DN7</f>
        <v>0</v>
      </c>
      <c r="DP7" s="84" t="n">
        <f aca="false">IF($H7=1,MIN(DH7-DK7-DN7,MAX(0,$F7/(1-$F7)*(DD7+DN7)-DE7)),0)</f>
        <v>0</v>
      </c>
      <c r="DQ7" s="84" t="n">
        <f aca="false">DH7-DK7-DN7-DP7</f>
        <v>0</v>
      </c>
      <c r="DR7" s="84" t="n">
        <f aca="false">DK7+DN7+(1-$F7)*DQ7</f>
        <v>6608.1408</v>
      </c>
      <c r="DS7" s="84" t="n">
        <f aca="false">DP7+$F7*DQ7</f>
        <v>0</v>
      </c>
      <c r="DT7" s="84" t="n">
        <f aca="false">DD7+DN7+(1-$F7)*DQ7</f>
        <v>0</v>
      </c>
      <c r="DU7" s="84" t="n">
        <f aca="false">DE7+DS7</f>
        <v>0</v>
      </c>
      <c r="DV7" s="133" t="n">
        <f aca="false">DI7+$D7*Inputs!$H$13-$D7*$E7</f>
        <v>26132.5632</v>
      </c>
      <c r="DW7" s="84" t="n">
        <f aca="false">DV7*(1+$I7)</f>
        <v>31359.07584</v>
      </c>
      <c r="DX7" s="133" t="n">
        <f aca="false">DW7*Inputs!$H$14</f>
        <v>6271.815168</v>
      </c>
      <c r="DY7" s="84" t="n">
        <f aca="false">DW7-DX7</f>
        <v>25087.260672</v>
      </c>
      <c r="DZ7" s="133" t="n">
        <f aca="false">DL7+$D7*Inputs!$H$13</f>
        <v>13391.8592</v>
      </c>
      <c r="EA7" s="84" t="n">
        <f aca="false">MIN(DX7,DZ7)</f>
        <v>6271.815168</v>
      </c>
      <c r="EB7" s="84" t="n">
        <f aca="false">DZ7-EA7</f>
        <v>7120.044032</v>
      </c>
      <c r="EC7" s="84" t="n">
        <f aca="false">DO7+$G7*(DZ7+DO7)</f>
        <v>0</v>
      </c>
      <c r="ED7" s="84" t="n">
        <f aca="false">MIN(DX7-EA7,EC7)</f>
        <v>0</v>
      </c>
      <c r="EE7" s="84" t="n">
        <f aca="false">EC7-ED7</f>
        <v>0</v>
      </c>
      <c r="EF7" s="84" t="n">
        <f aca="false">IF($H7=1,MIN(DX7-EA7-ED7,MAX(0,$F7/(1-$F7)*(DT7+ED7)-DU7)),0)</f>
        <v>0</v>
      </c>
      <c r="EG7" s="84" t="n">
        <f aca="false">DX7-EA7-ED7-EF7</f>
        <v>0</v>
      </c>
      <c r="EH7" s="84" t="n">
        <f aca="false">EA7+ED7+(1-$F7)*EG7</f>
        <v>6271.815168</v>
      </c>
      <c r="EI7" s="84" t="n">
        <f aca="false">EF7+$F7*EG7</f>
        <v>0</v>
      </c>
      <c r="EJ7" s="84" t="n">
        <f aca="false">DT7+ED7+(1-$F7)*EG7</f>
        <v>0</v>
      </c>
      <c r="EK7" s="84" t="n">
        <f aca="false">DU7+EI7</f>
        <v>0</v>
      </c>
      <c r="EL7" s="133" t="n">
        <f aca="false">DY7+$D7*Inputs!$I$13-$D7*$E7</f>
        <v>24787.260672</v>
      </c>
      <c r="EM7" s="84" t="n">
        <f aca="false">EL7*(1+$I7)</f>
        <v>29744.7128064</v>
      </c>
      <c r="EN7" s="133" t="n">
        <f aca="false">EM7*Inputs!$I$14</f>
        <v>5948.94256128</v>
      </c>
      <c r="EO7" s="84" t="n">
        <f aca="false">EM7-EN7</f>
        <v>23795.77024512</v>
      </c>
      <c r="EP7" s="133" t="n">
        <f aca="false">EB7+$D7*Inputs!$I$13</f>
        <v>7120.044032</v>
      </c>
      <c r="EQ7" s="84" t="n">
        <f aca="false">MIN(EN7,EP7)</f>
        <v>5948.94256128</v>
      </c>
      <c r="ER7" s="84" t="n">
        <f aca="false">EP7-EQ7</f>
        <v>1171.10147072</v>
      </c>
      <c r="ES7" s="84" t="n">
        <f aca="false">EE7+$G7*(EP7+EE7)</f>
        <v>0</v>
      </c>
      <c r="ET7" s="84" t="n">
        <f aca="false">MIN(EN7-EQ7,ES7)</f>
        <v>0</v>
      </c>
      <c r="EU7" s="84" t="n">
        <f aca="false">ES7-ET7</f>
        <v>0</v>
      </c>
      <c r="EV7" s="84" t="n">
        <f aca="false">IF($H7=1,MIN(EN7-EQ7-ET7,MAX(0,$F7/(1-$F7)*(EJ7+ET7)-EK7)),0)</f>
        <v>0</v>
      </c>
      <c r="EW7" s="84" t="n">
        <f aca="false">EN7-EQ7-ET7-EV7</f>
        <v>0</v>
      </c>
      <c r="EX7" s="84" t="n">
        <f aca="false">EQ7+ET7+(1-$F7)*EW7</f>
        <v>5948.94256128</v>
      </c>
      <c r="EY7" s="84" t="n">
        <f aca="false">EV7+$F7*EW7</f>
        <v>0</v>
      </c>
      <c r="EZ7" s="84" t="n">
        <f aca="false">EJ7+ET7+(1-$F7)*EW7</f>
        <v>0</v>
      </c>
      <c r="FA7" s="84" t="n">
        <f aca="false">EK7+EY7</f>
        <v>0</v>
      </c>
      <c r="FB7" s="133" t="n">
        <f aca="false">EO7+$D7*Inputs!$J$13-$D7*$E7</f>
        <v>23495.77024512</v>
      </c>
      <c r="FC7" s="84" t="n">
        <f aca="false">FB7*(1+$I7)</f>
        <v>28194.924294144</v>
      </c>
      <c r="FD7" s="133" t="n">
        <f aca="false">FC7*Inputs!$J$14</f>
        <v>5638.9848588288</v>
      </c>
      <c r="FE7" s="84" t="n">
        <f aca="false">FC7-FD7</f>
        <v>22555.9394353152</v>
      </c>
      <c r="FF7" s="133" t="n">
        <f aca="false">ER7+$D7*Inputs!$J$13</f>
        <v>1171.10147072</v>
      </c>
      <c r="FG7" s="84" t="n">
        <f aca="false">MIN(FD7,FF7)</f>
        <v>1171.10147072</v>
      </c>
      <c r="FH7" s="84" t="n">
        <f aca="false">FF7-FG7</f>
        <v>0</v>
      </c>
      <c r="FI7" s="84" t="n">
        <f aca="false">EU7+$G7*(FF7+EU7)</f>
        <v>0</v>
      </c>
      <c r="FJ7" s="84" t="n">
        <f aca="false">MIN(FD7-FG7,FI7)</f>
        <v>0</v>
      </c>
      <c r="FK7" s="84" t="n">
        <f aca="false">FI7-FJ7</f>
        <v>0</v>
      </c>
      <c r="FL7" s="84" t="n">
        <f aca="false">IF($H7=1,MIN(FD7-FG7-FJ7,MAX(0,$F7/(1-$F7)*(EZ7+FJ7)-FA7)),0)</f>
        <v>0</v>
      </c>
      <c r="FM7" s="84" t="n">
        <f aca="false">FD7-FG7-FJ7-FL7</f>
        <v>4467.8833881088</v>
      </c>
      <c r="FN7" s="84" t="n">
        <f aca="false">FG7+FJ7+(1-$F7)*FM7</f>
        <v>4745.40818120704</v>
      </c>
      <c r="FO7" s="84" t="n">
        <f aca="false">FL7+$F7*FM7</f>
        <v>893.57667762176</v>
      </c>
      <c r="FP7" s="84" t="n">
        <f aca="false">EZ7+FJ7+(1-$F7)*FM7</f>
        <v>3574.30671048704</v>
      </c>
      <c r="FQ7" s="84" t="n">
        <f aca="false">FA7+FO7</f>
        <v>893.57667762176</v>
      </c>
      <c r="FR7" s="133" t="n">
        <f aca="false">FE7+$D7*Inputs!$K$13-$D7*$E7</f>
        <v>22255.9394353152</v>
      </c>
      <c r="FS7" s="84" t="n">
        <f aca="false">FR7*(1+$I7)</f>
        <v>26707.1273223782</v>
      </c>
      <c r="FT7" s="133" t="n">
        <f aca="false">FS7*Inputs!$K$14</f>
        <v>5341.42546447565</v>
      </c>
      <c r="FU7" s="84" t="n">
        <f aca="false">FS7-FT7</f>
        <v>21365.7018579026</v>
      </c>
      <c r="FV7" s="133" t="n">
        <f aca="false">FH7+$D7*Inputs!$K$13</f>
        <v>0</v>
      </c>
      <c r="FW7" s="84" t="n">
        <f aca="false">MIN(FT7,FV7)</f>
        <v>0</v>
      </c>
      <c r="FX7" s="84" t="n">
        <f aca="false">FV7-FW7</f>
        <v>0</v>
      </c>
      <c r="FY7" s="84" t="n">
        <f aca="false">FK7+$G7*(FV7+FK7)</f>
        <v>0</v>
      </c>
      <c r="FZ7" s="84" t="n">
        <f aca="false">MIN(FT7-FW7,FY7)</f>
        <v>0</v>
      </c>
      <c r="GA7" s="84" t="n">
        <f aca="false">FY7-FZ7</f>
        <v>0</v>
      </c>
      <c r="GB7" s="84" t="n">
        <f aca="false">IF($H7=1,MIN(FT7-FW7-FZ7,MAX(0,$F7/(1-$F7)*(FP7+FZ7)-FQ7)),0)</f>
        <v>0</v>
      </c>
      <c r="GC7" s="84" t="n">
        <f aca="false">FT7-FW7-FZ7-GB7</f>
        <v>5341.42546447565</v>
      </c>
      <c r="GD7" s="84" t="n">
        <f aca="false">FW7+FZ7+(1-$F7)*GC7</f>
        <v>4273.14037158052</v>
      </c>
      <c r="GE7" s="84" t="n">
        <f aca="false">GB7+$F7*GC7</f>
        <v>1068.28509289513</v>
      </c>
      <c r="GF7" s="84" t="n">
        <f aca="false">FP7+FZ7+(1-$F7)*GC7</f>
        <v>7847.44708206756</v>
      </c>
      <c r="GG7" s="84" t="n">
        <f aca="false">FQ7+GE7</f>
        <v>1961.86177051689</v>
      </c>
      <c r="GH7" s="133" t="n">
        <f aca="false">FU7+$D7*Inputs!$L$13-$D7*$E7</f>
        <v>21065.7018579026</v>
      </c>
      <c r="GI7" s="84" t="n">
        <f aca="false">GH7*(1+$I7)</f>
        <v>25278.8422294831</v>
      </c>
      <c r="GJ7" s="133" t="n">
        <f aca="false">GI7*Inputs!$L$14</f>
        <v>25278.8422294831</v>
      </c>
      <c r="GK7" s="84" t="n">
        <f aca="false">GI7-GJ7</f>
        <v>0</v>
      </c>
      <c r="GL7" s="133" t="n">
        <f aca="false">FX7+$D7*Inputs!$L$13</f>
        <v>0</v>
      </c>
      <c r="GM7" s="84" t="n">
        <f aca="false">MIN(GJ7,GL7)</f>
        <v>0</v>
      </c>
      <c r="GN7" s="84" t="n">
        <f aca="false">GL7-GM7</f>
        <v>0</v>
      </c>
      <c r="GO7" s="84" t="n">
        <f aca="false">GA7+$G7*(GL7+GA7)</f>
        <v>0</v>
      </c>
      <c r="GP7" s="84" t="n">
        <f aca="false">MIN(GJ7-GM7,GO7)</f>
        <v>0</v>
      </c>
      <c r="GQ7" s="84" t="n">
        <f aca="false">GO7-GP7</f>
        <v>0</v>
      </c>
      <c r="GR7" s="84" t="n">
        <f aca="false">IF($H7=1,MIN(GJ7-GM7-GP7,MAX(0,$F7/(1-$F7)*(GF7+GP7)-GG7)),0)</f>
        <v>0</v>
      </c>
      <c r="GS7" s="84" t="n">
        <f aca="false">GJ7-GM7-GP7-GR7</f>
        <v>25278.8422294831</v>
      </c>
      <c r="GT7" s="84" t="n">
        <f aca="false">GM7+GP7+(1-$F7)*GS7</f>
        <v>20223.0737835865</v>
      </c>
      <c r="GU7" s="84" t="n">
        <f aca="false">GR7+$F7*GS7</f>
        <v>5055.76844589662</v>
      </c>
      <c r="GV7" s="84" t="n">
        <f aca="false">GF7+GP7+(1-$F7)*GS7</f>
        <v>28070.520865654</v>
      </c>
      <c r="GW7" s="84" t="n">
        <f aca="false">GG7+GU7</f>
        <v>7017.63021641351</v>
      </c>
    </row>
    <row r="8" customFormat="false" ht="15" hidden="false" customHeight="false" outlineLevel="0" collapsed="false">
      <c r="A8" s="5" t="s">
        <v>614</v>
      </c>
      <c r="B8" s="5" t="s">
        <v>615</v>
      </c>
      <c r="D8" s="47" t="n">
        <f aca="false">Inputs!$C$6</f>
        <v>20000</v>
      </c>
      <c r="E8" s="35" t="n">
        <f aca="false">Inputs!$C$19</f>
        <v>0.0135</v>
      </c>
      <c r="F8" s="36" t="n">
        <f aca="false">Inputs!$C$20</f>
        <v>0.2</v>
      </c>
      <c r="G8" s="30" t="n">
        <v>0</v>
      </c>
      <c r="H8" s="27" t="n">
        <v>0</v>
      </c>
      <c r="I8" s="132" t="n">
        <f aca="false">Inputs!$C$8</f>
        <v>0.2</v>
      </c>
      <c r="J8" s="36" t="n">
        <f aca="false">Inputs!$C$9</f>
        <v>0.15</v>
      </c>
      <c r="K8" s="89" t="n">
        <f aca="false">IRR(W8:AG8,0.1)</f>
        <v>0.159361408558221</v>
      </c>
      <c r="L8" s="45" t="n">
        <f aca="false">W8+NPV($J8,X8:AG8)</f>
        <v>752.97922879943</v>
      </c>
      <c r="M8" s="45" t="n">
        <f aca="false">SUM(BF8,BV8,CL8,DB8,DR8,EH8,EX8,FN8,GD8,GT8)</f>
        <v>48631.3881906058</v>
      </c>
      <c r="N8" s="43" t="n">
        <f aca="false">IF($D8*SUM(Inputs!$C$13:$L$13)=0,0,M8/($D8*SUM(Inputs!$C$13:$L$13)))</f>
        <v>2.43156940953029</v>
      </c>
      <c r="O8" s="42" t="n">
        <f aca="false">$D8*$E8*COLUMNS(Inputs!$C$13:$L$13)</f>
        <v>2700</v>
      </c>
      <c r="P8" s="45" t="n">
        <f aca="false">SUM(BG8,BW8,CM8,DC8,DS8,EI8,EY8,FO8,GE8,GU8)</f>
        <v>7157.84704765146</v>
      </c>
      <c r="Q8" s="42" t="n">
        <f aca="false">PV($J8,COLUMNS(Inputs!$C$13:$L$13),-$D8*$E8,0,1)</f>
        <v>1558.32765832774</v>
      </c>
      <c r="R8" s="45" t="n">
        <f aca="false">NPV($J8,BG8,BW8,CM8,DC8,DS8,EI8,EY8,FO8,GE8,GU8)</f>
        <v>1884.57967600123</v>
      </c>
      <c r="S8" s="45" t="n">
        <f aca="false">Q8+R8</f>
        <v>3442.90733432897</v>
      </c>
      <c r="T8" s="32" t="n">
        <f aca="false">IF(S8=0,0,Q8/S8)</f>
        <v>0.452619692313461</v>
      </c>
      <c r="U8" s="45" t="n">
        <f aca="false">ROUND(ABS(GK8)+ABS(SUM(AV8,BL8,CB8,CR8,DH8,DX8,EN8,FD8,FT8,GJ8)-M8-P8)+ABS(S8-(AH8+NPV($J8,AI8:AR8))),6)</f>
        <v>0</v>
      </c>
      <c r="W8" s="133" t="n">
        <f aca="false">-$D8*Inputs!$C$13</f>
        <v>-4000</v>
      </c>
      <c r="X8" s="133" t="n">
        <f aca="false">BF8-$D8*Inputs!$D$13</f>
        <v>-4000</v>
      </c>
      <c r="Y8" s="133" t="n">
        <f aca="false">BV8-$D8*Inputs!$E$13</f>
        <v>-4000</v>
      </c>
      <c r="Z8" s="133" t="n">
        <f aca="false">CL8-$D8*Inputs!$F$13</f>
        <v>-4000</v>
      </c>
      <c r="AA8" s="133" t="n">
        <f aca="false">DB8-$D8*Inputs!$G$13</f>
        <v>-4000</v>
      </c>
      <c r="AB8" s="133" t="n">
        <f aca="false">DR8-$D8*Inputs!$H$13</f>
        <v>6661.72032</v>
      </c>
      <c r="AC8" s="133" t="n">
        <f aca="false">EH8-$D8*Inputs!$I$13</f>
        <v>6330.4515072</v>
      </c>
      <c r="AD8" s="133" t="n">
        <f aca="false">EX8-$D8*Inputs!$J$13</f>
        <v>6012.433446912</v>
      </c>
      <c r="AE8" s="133" t="n">
        <f aca="false">FN8-$D8*Inputs!$K$13</f>
        <v>4764.78783240602</v>
      </c>
      <c r="AF8" s="133" t="n">
        <f aca="false">GD8-$D8*Inputs!$L$13</f>
        <v>4331.24053173928</v>
      </c>
      <c r="AG8" s="84" t="n">
        <f aca="false">GT8</f>
        <v>20530.7545523485</v>
      </c>
      <c r="AH8" s="84" t="n">
        <f aca="false">$D8*$E8</f>
        <v>270</v>
      </c>
      <c r="AI8" s="84" t="n">
        <f aca="false">BG8+$D8*$E8</f>
        <v>270</v>
      </c>
      <c r="AJ8" s="84" t="n">
        <f aca="false">BW8+$D8*$E8</f>
        <v>270</v>
      </c>
      <c r="AK8" s="84" t="n">
        <f aca="false">CM8+$D8*$E8</f>
        <v>270</v>
      </c>
      <c r="AL8" s="84" t="n">
        <f aca="false">DC8+$D8*$E8</f>
        <v>270</v>
      </c>
      <c r="AM8" s="84" t="n">
        <f aca="false">DS8+$D8*$E8</f>
        <v>270</v>
      </c>
      <c r="AN8" s="84" t="n">
        <f aca="false">EI8+$D8*$E8</f>
        <v>270</v>
      </c>
      <c r="AO8" s="84" t="n">
        <f aca="false">EY8+$D8*$E8</f>
        <v>270</v>
      </c>
      <c r="AP8" s="84" t="n">
        <f aca="false">FO8+$D8*$E8</f>
        <v>1212.3482766295</v>
      </c>
      <c r="AQ8" s="84" t="n">
        <f aca="false">GE8+$D8*$E8</f>
        <v>1352.81013293482</v>
      </c>
      <c r="AR8" s="84" t="n">
        <f aca="false">GU8</f>
        <v>5132.68863808713</v>
      </c>
      <c r="AT8" s="133" t="n">
        <f aca="false">$D8*Inputs!$C$13-$D8*$E8</f>
        <v>3730</v>
      </c>
      <c r="AU8" s="84" t="n">
        <f aca="false">AT8*(1+$I8)</f>
        <v>4476</v>
      </c>
      <c r="AV8" s="133" t="n">
        <f aca="false">AU8*Inputs!$C$14</f>
        <v>0</v>
      </c>
      <c r="AW8" s="84" t="n">
        <f aca="false">AU8-AV8</f>
        <v>4476</v>
      </c>
      <c r="AX8" s="133" t="n">
        <f aca="false">$D8*Inputs!$C$13</f>
        <v>4000</v>
      </c>
      <c r="AY8" s="84" t="n">
        <f aca="false">MIN(AV8,AX8)</f>
        <v>0</v>
      </c>
      <c r="AZ8" s="84" t="n">
        <f aca="false">AX8-AY8</f>
        <v>4000</v>
      </c>
      <c r="BA8" s="84" t="n">
        <f aca="false">$G8*AX8</f>
        <v>0</v>
      </c>
      <c r="BB8" s="84" t="n">
        <f aca="false">MIN(AV8-AY8,BA8)</f>
        <v>0</v>
      </c>
      <c r="BC8" s="84" t="n">
        <f aca="false">BA8-BB8</f>
        <v>0</v>
      </c>
      <c r="BD8" s="84" t="n">
        <f aca="false">IF($H8=1,MIN(AV8-AY8-BB8,MAX(0,$F8/(1-$F8)*BB8)),0)</f>
        <v>0</v>
      </c>
      <c r="BE8" s="84" t="n">
        <f aca="false">AV8-AY8-BB8-BD8</f>
        <v>0</v>
      </c>
      <c r="BF8" s="84" t="n">
        <f aca="false">AY8+BB8+(1-$F8)*BE8</f>
        <v>0</v>
      </c>
      <c r="BG8" s="84" t="n">
        <f aca="false">BD8+$F8*BE8</f>
        <v>0</v>
      </c>
      <c r="BH8" s="84" t="n">
        <f aca="false">BB8+(1-$F8)*BE8</f>
        <v>0</v>
      </c>
      <c r="BI8" s="84" t="n">
        <f aca="false">BG8</f>
        <v>0</v>
      </c>
      <c r="BJ8" s="133" t="n">
        <f aca="false">AW8+$D8*Inputs!$D$13-$D8*$E8</f>
        <v>8206</v>
      </c>
      <c r="BK8" s="84" t="n">
        <f aca="false">BJ8*(1+$I8)</f>
        <v>9847.2</v>
      </c>
      <c r="BL8" s="133" t="n">
        <f aca="false">BK8*Inputs!$D$14</f>
        <v>0</v>
      </c>
      <c r="BM8" s="84" t="n">
        <f aca="false">BK8-BL8</f>
        <v>9847.2</v>
      </c>
      <c r="BN8" s="133" t="n">
        <f aca="false">AZ8+$D8*Inputs!$D$13</f>
        <v>8000</v>
      </c>
      <c r="BO8" s="84" t="n">
        <f aca="false">MIN(BL8,BN8)</f>
        <v>0</v>
      </c>
      <c r="BP8" s="84" t="n">
        <f aca="false">BN8-BO8</f>
        <v>8000</v>
      </c>
      <c r="BQ8" s="84" t="n">
        <f aca="false">BC8+$G8*(BN8+BC8)</f>
        <v>0</v>
      </c>
      <c r="BR8" s="84" t="n">
        <f aca="false">MIN(BL8-BO8,BQ8)</f>
        <v>0</v>
      </c>
      <c r="BS8" s="84" t="n">
        <f aca="false">BQ8-BR8</f>
        <v>0</v>
      </c>
      <c r="BT8" s="84" t="n">
        <f aca="false">IF($H8=1,MIN(BL8-BO8-BR8,MAX(0,$F8/(1-$F8)*(BH8+BR8)-BI8)),0)</f>
        <v>0</v>
      </c>
      <c r="BU8" s="84" t="n">
        <f aca="false">BL8-BO8-BR8-BT8</f>
        <v>0</v>
      </c>
      <c r="BV8" s="84" t="n">
        <f aca="false">BO8+BR8+(1-$F8)*BU8</f>
        <v>0</v>
      </c>
      <c r="BW8" s="84" t="n">
        <f aca="false">BT8+$F8*BU8</f>
        <v>0</v>
      </c>
      <c r="BX8" s="84" t="n">
        <f aca="false">BH8+BR8+(1-$F8)*BU8</f>
        <v>0</v>
      </c>
      <c r="BY8" s="84" t="n">
        <f aca="false">BI8+BW8</f>
        <v>0</v>
      </c>
      <c r="BZ8" s="133" t="n">
        <f aca="false">BM8+$D8*Inputs!$E$13-$D8*$E8</f>
        <v>13577.2</v>
      </c>
      <c r="CA8" s="84" t="n">
        <f aca="false">BZ8*(1+$I8)</f>
        <v>16292.64</v>
      </c>
      <c r="CB8" s="133" t="n">
        <f aca="false">CA8*Inputs!$E$14</f>
        <v>0</v>
      </c>
      <c r="CC8" s="84" t="n">
        <f aca="false">CA8-CB8</f>
        <v>16292.64</v>
      </c>
      <c r="CD8" s="133" t="n">
        <f aca="false">BP8+$D8*Inputs!$E$13</f>
        <v>12000</v>
      </c>
      <c r="CE8" s="84" t="n">
        <f aca="false">MIN(CB8,CD8)</f>
        <v>0</v>
      </c>
      <c r="CF8" s="84" t="n">
        <f aca="false">CD8-CE8</f>
        <v>12000</v>
      </c>
      <c r="CG8" s="84" t="n">
        <f aca="false">BS8+$G8*(CD8+BS8)</f>
        <v>0</v>
      </c>
      <c r="CH8" s="84" t="n">
        <f aca="false">MIN(CB8-CE8,CG8)</f>
        <v>0</v>
      </c>
      <c r="CI8" s="84" t="n">
        <f aca="false">CG8-CH8</f>
        <v>0</v>
      </c>
      <c r="CJ8" s="84" t="n">
        <f aca="false">IF($H8=1,MIN(CB8-CE8-CH8,MAX(0,$F8/(1-$F8)*(BX8+CH8)-BY8)),0)</f>
        <v>0</v>
      </c>
      <c r="CK8" s="84" t="n">
        <f aca="false">CB8-CE8-CH8-CJ8</f>
        <v>0</v>
      </c>
      <c r="CL8" s="84" t="n">
        <f aca="false">CE8+CH8+(1-$F8)*CK8</f>
        <v>0</v>
      </c>
      <c r="CM8" s="84" t="n">
        <f aca="false">CJ8+$F8*CK8</f>
        <v>0</v>
      </c>
      <c r="CN8" s="84" t="n">
        <f aca="false">BX8+CH8+(1-$F8)*CK8</f>
        <v>0</v>
      </c>
      <c r="CO8" s="84" t="n">
        <f aca="false">BY8+CM8</f>
        <v>0</v>
      </c>
      <c r="CP8" s="133" t="n">
        <f aca="false">CC8+$D8*Inputs!$F$13-$D8*$E8</f>
        <v>20022.64</v>
      </c>
      <c r="CQ8" s="84" t="n">
        <f aca="false">CP8*(1+$I8)</f>
        <v>24027.168</v>
      </c>
      <c r="CR8" s="133" t="n">
        <f aca="false">CQ8*Inputs!$F$14</f>
        <v>0</v>
      </c>
      <c r="CS8" s="84" t="n">
        <f aca="false">CQ8-CR8</f>
        <v>24027.168</v>
      </c>
      <c r="CT8" s="133" t="n">
        <f aca="false">CF8+$D8*Inputs!$F$13</f>
        <v>16000</v>
      </c>
      <c r="CU8" s="84" t="n">
        <f aca="false">MIN(CR8,CT8)</f>
        <v>0</v>
      </c>
      <c r="CV8" s="84" t="n">
        <f aca="false">CT8-CU8</f>
        <v>16000</v>
      </c>
      <c r="CW8" s="84" t="n">
        <f aca="false">CI8+$G8*(CT8+CI8)</f>
        <v>0</v>
      </c>
      <c r="CX8" s="84" t="n">
        <f aca="false">MIN(CR8-CU8,CW8)</f>
        <v>0</v>
      </c>
      <c r="CY8" s="84" t="n">
        <f aca="false">CW8-CX8</f>
        <v>0</v>
      </c>
      <c r="CZ8" s="84" t="n">
        <f aca="false">IF($H8=1,MIN(CR8-CU8-CX8,MAX(0,$F8/(1-$F8)*(CN8+CX8)-CO8)),0)</f>
        <v>0</v>
      </c>
      <c r="DA8" s="84" t="n">
        <f aca="false">CR8-CU8-CX8-CZ8</f>
        <v>0</v>
      </c>
      <c r="DB8" s="84" t="n">
        <f aca="false">CU8+CX8+(1-$F8)*DA8</f>
        <v>0</v>
      </c>
      <c r="DC8" s="84" t="n">
        <f aca="false">CZ8+$F8*DA8</f>
        <v>0</v>
      </c>
      <c r="DD8" s="84" t="n">
        <f aca="false">CN8+CX8+(1-$F8)*DA8</f>
        <v>0</v>
      </c>
      <c r="DE8" s="84" t="n">
        <f aca="false">CO8+DC8</f>
        <v>0</v>
      </c>
      <c r="DF8" s="133" t="n">
        <f aca="false">CS8+$D8*Inputs!$G$13-$D8*$E8</f>
        <v>27757.168</v>
      </c>
      <c r="DG8" s="84" t="n">
        <f aca="false">DF8*(1+$I8)</f>
        <v>33308.6016</v>
      </c>
      <c r="DH8" s="133" t="n">
        <f aca="false">DG8*Inputs!$G$14</f>
        <v>6661.72032</v>
      </c>
      <c r="DI8" s="84" t="n">
        <f aca="false">DG8-DH8</f>
        <v>26646.88128</v>
      </c>
      <c r="DJ8" s="133" t="n">
        <f aca="false">CV8+$D8*Inputs!$G$13</f>
        <v>20000</v>
      </c>
      <c r="DK8" s="84" t="n">
        <f aca="false">MIN(DH8,DJ8)</f>
        <v>6661.72032</v>
      </c>
      <c r="DL8" s="84" t="n">
        <f aca="false">DJ8-DK8</f>
        <v>13338.27968</v>
      </c>
      <c r="DM8" s="84" t="n">
        <f aca="false">CY8+$G8*(DJ8+CY8)</f>
        <v>0</v>
      </c>
      <c r="DN8" s="84" t="n">
        <f aca="false">MIN(DH8-DK8,DM8)</f>
        <v>0</v>
      </c>
      <c r="DO8" s="84" t="n">
        <f aca="false">DM8-DN8</f>
        <v>0</v>
      </c>
      <c r="DP8" s="84" t="n">
        <f aca="false">IF($H8=1,MIN(DH8-DK8-DN8,MAX(0,$F8/(1-$F8)*(DD8+DN8)-DE8)),0)</f>
        <v>0</v>
      </c>
      <c r="DQ8" s="84" t="n">
        <f aca="false">DH8-DK8-DN8-DP8</f>
        <v>0</v>
      </c>
      <c r="DR8" s="84" t="n">
        <f aca="false">DK8+DN8+(1-$F8)*DQ8</f>
        <v>6661.72032</v>
      </c>
      <c r="DS8" s="84" t="n">
        <f aca="false">DP8+$F8*DQ8</f>
        <v>0</v>
      </c>
      <c r="DT8" s="84" t="n">
        <f aca="false">DD8+DN8+(1-$F8)*DQ8</f>
        <v>0</v>
      </c>
      <c r="DU8" s="84" t="n">
        <f aca="false">DE8+DS8</f>
        <v>0</v>
      </c>
      <c r="DV8" s="133" t="n">
        <f aca="false">DI8+$D8*Inputs!$H$13-$D8*$E8</f>
        <v>26376.88128</v>
      </c>
      <c r="DW8" s="84" t="n">
        <f aca="false">DV8*(1+$I8)</f>
        <v>31652.257536</v>
      </c>
      <c r="DX8" s="133" t="n">
        <f aca="false">DW8*Inputs!$H$14</f>
        <v>6330.4515072</v>
      </c>
      <c r="DY8" s="84" t="n">
        <f aca="false">DW8-DX8</f>
        <v>25321.8060288</v>
      </c>
      <c r="DZ8" s="133" t="n">
        <f aca="false">DL8+$D8*Inputs!$H$13</f>
        <v>13338.27968</v>
      </c>
      <c r="EA8" s="84" t="n">
        <f aca="false">MIN(DX8,DZ8)</f>
        <v>6330.4515072</v>
      </c>
      <c r="EB8" s="84" t="n">
        <f aca="false">DZ8-EA8</f>
        <v>7007.8281728</v>
      </c>
      <c r="EC8" s="84" t="n">
        <f aca="false">DO8+$G8*(DZ8+DO8)</f>
        <v>0</v>
      </c>
      <c r="ED8" s="84" t="n">
        <f aca="false">MIN(DX8-EA8,EC8)</f>
        <v>0</v>
      </c>
      <c r="EE8" s="84" t="n">
        <f aca="false">EC8-ED8</f>
        <v>0</v>
      </c>
      <c r="EF8" s="84" t="n">
        <f aca="false">IF($H8=1,MIN(DX8-EA8-ED8,MAX(0,$F8/(1-$F8)*(DT8+ED8)-DU8)),0)</f>
        <v>0</v>
      </c>
      <c r="EG8" s="84" t="n">
        <f aca="false">DX8-EA8-ED8-EF8</f>
        <v>0</v>
      </c>
      <c r="EH8" s="84" t="n">
        <f aca="false">EA8+ED8+(1-$F8)*EG8</f>
        <v>6330.4515072</v>
      </c>
      <c r="EI8" s="84" t="n">
        <f aca="false">EF8+$F8*EG8</f>
        <v>0</v>
      </c>
      <c r="EJ8" s="84" t="n">
        <f aca="false">DT8+ED8+(1-$F8)*EG8</f>
        <v>0</v>
      </c>
      <c r="EK8" s="84" t="n">
        <f aca="false">DU8+EI8</f>
        <v>0</v>
      </c>
      <c r="EL8" s="133" t="n">
        <f aca="false">DY8+$D8*Inputs!$I$13-$D8*$E8</f>
        <v>25051.8060288</v>
      </c>
      <c r="EM8" s="84" t="n">
        <f aca="false">EL8*(1+$I8)</f>
        <v>30062.16723456</v>
      </c>
      <c r="EN8" s="133" t="n">
        <f aca="false">EM8*Inputs!$I$14</f>
        <v>6012.433446912</v>
      </c>
      <c r="EO8" s="84" t="n">
        <f aca="false">EM8-EN8</f>
        <v>24049.733787648</v>
      </c>
      <c r="EP8" s="133" t="n">
        <f aca="false">EB8+$D8*Inputs!$I$13</f>
        <v>7007.8281728</v>
      </c>
      <c r="EQ8" s="84" t="n">
        <f aca="false">MIN(EN8,EP8)</f>
        <v>6012.433446912</v>
      </c>
      <c r="ER8" s="84" t="n">
        <f aca="false">EP8-EQ8</f>
        <v>995.394725888003</v>
      </c>
      <c r="ES8" s="84" t="n">
        <f aca="false">EE8+$G8*(EP8+EE8)</f>
        <v>0</v>
      </c>
      <c r="ET8" s="84" t="n">
        <f aca="false">MIN(EN8-EQ8,ES8)</f>
        <v>0</v>
      </c>
      <c r="EU8" s="84" t="n">
        <f aca="false">ES8-ET8</f>
        <v>0</v>
      </c>
      <c r="EV8" s="84" t="n">
        <f aca="false">IF($H8=1,MIN(EN8-EQ8-ET8,MAX(0,$F8/(1-$F8)*(EJ8+ET8)-EK8)),0)</f>
        <v>0</v>
      </c>
      <c r="EW8" s="84" t="n">
        <f aca="false">EN8-EQ8-ET8-EV8</f>
        <v>0</v>
      </c>
      <c r="EX8" s="84" t="n">
        <f aca="false">EQ8+ET8+(1-$F8)*EW8</f>
        <v>6012.433446912</v>
      </c>
      <c r="EY8" s="84" t="n">
        <f aca="false">EV8+$F8*EW8</f>
        <v>0</v>
      </c>
      <c r="EZ8" s="84" t="n">
        <f aca="false">EJ8+ET8+(1-$F8)*EW8</f>
        <v>0</v>
      </c>
      <c r="FA8" s="84" t="n">
        <f aca="false">EK8+EY8</f>
        <v>0</v>
      </c>
      <c r="FB8" s="133" t="n">
        <f aca="false">EO8+$D8*Inputs!$J$13-$D8*$E8</f>
        <v>23779.733787648</v>
      </c>
      <c r="FC8" s="84" t="n">
        <f aca="false">FB8*(1+$I8)</f>
        <v>28535.6805451776</v>
      </c>
      <c r="FD8" s="133" t="n">
        <f aca="false">FC8*Inputs!$J$14</f>
        <v>5707.13610903552</v>
      </c>
      <c r="FE8" s="84" t="n">
        <f aca="false">FC8-FD8</f>
        <v>22828.5444361421</v>
      </c>
      <c r="FF8" s="133" t="n">
        <f aca="false">ER8+$D8*Inputs!$J$13</f>
        <v>995.394725888003</v>
      </c>
      <c r="FG8" s="84" t="n">
        <f aca="false">MIN(FD8,FF8)</f>
        <v>995.394725888003</v>
      </c>
      <c r="FH8" s="84" t="n">
        <f aca="false">FF8-FG8</f>
        <v>0</v>
      </c>
      <c r="FI8" s="84" t="n">
        <f aca="false">EU8+$G8*(FF8+EU8)</f>
        <v>0</v>
      </c>
      <c r="FJ8" s="84" t="n">
        <f aca="false">MIN(FD8-FG8,FI8)</f>
        <v>0</v>
      </c>
      <c r="FK8" s="84" t="n">
        <f aca="false">FI8-FJ8</f>
        <v>0</v>
      </c>
      <c r="FL8" s="84" t="n">
        <f aca="false">IF($H8=1,MIN(FD8-FG8-FJ8,MAX(0,$F8/(1-$F8)*(EZ8+FJ8)-FA8)),0)</f>
        <v>0</v>
      </c>
      <c r="FM8" s="84" t="n">
        <f aca="false">FD8-FG8-FJ8-FL8</f>
        <v>4711.74138314751</v>
      </c>
      <c r="FN8" s="84" t="n">
        <f aca="false">FG8+FJ8+(1-$F8)*FM8</f>
        <v>4764.78783240602</v>
      </c>
      <c r="FO8" s="84" t="n">
        <f aca="false">FL8+$F8*FM8</f>
        <v>942.348276629503</v>
      </c>
      <c r="FP8" s="84" t="n">
        <f aca="false">EZ8+FJ8+(1-$F8)*FM8</f>
        <v>3769.39310651801</v>
      </c>
      <c r="FQ8" s="84" t="n">
        <f aca="false">FA8+FO8</f>
        <v>942.348276629503</v>
      </c>
      <c r="FR8" s="133" t="n">
        <f aca="false">FE8+$D8*Inputs!$K$13-$D8*$E8</f>
        <v>22558.5444361421</v>
      </c>
      <c r="FS8" s="84" t="n">
        <f aca="false">FR8*(1+$I8)</f>
        <v>27070.2533233705</v>
      </c>
      <c r="FT8" s="133" t="n">
        <f aca="false">FS8*Inputs!$K$14</f>
        <v>5414.0506646741</v>
      </c>
      <c r="FU8" s="84" t="n">
        <f aca="false">FS8-FT8</f>
        <v>21656.2026586964</v>
      </c>
      <c r="FV8" s="133" t="n">
        <f aca="false">FH8+$D8*Inputs!$K$13</f>
        <v>0</v>
      </c>
      <c r="FW8" s="84" t="n">
        <f aca="false">MIN(FT8,FV8)</f>
        <v>0</v>
      </c>
      <c r="FX8" s="84" t="n">
        <f aca="false">FV8-FW8</f>
        <v>0</v>
      </c>
      <c r="FY8" s="84" t="n">
        <f aca="false">FK8+$G8*(FV8+FK8)</f>
        <v>0</v>
      </c>
      <c r="FZ8" s="84" t="n">
        <f aca="false">MIN(FT8-FW8,FY8)</f>
        <v>0</v>
      </c>
      <c r="GA8" s="84" t="n">
        <f aca="false">FY8-FZ8</f>
        <v>0</v>
      </c>
      <c r="GB8" s="84" t="n">
        <f aca="false">IF($H8=1,MIN(FT8-FW8-FZ8,MAX(0,$F8/(1-$F8)*(FP8+FZ8)-FQ8)),0)</f>
        <v>0</v>
      </c>
      <c r="GC8" s="84" t="n">
        <f aca="false">FT8-FW8-FZ8-GB8</f>
        <v>5414.0506646741</v>
      </c>
      <c r="GD8" s="84" t="n">
        <f aca="false">FW8+FZ8+(1-$F8)*GC8</f>
        <v>4331.24053173928</v>
      </c>
      <c r="GE8" s="84" t="n">
        <f aca="false">GB8+$F8*GC8</f>
        <v>1082.81013293482</v>
      </c>
      <c r="GF8" s="84" t="n">
        <f aca="false">FP8+FZ8+(1-$F8)*GC8</f>
        <v>8100.63363825729</v>
      </c>
      <c r="GG8" s="84" t="n">
        <f aca="false">FQ8+GE8</f>
        <v>2025.15840956432</v>
      </c>
      <c r="GH8" s="133" t="n">
        <f aca="false">FU8+$D8*Inputs!$L$13-$D8*$E8</f>
        <v>21386.2026586964</v>
      </c>
      <c r="GI8" s="84" t="n">
        <f aca="false">GH8*(1+$I8)</f>
        <v>25663.4431904357</v>
      </c>
      <c r="GJ8" s="133" t="n">
        <f aca="false">GI8*Inputs!$L$14</f>
        <v>25663.4431904357</v>
      </c>
      <c r="GK8" s="84" t="n">
        <f aca="false">GI8-GJ8</f>
        <v>0</v>
      </c>
      <c r="GL8" s="133" t="n">
        <f aca="false">FX8+$D8*Inputs!$L$13</f>
        <v>0</v>
      </c>
      <c r="GM8" s="84" t="n">
        <f aca="false">MIN(GJ8,GL8)</f>
        <v>0</v>
      </c>
      <c r="GN8" s="84" t="n">
        <f aca="false">GL8-GM8</f>
        <v>0</v>
      </c>
      <c r="GO8" s="84" t="n">
        <f aca="false">GA8+$G8*(GL8+GA8)</f>
        <v>0</v>
      </c>
      <c r="GP8" s="84" t="n">
        <f aca="false">MIN(GJ8-GM8,GO8)</f>
        <v>0</v>
      </c>
      <c r="GQ8" s="84" t="n">
        <f aca="false">GO8-GP8</f>
        <v>0</v>
      </c>
      <c r="GR8" s="84" t="n">
        <f aca="false">IF($H8=1,MIN(GJ8-GM8-GP8,MAX(0,$F8/(1-$F8)*(GF8+GP8)-GG8)),0)</f>
        <v>0</v>
      </c>
      <c r="GS8" s="84" t="n">
        <f aca="false">GJ8-GM8-GP8-GR8</f>
        <v>25663.4431904357</v>
      </c>
      <c r="GT8" s="84" t="n">
        <f aca="false">GM8+GP8+(1-$F8)*GS8</f>
        <v>20530.7545523485</v>
      </c>
      <c r="GU8" s="84" t="n">
        <f aca="false">GR8+$F8*GS8</f>
        <v>5132.68863808713</v>
      </c>
      <c r="GV8" s="84" t="n">
        <f aca="false">GF8+GP8+(1-$F8)*GS8</f>
        <v>28631.3881906058</v>
      </c>
      <c r="GW8" s="84" t="n">
        <f aca="false">GG8+GU8</f>
        <v>7157.84704765146</v>
      </c>
    </row>
    <row r="9" customFormat="false" ht="15" hidden="false" customHeight="false" outlineLevel="0" collapsed="false">
      <c r="A9" s="5" t="s">
        <v>616</v>
      </c>
      <c r="B9" s="5" t="s">
        <v>427</v>
      </c>
      <c r="D9" s="47" t="n">
        <f aca="false">Inputs!$C$6</f>
        <v>20000</v>
      </c>
      <c r="E9" s="35" t="n">
        <f aca="false">Inputs!$C$19</f>
        <v>0.0135</v>
      </c>
      <c r="F9" s="36" t="n">
        <f aca="false">Inputs!$C$20</f>
        <v>0.2</v>
      </c>
      <c r="G9" s="36" t="n">
        <f aca="false">Inputs!$C$22</f>
        <v>0.08</v>
      </c>
      <c r="H9" s="27" t="n">
        <v>0</v>
      </c>
      <c r="I9" s="132" t="n">
        <f aca="false">Inputs!$C$8</f>
        <v>0.2</v>
      </c>
      <c r="J9" s="36" t="n">
        <f aca="false">Inputs!$C$9</f>
        <v>0.15</v>
      </c>
      <c r="K9" s="89" t="n">
        <f aca="false">IRR(W9:AG9,0.1)</f>
        <v>0.165918224327762</v>
      </c>
      <c r="L9" s="45" t="n">
        <f aca="false">W9+NPV($J9,X9:AG9)</f>
        <v>1303.53847315147</v>
      </c>
      <c r="M9" s="45" t="n">
        <f aca="false">SUM(BF9,BV9,CL9,DB9,DR9,EH9,EX9,FN9,GD9,GT9)</f>
        <v>50426.8352621148</v>
      </c>
      <c r="N9" s="43" t="n">
        <f aca="false">IF($D9*SUM(Inputs!$C$13:$L$13)=0,0,M9/($D9*SUM(Inputs!$C$13:$L$13)))</f>
        <v>2.52134176310574</v>
      </c>
      <c r="O9" s="42" t="n">
        <f aca="false">$D9*$E9*COLUMNS(Inputs!$C$13:$L$13)</f>
        <v>2700</v>
      </c>
      <c r="P9" s="45" t="n">
        <f aca="false">SUM(BG9,BW9,CM9,DC9,DS9,EI9,EY9,FO9,GE9,GU9)</f>
        <v>5362.39997614251</v>
      </c>
      <c r="Q9" s="42" t="n">
        <f aca="false">PV($J9,COLUMNS(Inputs!$C$13:$L$13),-$D9*$E9,0,1)</f>
        <v>1558.32765832774</v>
      </c>
      <c r="R9" s="45" t="n">
        <f aca="false">NPV($J9,BG9,BW9,CM9,DC9,DS9,EI9,EY9,FO9,GE9,GU9)</f>
        <v>1334.0204316492</v>
      </c>
      <c r="S9" s="45" t="n">
        <f aca="false">Q9+R9</f>
        <v>2892.34808997694</v>
      </c>
      <c r="T9" s="32" t="n">
        <f aca="false">IF(S9=0,0,Q9/S9)</f>
        <v>0.538775973655427</v>
      </c>
      <c r="U9" s="45" t="n">
        <f aca="false">ROUND(ABS(GK9)+ABS(SUM(AV9,BL9,CB9,CR9,DH9,DX9,EN9,FD9,FT9,GJ9)-M9-P9)+ABS(S9-(AH9+NPV($J9,AI9:AR9))),6)</f>
        <v>0</v>
      </c>
      <c r="W9" s="133" t="n">
        <f aca="false">-$D9*Inputs!$C$13</f>
        <v>-4000</v>
      </c>
      <c r="X9" s="133" t="n">
        <f aca="false">BF9-$D9*Inputs!$D$13</f>
        <v>-4000</v>
      </c>
      <c r="Y9" s="133" t="n">
        <f aca="false">BV9-$D9*Inputs!$E$13</f>
        <v>-4000</v>
      </c>
      <c r="Z9" s="133" t="n">
        <f aca="false">CL9-$D9*Inputs!$F$13</f>
        <v>-4000</v>
      </c>
      <c r="AA9" s="133" t="n">
        <f aca="false">DB9-$D9*Inputs!$G$13</f>
        <v>-4000</v>
      </c>
      <c r="AB9" s="133" t="n">
        <f aca="false">DR9-$D9*Inputs!$H$13</f>
        <v>6661.72032</v>
      </c>
      <c r="AC9" s="133" t="n">
        <f aca="false">EH9-$D9*Inputs!$I$13</f>
        <v>6330.4515072</v>
      </c>
      <c r="AD9" s="133" t="n">
        <f aca="false">EX9-$D9*Inputs!$J$13</f>
        <v>6012.433446912</v>
      </c>
      <c r="AE9" s="133" t="n">
        <f aca="false">FN9-$D9*Inputs!$K$13</f>
        <v>5707.13610903552</v>
      </c>
      <c r="AF9" s="133" t="n">
        <f aca="false">GD9-$D9*Inputs!$L$13</f>
        <v>5184.33932661872</v>
      </c>
      <c r="AG9" s="84" t="n">
        <f aca="false">GT9</f>
        <v>20530.7545523485</v>
      </c>
      <c r="AH9" s="84" t="n">
        <f aca="false">$D9*$E9</f>
        <v>270</v>
      </c>
      <c r="AI9" s="84" t="n">
        <f aca="false">BG9+$D9*$E9</f>
        <v>270</v>
      </c>
      <c r="AJ9" s="84" t="n">
        <f aca="false">BW9+$D9*$E9</f>
        <v>270</v>
      </c>
      <c r="AK9" s="84" t="n">
        <f aca="false">CM9+$D9*$E9</f>
        <v>270</v>
      </c>
      <c r="AL9" s="84" t="n">
        <f aca="false">DC9+$D9*$E9</f>
        <v>270</v>
      </c>
      <c r="AM9" s="84" t="n">
        <f aca="false">DS9+$D9*$E9</f>
        <v>270</v>
      </c>
      <c r="AN9" s="84" t="n">
        <f aca="false">EI9+$D9*$E9</f>
        <v>270</v>
      </c>
      <c r="AO9" s="84" t="n">
        <f aca="false">EY9+$D9*$E9</f>
        <v>270</v>
      </c>
      <c r="AP9" s="84" t="n">
        <f aca="false">FO9+$D9*$E9</f>
        <v>270</v>
      </c>
      <c r="AQ9" s="84" t="n">
        <f aca="false">GE9+$D9*$E9</f>
        <v>499.711338055374</v>
      </c>
      <c r="AR9" s="84" t="n">
        <f aca="false">GU9</f>
        <v>5132.68863808713</v>
      </c>
      <c r="AT9" s="133" t="n">
        <f aca="false">$D9*Inputs!$C$13-$D9*$E9</f>
        <v>3730</v>
      </c>
      <c r="AU9" s="84" t="n">
        <f aca="false">AT9*(1+$I9)</f>
        <v>4476</v>
      </c>
      <c r="AV9" s="133" t="n">
        <f aca="false">AU9*Inputs!$C$14</f>
        <v>0</v>
      </c>
      <c r="AW9" s="84" t="n">
        <f aca="false">AU9-AV9</f>
        <v>4476</v>
      </c>
      <c r="AX9" s="133" t="n">
        <f aca="false">$D9*Inputs!$C$13</f>
        <v>4000</v>
      </c>
      <c r="AY9" s="84" t="n">
        <f aca="false">MIN(AV9,AX9)</f>
        <v>0</v>
      </c>
      <c r="AZ9" s="84" t="n">
        <f aca="false">AX9-AY9</f>
        <v>4000</v>
      </c>
      <c r="BA9" s="84" t="n">
        <f aca="false">$G9*AX9</f>
        <v>320</v>
      </c>
      <c r="BB9" s="84" t="n">
        <f aca="false">MIN(AV9-AY9,BA9)</f>
        <v>0</v>
      </c>
      <c r="BC9" s="84" t="n">
        <f aca="false">BA9-BB9</f>
        <v>320</v>
      </c>
      <c r="BD9" s="84" t="n">
        <f aca="false">IF($H9=1,MIN(AV9-AY9-BB9,MAX(0,$F9/(1-$F9)*BB9)),0)</f>
        <v>0</v>
      </c>
      <c r="BE9" s="84" t="n">
        <f aca="false">AV9-AY9-BB9-BD9</f>
        <v>0</v>
      </c>
      <c r="BF9" s="84" t="n">
        <f aca="false">AY9+BB9+(1-$F9)*BE9</f>
        <v>0</v>
      </c>
      <c r="BG9" s="84" t="n">
        <f aca="false">BD9+$F9*BE9</f>
        <v>0</v>
      </c>
      <c r="BH9" s="84" t="n">
        <f aca="false">BB9+(1-$F9)*BE9</f>
        <v>0</v>
      </c>
      <c r="BI9" s="84" t="n">
        <f aca="false">BG9</f>
        <v>0</v>
      </c>
      <c r="BJ9" s="133" t="n">
        <f aca="false">AW9+$D9*Inputs!$D$13-$D9*$E9</f>
        <v>8206</v>
      </c>
      <c r="BK9" s="84" t="n">
        <f aca="false">BJ9*(1+$I9)</f>
        <v>9847.2</v>
      </c>
      <c r="BL9" s="133" t="n">
        <f aca="false">BK9*Inputs!$D$14</f>
        <v>0</v>
      </c>
      <c r="BM9" s="84" t="n">
        <f aca="false">BK9-BL9</f>
        <v>9847.2</v>
      </c>
      <c r="BN9" s="133" t="n">
        <f aca="false">AZ9+$D9*Inputs!$D$13</f>
        <v>8000</v>
      </c>
      <c r="BO9" s="84" t="n">
        <f aca="false">MIN(BL9,BN9)</f>
        <v>0</v>
      </c>
      <c r="BP9" s="84" t="n">
        <f aca="false">BN9-BO9</f>
        <v>8000</v>
      </c>
      <c r="BQ9" s="84" t="n">
        <f aca="false">BC9+$G9*(BN9+BC9)</f>
        <v>985.6</v>
      </c>
      <c r="BR9" s="84" t="n">
        <f aca="false">MIN(BL9-BO9,BQ9)</f>
        <v>0</v>
      </c>
      <c r="BS9" s="84" t="n">
        <f aca="false">BQ9-BR9</f>
        <v>985.6</v>
      </c>
      <c r="BT9" s="84" t="n">
        <f aca="false">IF($H9=1,MIN(BL9-BO9-BR9,MAX(0,$F9/(1-$F9)*(BH9+BR9)-BI9)),0)</f>
        <v>0</v>
      </c>
      <c r="BU9" s="84" t="n">
        <f aca="false">BL9-BO9-BR9-BT9</f>
        <v>0</v>
      </c>
      <c r="BV9" s="84" t="n">
        <f aca="false">BO9+BR9+(1-$F9)*BU9</f>
        <v>0</v>
      </c>
      <c r="BW9" s="84" t="n">
        <f aca="false">BT9+$F9*BU9</f>
        <v>0</v>
      </c>
      <c r="BX9" s="84" t="n">
        <f aca="false">BH9+BR9+(1-$F9)*BU9</f>
        <v>0</v>
      </c>
      <c r="BY9" s="84" t="n">
        <f aca="false">BI9+BW9</f>
        <v>0</v>
      </c>
      <c r="BZ9" s="133" t="n">
        <f aca="false">BM9+$D9*Inputs!$E$13-$D9*$E9</f>
        <v>13577.2</v>
      </c>
      <c r="CA9" s="84" t="n">
        <f aca="false">BZ9*(1+$I9)</f>
        <v>16292.64</v>
      </c>
      <c r="CB9" s="133" t="n">
        <f aca="false">CA9*Inputs!$E$14</f>
        <v>0</v>
      </c>
      <c r="CC9" s="84" t="n">
        <f aca="false">CA9-CB9</f>
        <v>16292.64</v>
      </c>
      <c r="CD9" s="133" t="n">
        <f aca="false">BP9+$D9*Inputs!$E$13</f>
        <v>12000</v>
      </c>
      <c r="CE9" s="84" t="n">
        <f aca="false">MIN(CB9,CD9)</f>
        <v>0</v>
      </c>
      <c r="CF9" s="84" t="n">
        <f aca="false">CD9-CE9</f>
        <v>12000</v>
      </c>
      <c r="CG9" s="84" t="n">
        <f aca="false">BS9+$G9*(CD9+BS9)</f>
        <v>2024.448</v>
      </c>
      <c r="CH9" s="84" t="n">
        <f aca="false">MIN(CB9-CE9,CG9)</f>
        <v>0</v>
      </c>
      <c r="CI9" s="84" t="n">
        <f aca="false">CG9-CH9</f>
        <v>2024.448</v>
      </c>
      <c r="CJ9" s="84" t="n">
        <f aca="false">IF($H9=1,MIN(CB9-CE9-CH9,MAX(0,$F9/(1-$F9)*(BX9+CH9)-BY9)),0)</f>
        <v>0</v>
      </c>
      <c r="CK9" s="84" t="n">
        <f aca="false">CB9-CE9-CH9-CJ9</f>
        <v>0</v>
      </c>
      <c r="CL9" s="84" t="n">
        <f aca="false">CE9+CH9+(1-$F9)*CK9</f>
        <v>0</v>
      </c>
      <c r="CM9" s="84" t="n">
        <f aca="false">CJ9+$F9*CK9</f>
        <v>0</v>
      </c>
      <c r="CN9" s="84" t="n">
        <f aca="false">BX9+CH9+(1-$F9)*CK9</f>
        <v>0</v>
      </c>
      <c r="CO9" s="84" t="n">
        <f aca="false">BY9+CM9</f>
        <v>0</v>
      </c>
      <c r="CP9" s="133" t="n">
        <f aca="false">CC9+$D9*Inputs!$F$13-$D9*$E9</f>
        <v>20022.64</v>
      </c>
      <c r="CQ9" s="84" t="n">
        <f aca="false">CP9*(1+$I9)</f>
        <v>24027.168</v>
      </c>
      <c r="CR9" s="133" t="n">
        <f aca="false">CQ9*Inputs!$F$14</f>
        <v>0</v>
      </c>
      <c r="CS9" s="84" t="n">
        <f aca="false">CQ9-CR9</f>
        <v>24027.168</v>
      </c>
      <c r="CT9" s="133" t="n">
        <f aca="false">CF9+$D9*Inputs!$F$13</f>
        <v>16000</v>
      </c>
      <c r="CU9" s="84" t="n">
        <f aca="false">MIN(CR9,CT9)</f>
        <v>0</v>
      </c>
      <c r="CV9" s="84" t="n">
        <f aca="false">CT9-CU9</f>
        <v>16000</v>
      </c>
      <c r="CW9" s="84" t="n">
        <f aca="false">CI9+$G9*(CT9+CI9)</f>
        <v>3466.40384</v>
      </c>
      <c r="CX9" s="84" t="n">
        <f aca="false">MIN(CR9-CU9,CW9)</f>
        <v>0</v>
      </c>
      <c r="CY9" s="84" t="n">
        <f aca="false">CW9-CX9</f>
        <v>3466.40384</v>
      </c>
      <c r="CZ9" s="84" t="n">
        <f aca="false">IF($H9=1,MIN(CR9-CU9-CX9,MAX(0,$F9/(1-$F9)*(CN9+CX9)-CO9)),0)</f>
        <v>0</v>
      </c>
      <c r="DA9" s="84" t="n">
        <f aca="false">CR9-CU9-CX9-CZ9</f>
        <v>0</v>
      </c>
      <c r="DB9" s="84" t="n">
        <f aca="false">CU9+CX9+(1-$F9)*DA9</f>
        <v>0</v>
      </c>
      <c r="DC9" s="84" t="n">
        <f aca="false">CZ9+$F9*DA9</f>
        <v>0</v>
      </c>
      <c r="DD9" s="84" t="n">
        <f aca="false">CN9+CX9+(1-$F9)*DA9</f>
        <v>0</v>
      </c>
      <c r="DE9" s="84" t="n">
        <f aca="false">CO9+DC9</f>
        <v>0</v>
      </c>
      <c r="DF9" s="133" t="n">
        <f aca="false">CS9+$D9*Inputs!$G$13-$D9*$E9</f>
        <v>27757.168</v>
      </c>
      <c r="DG9" s="84" t="n">
        <f aca="false">DF9*(1+$I9)</f>
        <v>33308.6016</v>
      </c>
      <c r="DH9" s="133" t="n">
        <f aca="false">DG9*Inputs!$G$14</f>
        <v>6661.72032</v>
      </c>
      <c r="DI9" s="84" t="n">
        <f aca="false">DG9-DH9</f>
        <v>26646.88128</v>
      </c>
      <c r="DJ9" s="133" t="n">
        <f aca="false">CV9+$D9*Inputs!$G$13</f>
        <v>20000</v>
      </c>
      <c r="DK9" s="84" t="n">
        <f aca="false">MIN(DH9,DJ9)</f>
        <v>6661.72032</v>
      </c>
      <c r="DL9" s="84" t="n">
        <f aca="false">DJ9-DK9</f>
        <v>13338.27968</v>
      </c>
      <c r="DM9" s="84" t="n">
        <f aca="false">CY9+$G9*(DJ9+CY9)</f>
        <v>5343.7161472</v>
      </c>
      <c r="DN9" s="84" t="n">
        <f aca="false">MIN(DH9-DK9,DM9)</f>
        <v>0</v>
      </c>
      <c r="DO9" s="84" t="n">
        <f aca="false">DM9-DN9</f>
        <v>5343.7161472</v>
      </c>
      <c r="DP9" s="84" t="n">
        <f aca="false">IF($H9=1,MIN(DH9-DK9-DN9,MAX(0,$F9/(1-$F9)*(DD9+DN9)-DE9)),0)</f>
        <v>0</v>
      </c>
      <c r="DQ9" s="84" t="n">
        <f aca="false">DH9-DK9-DN9-DP9</f>
        <v>0</v>
      </c>
      <c r="DR9" s="84" t="n">
        <f aca="false">DK9+DN9+(1-$F9)*DQ9</f>
        <v>6661.72032</v>
      </c>
      <c r="DS9" s="84" t="n">
        <f aca="false">DP9+$F9*DQ9</f>
        <v>0</v>
      </c>
      <c r="DT9" s="84" t="n">
        <f aca="false">DD9+DN9+(1-$F9)*DQ9</f>
        <v>0</v>
      </c>
      <c r="DU9" s="84" t="n">
        <f aca="false">DE9+DS9</f>
        <v>0</v>
      </c>
      <c r="DV9" s="133" t="n">
        <f aca="false">DI9+$D9*Inputs!$H$13-$D9*$E9</f>
        <v>26376.88128</v>
      </c>
      <c r="DW9" s="84" t="n">
        <f aca="false">DV9*(1+$I9)</f>
        <v>31652.257536</v>
      </c>
      <c r="DX9" s="133" t="n">
        <f aca="false">DW9*Inputs!$H$14</f>
        <v>6330.4515072</v>
      </c>
      <c r="DY9" s="84" t="n">
        <f aca="false">DW9-DX9</f>
        <v>25321.8060288</v>
      </c>
      <c r="DZ9" s="133" t="n">
        <f aca="false">DL9+$D9*Inputs!$H$13</f>
        <v>13338.27968</v>
      </c>
      <c r="EA9" s="84" t="n">
        <f aca="false">MIN(DX9,DZ9)</f>
        <v>6330.4515072</v>
      </c>
      <c r="EB9" s="84" t="n">
        <f aca="false">DZ9-EA9</f>
        <v>7007.8281728</v>
      </c>
      <c r="EC9" s="84" t="n">
        <f aca="false">DO9+$G9*(DZ9+DO9)</f>
        <v>6838.275813376</v>
      </c>
      <c r="ED9" s="84" t="n">
        <f aca="false">MIN(DX9-EA9,EC9)</f>
        <v>0</v>
      </c>
      <c r="EE9" s="84" t="n">
        <f aca="false">EC9-ED9</f>
        <v>6838.275813376</v>
      </c>
      <c r="EF9" s="84" t="n">
        <f aca="false">IF($H9=1,MIN(DX9-EA9-ED9,MAX(0,$F9/(1-$F9)*(DT9+ED9)-DU9)),0)</f>
        <v>0</v>
      </c>
      <c r="EG9" s="84" t="n">
        <f aca="false">DX9-EA9-ED9-EF9</f>
        <v>0</v>
      </c>
      <c r="EH9" s="84" t="n">
        <f aca="false">EA9+ED9+(1-$F9)*EG9</f>
        <v>6330.4515072</v>
      </c>
      <c r="EI9" s="84" t="n">
        <f aca="false">EF9+$F9*EG9</f>
        <v>0</v>
      </c>
      <c r="EJ9" s="84" t="n">
        <f aca="false">DT9+ED9+(1-$F9)*EG9</f>
        <v>0</v>
      </c>
      <c r="EK9" s="84" t="n">
        <f aca="false">DU9+EI9</f>
        <v>0</v>
      </c>
      <c r="EL9" s="133" t="n">
        <f aca="false">DY9+$D9*Inputs!$I$13-$D9*$E9</f>
        <v>25051.8060288</v>
      </c>
      <c r="EM9" s="84" t="n">
        <f aca="false">EL9*(1+$I9)</f>
        <v>30062.16723456</v>
      </c>
      <c r="EN9" s="133" t="n">
        <f aca="false">EM9*Inputs!$I$14</f>
        <v>6012.433446912</v>
      </c>
      <c r="EO9" s="84" t="n">
        <f aca="false">EM9-EN9</f>
        <v>24049.733787648</v>
      </c>
      <c r="EP9" s="133" t="n">
        <f aca="false">EB9+$D9*Inputs!$I$13</f>
        <v>7007.8281728</v>
      </c>
      <c r="EQ9" s="84" t="n">
        <f aca="false">MIN(EN9,EP9)</f>
        <v>6012.433446912</v>
      </c>
      <c r="ER9" s="84" t="n">
        <f aca="false">EP9-EQ9</f>
        <v>995.394725888003</v>
      </c>
      <c r="ES9" s="84" t="n">
        <f aca="false">EE9+$G9*(EP9+EE9)</f>
        <v>7945.96413227008</v>
      </c>
      <c r="ET9" s="84" t="n">
        <f aca="false">MIN(EN9-EQ9,ES9)</f>
        <v>0</v>
      </c>
      <c r="EU9" s="84" t="n">
        <f aca="false">ES9-ET9</f>
        <v>7945.96413227008</v>
      </c>
      <c r="EV9" s="84" t="n">
        <f aca="false">IF($H9=1,MIN(EN9-EQ9-ET9,MAX(0,$F9/(1-$F9)*(EJ9+ET9)-EK9)),0)</f>
        <v>0</v>
      </c>
      <c r="EW9" s="84" t="n">
        <f aca="false">EN9-EQ9-ET9-EV9</f>
        <v>0</v>
      </c>
      <c r="EX9" s="84" t="n">
        <f aca="false">EQ9+ET9+(1-$F9)*EW9</f>
        <v>6012.433446912</v>
      </c>
      <c r="EY9" s="84" t="n">
        <f aca="false">EV9+$F9*EW9</f>
        <v>0</v>
      </c>
      <c r="EZ9" s="84" t="n">
        <f aca="false">EJ9+ET9+(1-$F9)*EW9</f>
        <v>0</v>
      </c>
      <c r="FA9" s="84" t="n">
        <f aca="false">EK9+EY9</f>
        <v>0</v>
      </c>
      <c r="FB9" s="133" t="n">
        <f aca="false">EO9+$D9*Inputs!$J$13-$D9*$E9</f>
        <v>23779.733787648</v>
      </c>
      <c r="FC9" s="84" t="n">
        <f aca="false">FB9*(1+$I9)</f>
        <v>28535.6805451776</v>
      </c>
      <c r="FD9" s="133" t="n">
        <f aca="false">FC9*Inputs!$J$14</f>
        <v>5707.13610903552</v>
      </c>
      <c r="FE9" s="84" t="n">
        <f aca="false">FC9-FD9</f>
        <v>22828.5444361421</v>
      </c>
      <c r="FF9" s="133" t="n">
        <f aca="false">ER9+$D9*Inputs!$J$13</f>
        <v>995.394725888003</v>
      </c>
      <c r="FG9" s="84" t="n">
        <f aca="false">MIN(FD9,FF9)</f>
        <v>995.394725888003</v>
      </c>
      <c r="FH9" s="84" t="n">
        <f aca="false">FF9-FG9</f>
        <v>0</v>
      </c>
      <c r="FI9" s="84" t="n">
        <f aca="false">EU9+$G9*(FF9+EU9)</f>
        <v>8661.27284092273</v>
      </c>
      <c r="FJ9" s="84" t="n">
        <f aca="false">MIN(FD9-FG9,FI9)</f>
        <v>4711.74138314751</v>
      </c>
      <c r="FK9" s="84" t="n">
        <f aca="false">FI9-FJ9</f>
        <v>3949.53145777521</v>
      </c>
      <c r="FL9" s="84" t="n">
        <f aca="false">IF($H9=1,MIN(FD9-FG9-FJ9,MAX(0,$F9/(1-$F9)*(EZ9+FJ9)-FA9)),0)</f>
        <v>0</v>
      </c>
      <c r="FM9" s="84" t="n">
        <f aca="false">FD9-FG9-FJ9-FL9</f>
        <v>0</v>
      </c>
      <c r="FN9" s="84" t="n">
        <f aca="false">FG9+FJ9+(1-$F9)*FM9</f>
        <v>5707.13610903552</v>
      </c>
      <c r="FO9" s="84" t="n">
        <f aca="false">FL9+$F9*FM9</f>
        <v>0</v>
      </c>
      <c r="FP9" s="84" t="n">
        <f aca="false">EZ9+FJ9+(1-$F9)*FM9</f>
        <v>4711.74138314751</v>
      </c>
      <c r="FQ9" s="84" t="n">
        <f aca="false">FA9+FO9</f>
        <v>0</v>
      </c>
      <c r="FR9" s="133" t="n">
        <f aca="false">FE9+$D9*Inputs!$K$13-$D9*$E9</f>
        <v>22558.5444361421</v>
      </c>
      <c r="FS9" s="84" t="n">
        <f aca="false">FR9*(1+$I9)</f>
        <v>27070.2533233705</v>
      </c>
      <c r="FT9" s="133" t="n">
        <f aca="false">FS9*Inputs!$K$14</f>
        <v>5414.0506646741</v>
      </c>
      <c r="FU9" s="84" t="n">
        <f aca="false">FS9-FT9</f>
        <v>21656.2026586964</v>
      </c>
      <c r="FV9" s="133" t="n">
        <f aca="false">FH9+$D9*Inputs!$K$13</f>
        <v>0</v>
      </c>
      <c r="FW9" s="84" t="n">
        <f aca="false">MIN(FT9,FV9)</f>
        <v>0</v>
      </c>
      <c r="FX9" s="84" t="n">
        <f aca="false">FV9-FW9</f>
        <v>0</v>
      </c>
      <c r="FY9" s="84" t="n">
        <f aca="false">FK9+$G9*(FV9+FK9)</f>
        <v>4265.49397439723</v>
      </c>
      <c r="FZ9" s="84" t="n">
        <f aca="false">MIN(FT9-FW9,FY9)</f>
        <v>4265.49397439723</v>
      </c>
      <c r="GA9" s="84" t="n">
        <f aca="false">FY9-FZ9</f>
        <v>0</v>
      </c>
      <c r="GB9" s="84" t="n">
        <f aca="false">IF($H9=1,MIN(FT9-FW9-FZ9,MAX(0,$F9/(1-$F9)*(FP9+FZ9)-FQ9)),0)</f>
        <v>0</v>
      </c>
      <c r="GC9" s="84" t="n">
        <f aca="false">FT9-FW9-FZ9-GB9</f>
        <v>1148.55669027687</v>
      </c>
      <c r="GD9" s="84" t="n">
        <f aca="false">FW9+FZ9+(1-$F9)*GC9</f>
        <v>5184.33932661872</v>
      </c>
      <c r="GE9" s="84" t="n">
        <f aca="false">GB9+$F9*GC9</f>
        <v>229.711338055374</v>
      </c>
      <c r="GF9" s="84" t="n">
        <f aca="false">FP9+FZ9+(1-$F9)*GC9</f>
        <v>9896.08070976624</v>
      </c>
      <c r="GG9" s="84" t="n">
        <f aca="false">FQ9+GE9</f>
        <v>229.711338055374</v>
      </c>
      <c r="GH9" s="133" t="n">
        <f aca="false">FU9+$D9*Inputs!$L$13-$D9*$E9</f>
        <v>21386.2026586964</v>
      </c>
      <c r="GI9" s="84" t="n">
        <f aca="false">GH9*(1+$I9)</f>
        <v>25663.4431904357</v>
      </c>
      <c r="GJ9" s="133" t="n">
        <f aca="false">GI9*Inputs!$L$14</f>
        <v>25663.4431904357</v>
      </c>
      <c r="GK9" s="84" t="n">
        <f aca="false">GI9-GJ9</f>
        <v>0</v>
      </c>
      <c r="GL9" s="133" t="n">
        <f aca="false">FX9+$D9*Inputs!$L$13</f>
        <v>0</v>
      </c>
      <c r="GM9" s="84" t="n">
        <f aca="false">MIN(GJ9,GL9)</f>
        <v>0</v>
      </c>
      <c r="GN9" s="84" t="n">
        <f aca="false">GL9-GM9</f>
        <v>0</v>
      </c>
      <c r="GO9" s="84" t="n">
        <f aca="false">GA9+$G9*(GL9+GA9)</f>
        <v>0</v>
      </c>
      <c r="GP9" s="84" t="n">
        <f aca="false">MIN(GJ9-GM9,GO9)</f>
        <v>0</v>
      </c>
      <c r="GQ9" s="84" t="n">
        <f aca="false">GO9-GP9</f>
        <v>0</v>
      </c>
      <c r="GR9" s="84" t="n">
        <f aca="false">IF($H9=1,MIN(GJ9-GM9-GP9,MAX(0,$F9/(1-$F9)*(GF9+GP9)-GG9)),0)</f>
        <v>0</v>
      </c>
      <c r="GS9" s="84" t="n">
        <f aca="false">GJ9-GM9-GP9-GR9</f>
        <v>25663.4431904357</v>
      </c>
      <c r="GT9" s="84" t="n">
        <f aca="false">GM9+GP9+(1-$F9)*GS9</f>
        <v>20530.7545523485</v>
      </c>
      <c r="GU9" s="84" t="n">
        <f aca="false">GR9+$F9*GS9</f>
        <v>5132.68863808713</v>
      </c>
      <c r="GV9" s="84" t="n">
        <f aca="false">GF9+GP9+(1-$F9)*GS9</f>
        <v>30426.8352621148</v>
      </c>
      <c r="GW9" s="84" t="n">
        <f aca="false">GG9+GU9</f>
        <v>5362.39997614251</v>
      </c>
    </row>
    <row r="10" customFormat="false" ht="15" hidden="false" customHeight="false" outlineLevel="0" collapsed="false">
      <c r="A10" s="5" t="s">
        <v>617</v>
      </c>
      <c r="B10" s="5" t="s">
        <v>618</v>
      </c>
      <c r="D10" s="47" t="n">
        <f aca="false">Inputs!$C$6</f>
        <v>20000</v>
      </c>
      <c r="E10" s="35" t="n">
        <f aca="false">Inputs!$C$19</f>
        <v>0.0135</v>
      </c>
      <c r="F10" s="36" t="n">
        <f aca="false">Inputs!$C$20</f>
        <v>0.2</v>
      </c>
      <c r="G10" s="36" t="n">
        <f aca="false">Inputs!$C$22</f>
        <v>0.08</v>
      </c>
      <c r="H10" s="44" t="n">
        <f aca="false">Inputs!$C$23</f>
        <v>1</v>
      </c>
      <c r="I10" s="132" t="n">
        <f aca="false">Inputs!$C$8</f>
        <v>0.2</v>
      </c>
      <c r="J10" s="36" t="n">
        <f aca="false">Inputs!$C$9</f>
        <v>0.15</v>
      </c>
      <c r="K10" s="89" t="n">
        <f aca="false">IRR(W10:AG10,0.1)</f>
        <v>0.160292237693307</v>
      </c>
      <c r="L10" s="45" t="n">
        <f aca="false">W10+NPV($J10,X10:AG10)</f>
        <v>825.662738669115</v>
      </c>
      <c r="M10" s="45" t="n">
        <f aca="false">SUM(BF10,BV10,CL10,DB10,DR10,EH10,EX10,FN10,GD10,GT10)</f>
        <v>48631.3881906058</v>
      </c>
      <c r="N10" s="43" t="n">
        <f aca="false">IF($D10*SUM(Inputs!$C$13:$L$13)=0,0,M10/($D10*SUM(Inputs!$C$13:$L$13)))</f>
        <v>2.43156940953029</v>
      </c>
      <c r="O10" s="42" t="n">
        <f aca="false">$D10*$E10*COLUMNS(Inputs!$C$13:$L$13)</f>
        <v>2700</v>
      </c>
      <c r="P10" s="45" t="n">
        <f aca="false">SUM(BG10,BW10,CM10,DC10,DS10,EI10,EY10,FO10,GE10,GU10)</f>
        <v>7157.84704765146</v>
      </c>
      <c r="Q10" s="42" t="n">
        <f aca="false">PV($J10,COLUMNS(Inputs!$C$13:$L$13),-$D10*$E10,0,1)</f>
        <v>1558.32765832774</v>
      </c>
      <c r="R10" s="45" t="n">
        <f aca="false">NPV($J10,BG10,BW10,CM10,DC10,DS10,EI10,EY10,FO10,GE10,GU10)</f>
        <v>1811.89616613155</v>
      </c>
      <c r="S10" s="45" t="n">
        <f aca="false">Q10+R10</f>
        <v>3370.22382445929</v>
      </c>
      <c r="T10" s="32" t="n">
        <f aca="false">IF(S10=0,0,Q10/S10)</f>
        <v>0.462381058201009</v>
      </c>
      <c r="U10" s="45" t="n">
        <f aca="false">ROUND(ABS(GK10)+ABS(SUM(AV10,BL10,CB10,CR10,DH10,DX10,EN10,FD10,FT10,GJ10)-M10-P10)+ABS(S10-(AH10+NPV($J10,AI10:AR10))),6)</f>
        <v>0</v>
      </c>
      <c r="W10" s="133" t="n">
        <f aca="false">-$D10*Inputs!$C$13</f>
        <v>-4000</v>
      </c>
      <c r="X10" s="133" t="n">
        <f aca="false">BF10-$D10*Inputs!$D$13</f>
        <v>-4000</v>
      </c>
      <c r="Y10" s="133" t="n">
        <f aca="false">BV10-$D10*Inputs!$E$13</f>
        <v>-4000</v>
      </c>
      <c r="Z10" s="133" t="n">
        <f aca="false">CL10-$D10*Inputs!$F$13</f>
        <v>-4000</v>
      </c>
      <c r="AA10" s="133" t="n">
        <f aca="false">DB10-$D10*Inputs!$G$13</f>
        <v>-4000</v>
      </c>
      <c r="AB10" s="133" t="n">
        <f aca="false">DR10-$D10*Inputs!$H$13</f>
        <v>6661.72032</v>
      </c>
      <c r="AC10" s="133" t="n">
        <f aca="false">EH10-$D10*Inputs!$I$13</f>
        <v>6330.4515072</v>
      </c>
      <c r="AD10" s="133" t="n">
        <f aca="false">EX10-$D10*Inputs!$J$13</f>
        <v>6012.433446912</v>
      </c>
      <c r="AE10" s="133" t="n">
        <f aca="false">FN10-$D10*Inputs!$K$13</f>
        <v>5707.13610903552</v>
      </c>
      <c r="AF10" s="133" t="n">
        <f aca="false">GD10-$D10*Inputs!$L$13</f>
        <v>4265.49397439723</v>
      </c>
      <c r="AG10" s="84" t="n">
        <f aca="false">GT10</f>
        <v>19654.1528330611</v>
      </c>
      <c r="AH10" s="84" t="n">
        <f aca="false">$D10*$E10</f>
        <v>270</v>
      </c>
      <c r="AI10" s="84" t="n">
        <f aca="false">BG10+$D10*$E10</f>
        <v>270</v>
      </c>
      <c r="AJ10" s="84" t="n">
        <f aca="false">BW10+$D10*$E10</f>
        <v>270</v>
      </c>
      <c r="AK10" s="84" t="n">
        <f aca="false">CM10+$D10*$E10</f>
        <v>270</v>
      </c>
      <c r="AL10" s="84" t="n">
        <f aca="false">DC10+$D10*$E10</f>
        <v>270</v>
      </c>
      <c r="AM10" s="84" t="n">
        <f aca="false">DS10+$D10*$E10</f>
        <v>270</v>
      </c>
      <c r="AN10" s="84" t="n">
        <f aca="false">EI10+$D10*$E10</f>
        <v>270</v>
      </c>
      <c r="AO10" s="84" t="n">
        <f aca="false">EY10+$D10*$E10</f>
        <v>270</v>
      </c>
      <c r="AP10" s="84" t="n">
        <f aca="false">FO10+$D10*$E10</f>
        <v>270</v>
      </c>
      <c r="AQ10" s="84" t="n">
        <f aca="false">GE10+$D10*$E10</f>
        <v>1418.55669027687</v>
      </c>
      <c r="AR10" s="84" t="n">
        <f aca="false">GU10</f>
        <v>6009.29035737459</v>
      </c>
      <c r="AT10" s="133" t="n">
        <f aca="false">$D10*Inputs!$C$13-$D10*$E10</f>
        <v>3730</v>
      </c>
      <c r="AU10" s="84" t="n">
        <f aca="false">AT10*(1+$I10)</f>
        <v>4476</v>
      </c>
      <c r="AV10" s="133" t="n">
        <f aca="false">AU10*Inputs!$C$14</f>
        <v>0</v>
      </c>
      <c r="AW10" s="84" t="n">
        <f aca="false">AU10-AV10</f>
        <v>4476</v>
      </c>
      <c r="AX10" s="133" t="n">
        <f aca="false">$D10*Inputs!$C$13</f>
        <v>4000</v>
      </c>
      <c r="AY10" s="84" t="n">
        <f aca="false">MIN(AV10,AX10)</f>
        <v>0</v>
      </c>
      <c r="AZ10" s="84" t="n">
        <f aca="false">AX10-AY10</f>
        <v>4000</v>
      </c>
      <c r="BA10" s="84" t="n">
        <f aca="false">$G10*AX10</f>
        <v>320</v>
      </c>
      <c r="BB10" s="84" t="n">
        <f aca="false">MIN(AV10-AY10,BA10)</f>
        <v>0</v>
      </c>
      <c r="BC10" s="84" t="n">
        <f aca="false">BA10-BB10</f>
        <v>320</v>
      </c>
      <c r="BD10" s="84" t="n">
        <f aca="false">IF($H10=1,MIN(AV10-AY10-BB10,MAX(0,$F10/(1-$F10)*BB10)),0)</f>
        <v>0</v>
      </c>
      <c r="BE10" s="84" t="n">
        <f aca="false">AV10-AY10-BB10-BD10</f>
        <v>0</v>
      </c>
      <c r="BF10" s="84" t="n">
        <f aca="false">AY10+BB10+(1-$F10)*BE10</f>
        <v>0</v>
      </c>
      <c r="BG10" s="84" t="n">
        <f aca="false">BD10+$F10*BE10</f>
        <v>0</v>
      </c>
      <c r="BH10" s="84" t="n">
        <f aca="false">BB10+(1-$F10)*BE10</f>
        <v>0</v>
      </c>
      <c r="BI10" s="84" t="n">
        <f aca="false">BG10</f>
        <v>0</v>
      </c>
      <c r="BJ10" s="133" t="n">
        <f aca="false">AW10+$D10*Inputs!$D$13-$D10*$E10</f>
        <v>8206</v>
      </c>
      <c r="BK10" s="84" t="n">
        <f aca="false">BJ10*(1+$I10)</f>
        <v>9847.2</v>
      </c>
      <c r="BL10" s="133" t="n">
        <f aca="false">BK10*Inputs!$D$14</f>
        <v>0</v>
      </c>
      <c r="BM10" s="84" t="n">
        <f aca="false">BK10-BL10</f>
        <v>9847.2</v>
      </c>
      <c r="BN10" s="133" t="n">
        <f aca="false">AZ10+$D10*Inputs!$D$13</f>
        <v>8000</v>
      </c>
      <c r="BO10" s="84" t="n">
        <f aca="false">MIN(BL10,BN10)</f>
        <v>0</v>
      </c>
      <c r="BP10" s="84" t="n">
        <f aca="false">BN10-BO10</f>
        <v>8000</v>
      </c>
      <c r="BQ10" s="84" t="n">
        <f aca="false">BC10+$G10*(BN10+BC10)</f>
        <v>985.6</v>
      </c>
      <c r="BR10" s="84" t="n">
        <f aca="false">MIN(BL10-BO10,BQ10)</f>
        <v>0</v>
      </c>
      <c r="BS10" s="84" t="n">
        <f aca="false">BQ10-BR10</f>
        <v>985.6</v>
      </c>
      <c r="BT10" s="84" t="n">
        <f aca="false">IF($H10=1,MIN(BL10-BO10-BR10,MAX(0,$F10/(1-$F10)*(BH10+BR10)-BI10)),0)</f>
        <v>0</v>
      </c>
      <c r="BU10" s="84" t="n">
        <f aca="false">BL10-BO10-BR10-BT10</f>
        <v>0</v>
      </c>
      <c r="BV10" s="84" t="n">
        <f aca="false">BO10+BR10+(1-$F10)*BU10</f>
        <v>0</v>
      </c>
      <c r="BW10" s="84" t="n">
        <f aca="false">BT10+$F10*BU10</f>
        <v>0</v>
      </c>
      <c r="BX10" s="84" t="n">
        <f aca="false">BH10+BR10+(1-$F10)*BU10</f>
        <v>0</v>
      </c>
      <c r="BY10" s="84" t="n">
        <f aca="false">BI10+BW10</f>
        <v>0</v>
      </c>
      <c r="BZ10" s="133" t="n">
        <f aca="false">BM10+$D10*Inputs!$E$13-$D10*$E10</f>
        <v>13577.2</v>
      </c>
      <c r="CA10" s="84" t="n">
        <f aca="false">BZ10*(1+$I10)</f>
        <v>16292.64</v>
      </c>
      <c r="CB10" s="133" t="n">
        <f aca="false">CA10*Inputs!$E$14</f>
        <v>0</v>
      </c>
      <c r="CC10" s="84" t="n">
        <f aca="false">CA10-CB10</f>
        <v>16292.64</v>
      </c>
      <c r="CD10" s="133" t="n">
        <f aca="false">BP10+$D10*Inputs!$E$13</f>
        <v>12000</v>
      </c>
      <c r="CE10" s="84" t="n">
        <f aca="false">MIN(CB10,CD10)</f>
        <v>0</v>
      </c>
      <c r="CF10" s="84" t="n">
        <f aca="false">CD10-CE10</f>
        <v>12000</v>
      </c>
      <c r="CG10" s="84" t="n">
        <f aca="false">BS10+$G10*(CD10+BS10)</f>
        <v>2024.448</v>
      </c>
      <c r="CH10" s="84" t="n">
        <f aca="false">MIN(CB10-CE10,CG10)</f>
        <v>0</v>
      </c>
      <c r="CI10" s="84" t="n">
        <f aca="false">CG10-CH10</f>
        <v>2024.448</v>
      </c>
      <c r="CJ10" s="84" t="n">
        <f aca="false">IF($H10=1,MIN(CB10-CE10-CH10,MAX(0,$F10/(1-$F10)*(BX10+CH10)-BY10)),0)</f>
        <v>0</v>
      </c>
      <c r="CK10" s="84" t="n">
        <f aca="false">CB10-CE10-CH10-CJ10</f>
        <v>0</v>
      </c>
      <c r="CL10" s="84" t="n">
        <f aca="false">CE10+CH10+(1-$F10)*CK10</f>
        <v>0</v>
      </c>
      <c r="CM10" s="84" t="n">
        <f aca="false">CJ10+$F10*CK10</f>
        <v>0</v>
      </c>
      <c r="CN10" s="84" t="n">
        <f aca="false">BX10+CH10+(1-$F10)*CK10</f>
        <v>0</v>
      </c>
      <c r="CO10" s="84" t="n">
        <f aca="false">BY10+CM10</f>
        <v>0</v>
      </c>
      <c r="CP10" s="133" t="n">
        <f aca="false">CC10+$D10*Inputs!$F$13-$D10*$E10</f>
        <v>20022.64</v>
      </c>
      <c r="CQ10" s="84" t="n">
        <f aca="false">CP10*(1+$I10)</f>
        <v>24027.168</v>
      </c>
      <c r="CR10" s="133" t="n">
        <f aca="false">CQ10*Inputs!$F$14</f>
        <v>0</v>
      </c>
      <c r="CS10" s="84" t="n">
        <f aca="false">CQ10-CR10</f>
        <v>24027.168</v>
      </c>
      <c r="CT10" s="133" t="n">
        <f aca="false">CF10+$D10*Inputs!$F$13</f>
        <v>16000</v>
      </c>
      <c r="CU10" s="84" t="n">
        <f aca="false">MIN(CR10,CT10)</f>
        <v>0</v>
      </c>
      <c r="CV10" s="84" t="n">
        <f aca="false">CT10-CU10</f>
        <v>16000</v>
      </c>
      <c r="CW10" s="84" t="n">
        <f aca="false">CI10+$G10*(CT10+CI10)</f>
        <v>3466.40384</v>
      </c>
      <c r="CX10" s="84" t="n">
        <f aca="false">MIN(CR10-CU10,CW10)</f>
        <v>0</v>
      </c>
      <c r="CY10" s="84" t="n">
        <f aca="false">CW10-CX10</f>
        <v>3466.40384</v>
      </c>
      <c r="CZ10" s="84" t="n">
        <f aca="false">IF($H10=1,MIN(CR10-CU10-CX10,MAX(0,$F10/(1-$F10)*(CN10+CX10)-CO10)),0)</f>
        <v>0</v>
      </c>
      <c r="DA10" s="84" t="n">
        <f aca="false">CR10-CU10-CX10-CZ10</f>
        <v>0</v>
      </c>
      <c r="DB10" s="84" t="n">
        <f aca="false">CU10+CX10+(1-$F10)*DA10</f>
        <v>0</v>
      </c>
      <c r="DC10" s="84" t="n">
        <f aca="false">CZ10+$F10*DA10</f>
        <v>0</v>
      </c>
      <c r="DD10" s="84" t="n">
        <f aca="false">CN10+CX10+(1-$F10)*DA10</f>
        <v>0</v>
      </c>
      <c r="DE10" s="84" t="n">
        <f aca="false">CO10+DC10</f>
        <v>0</v>
      </c>
      <c r="DF10" s="133" t="n">
        <f aca="false">CS10+$D10*Inputs!$G$13-$D10*$E10</f>
        <v>27757.168</v>
      </c>
      <c r="DG10" s="84" t="n">
        <f aca="false">DF10*(1+$I10)</f>
        <v>33308.6016</v>
      </c>
      <c r="DH10" s="133" t="n">
        <f aca="false">DG10*Inputs!$G$14</f>
        <v>6661.72032</v>
      </c>
      <c r="DI10" s="84" t="n">
        <f aca="false">DG10-DH10</f>
        <v>26646.88128</v>
      </c>
      <c r="DJ10" s="133" t="n">
        <f aca="false">CV10+$D10*Inputs!$G$13</f>
        <v>20000</v>
      </c>
      <c r="DK10" s="84" t="n">
        <f aca="false">MIN(DH10,DJ10)</f>
        <v>6661.72032</v>
      </c>
      <c r="DL10" s="84" t="n">
        <f aca="false">DJ10-DK10</f>
        <v>13338.27968</v>
      </c>
      <c r="DM10" s="84" t="n">
        <f aca="false">CY10+$G10*(DJ10+CY10)</f>
        <v>5343.7161472</v>
      </c>
      <c r="DN10" s="84" t="n">
        <f aca="false">MIN(DH10-DK10,DM10)</f>
        <v>0</v>
      </c>
      <c r="DO10" s="84" t="n">
        <f aca="false">DM10-DN10</f>
        <v>5343.7161472</v>
      </c>
      <c r="DP10" s="84" t="n">
        <f aca="false">IF($H10=1,MIN(DH10-DK10-DN10,MAX(0,$F10/(1-$F10)*(DD10+DN10)-DE10)),0)</f>
        <v>0</v>
      </c>
      <c r="DQ10" s="84" t="n">
        <f aca="false">DH10-DK10-DN10-DP10</f>
        <v>0</v>
      </c>
      <c r="DR10" s="84" t="n">
        <f aca="false">DK10+DN10+(1-$F10)*DQ10</f>
        <v>6661.72032</v>
      </c>
      <c r="DS10" s="84" t="n">
        <f aca="false">DP10+$F10*DQ10</f>
        <v>0</v>
      </c>
      <c r="DT10" s="84" t="n">
        <f aca="false">DD10+DN10+(1-$F10)*DQ10</f>
        <v>0</v>
      </c>
      <c r="DU10" s="84" t="n">
        <f aca="false">DE10+DS10</f>
        <v>0</v>
      </c>
      <c r="DV10" s="133" t="n">
        <f aca="false">DI10+$D10*Inputs!$H$13-$D10*$E10</f>
        <v>26376.88128</v>
      </c>
      <c r="DW10" s="84" t="n">
        <f aca="false">DV10*(1+$I10)</f>
        <v>31652.257536</v>
      </c>
      <c r="DX10" s="133" t="n">
        <f aca="false">DW10*Inputs!$H$14</f>
        <v>6330.4515072</v>
      </c>
      <c r="DY10" s="84" t="n">
        <f aca="false">DW10-DX10</f>
        <v>25321.8060288</v>
      </c>
      <c r="DZ10" s="133" t="n">
        <f aca="false">DL10+$D10*Inputs!$H$13</f>
        <v>13338.27968</v>
      </c>
      <c r="EA10" s="84" t="n">
        <f aca="false">MIN(DX10,DZ10)</f>
        <v>6330.4515072</v>
      </c>
      <c r="EB10" s="84" t="n">
        <f aca="false">DZ10-EA10</f>
        <v>7007.8281728</v>
      </c>
      <c r="EC10" s="84" t="n">
        <f aca="false">DO10+$G10*(DZ10+DO10)</f>
        <v>6838.275813376</v>
      </c>
      <c r="ED10" s="84" t="n">
        <f aca="false">MIN(DX10-EA10,EC10)</f>
        <v>0</v>
      </c>
      <c r="EE10" s="84" t="n">
        <f aca="false">EC10-ED10</f>
        <v>6838.275813376</v>
      </c>
      <c r="EF10" s="84" t="n">
        <f aca="false">IF($H10=1,MIN(DX10-EA10-ED10,MAX(0,$F10/(1-$F10)*(DT10+ED10)-DU10)),0)</f>
        <v>0</v>
      </c>
      <c r="EG10" s="84" t="n">
        <f aca="false">DX10-EA10-ED10-EF10</f>
        <v>0</v>
      </c>
      <c r="EH10" s="84" t="n">
        <f aca="false">EA10+ED10+(1-$F10)*EG10</f>
        <v>6330.4515072</v>
      </c>
      <c r="EI10" s="84" t="n">
        <f aca="false">EF10+$F10*EG10</f>
        <v>0</v>
      </c>
      <c r="EJ10" s="84" t="n">
        <f aca="false">DT10+ED10+(1-$F10)*EG10</f>
        <v>0</v>
      </c>
      <c r="EK10" s="84" t="n">
        <f aca="false">DU10+EI10</f>
        <v>0</v>
      </c>
      <c r="EL10" s="133" t="n">
        <f aca="false">DY10+$D10*Inputs!$I$13-$D10*$E10</f>
        <v>25051.8060288</v>
      </c>
      <c r="EM10" s="84" t="n">
        <f aca="false">EL10*(1+$I10)</f>
        <v>30062.16723456</v>
      </c>
      <c r="EN10" s="133" t="n">
        <f aca="false">EM10*Inputs!$I$14</f>
        <v>6012.433446912</v>
      </c>
      <c r="EO10" s="84" t="n">
        <f aca="false">EM10-EN10</f>
        <v>24049.733787648</v>
      </c>
      <c r="EP10" s="133" t="n">
        <f aca="false">EB10+$D10*Inputs!$I$13</f>
        <v>7007.8281728</v>
      </c>
      <c r="EQ10" s="84" t="n">
        <f aca="false">MIN(EN10,EP10)</f>
        <v>6012.433446912</v>
      </c>
      <c r="ER10" s="84" t="n">
        <f aca="false">EP10-EQ10</f>
        <v>995.394725888003</v>
      </c>
      <c r="ES10" s="84" t="n">
        <f aca="false">EE10+$G10*(EP10+EE10)</f>
        <v>7945.96413227008</v>
      </c>
      <c r="ET10" s="84" t="n">
        <f aca="false">MIN(EN10-EQ10,ES10)</f>
        <v>0</v>
      </c>
      <c r="EU10" s="84" t="n">
        <f aca="false">ES10-ET10</f>
        <v>7945.96413227008</v>
      </c>
      <c r="EV10" s="84" t="n">
        <f aca="false">IF($H10=1,MIN(EN10-EQ10-ET10,MAX(0,$F10/(1-$F10)*(EJ10+ET10)-EK10)),0)</f>
        <v>0</v>
      </c>
      <c r="EW10" s="84" t="n">
        <f aca="false">EN10-EQ10-ET10-EV10</f>
        <v>0</v>
      </c>
      <c r="EX10" s="84" t="n">
        <f aca="false">EQ10+ET10+(1-$F10)*EW10</f>
        <v>6012.433446912</v>
      </c>
      <c r="EY10" s="84" t="n">
        <f aca="false">EV10+$F10*EW10</f>
        <v>0</v>
      </c>
      <c r="EZ10" s="84" t="n">
        <f aca="false">EJ10+ET10+(1-$F10)*EW10</f>
        <v>0</v>
      </c>
      <c r="FA10" s="84" t="n">
        <f aca="false">EK10+EY10</f>
        <v>0</v>
      </c>
      <c r="FB10" s="133" t="n">
        <f aca="false">EO10+$D10*Inputs!$J$13-$D10*$E10</f>
        <v>23779.733787648</v>
      </c>
      <c r="FC10" s="84" t="n">
        <f aca="false">FB10*(1+$I10)</f>
        <v>28535.6805451776</v>
      </c>
      <c r="FD10" s="133" t="n">
        <f aca="false">FC10*Inputs!$J$14</f>
        <v>5707.13610903552</v>
      </c>
      <c r="FE10" s="84" t="n">
        <f aca="false">FC10-FD10</f>
        <v>22828.5444361421</v>
      </c>
      <c r="FF10" s="133" t="n">
        <f aca="false">ER10+$D10*Inputs!$J$13</f>
        <v>995.394725888003</v>
      </c>
      <c r="FG10" s="84" t="n">
        <f aca="false">MIN(FD10,FF10)</f>
        <v>995.394725888003</v>
      </c>
      <c r="FH10" s="84" t="n">
        <f aca="false">FF10-FG10</f>
        <v>0</v>
      </c>
      <c r="FI10" s="84" t="n">
        <f aca="false">EU10+$G10*(FF10+EU10)</f>
        <v>8661.27284092273</v>
      </c>
      <c r="FJ10" s="84" t="n">
        <f aca="false">MIN(FD10-FG10,FI10)</f>
        <v>4711.74138314751</v>
      </c>
      <c r="FK10" s="84" t="n">
        <f aca="false">FI10-FJ10</f>
        <v>3949.53145777521</v>
      </c>
      <c r="FL10" s="84" t="n">
        <f aca="false">IF($H10=1,MIN(FD10-FG10-FJ10,MAX(0,$F10/(1-$F10)*(EZ10+FJ10)-FA10)),0)</f>
        <v>0</v>
      </c>
      <c r="FM10" s="84" t="n">
        <f aca="false">FD10-FG10-FJ10-FL10</f>
        <v>0</v>
      </c>
      <c r="FN10" s="84" t="n">
        <f aca="false">FG10+FJ10+(1-$F10)*FM10</f>
        <v>5707.13610903552</v>
      </c>
      <c r="FO10" s="84" t="n">
        <f aca="false">FL10+$F10*FM10</f>
        <v>0</v>
      </c>
      <c r="FP10" s="84" t="n">
        <f aca="false">EZ10+FJ10+(1-$F10)*FM10</f>
        <v>4711.74138314751</v>
      </c>
      <c r="FQ10" s="84" t="n">
        <f aca="false">FA10+FO10</f>
        <v>0</v>
      </c>
      <c r="FR10" s="133" t="n">
        <f aca="false">FE10+$D10*Inputs!$K$13-$D10*$E10</f>
        <v>22558.5444361421</v>
      </c>
      <c r="FS10" s="84" t="n">
        <f aca="false">FR10*(1+$I10)</f>
        <v>27070.2533233705</v>
      </c>
      <c r="FT10" s="133" t="n">
        <f aca="false">FS10*Inputs!$K$14</f>
        <v>5414.0506646741</v>
      </c>
      <c r="FU10" s="84" t="n">
        <f aca="false">FS10-FT10</f>
        <v>21656.2026586964</v>
      </c>
      <c r="FV10" s="133" t="n">
        <f aca="false">FH10+$D10*Inputs!$K$13</f>
        <v>0</v>
      </c>
      <c r="FW10" s="84" t="n">
        <f aca="false">MIN(FT10,FV10)</f>
        <v>0</v>
      </c>
      <c r="FX10" s="84" t="n">
        <f aca="false">FV10-FW10</f>
        <v>0</v>
      </c>
      <c r="FY10" s="84" t="n">
        <f aca="false">FK10+$G10*(FV10+FK10)</f>
        <v>4265.49397439723</v>
      </c>
      <c r="FZ10" s="84" t="n">
        <f aca="false">MIN(FT10-FW10,FY10)</f>
        <v>4265.49397439723</v>
      </c>
      <c r="GA10" s="84" t="n">
        <f aca="false">FY10-FZ10</f>
        <v>0</v>
      </c>
      <c r="GB10" s="84" t="n">
        <f aca="false">IF($H10=1,MIN(FT10-FW10-FZ10,MAX(0,$F10/(1-$F10)*(FP10+FZ10)-FQ10)),0)</f>
        <v>1148.55669027687</v>
      </c>
      <c r="GC10" s="84" t="n">
        <f aca="false">FT10-FW10-FZ10-GB10</f>
        <v>0</v>
      </c>
      <c r="GD10" s="84" t="n">
        <f aca="false">FW10+FZ10+(1-$F10)*GC10</f>
        <v>4265.49397439723</v>
      </c>
      <c r="GE10" s="84" t="n">
        <f aca="false">GB10+$F10*GC10</f>
        <v>1148.55669027687</v>
      </c>
      <c r="GF10" s="84" t="n">
        <f aca="false">FP10+FZ10+(1-$F10)*GC10</f>
        <v>8977.23535754475</v>
      </c>
      <c r="GG10" s="84" t="n">
        <f aca="false">FQ10+GE10</f>
        <v>1148.55669027687</v>
      </c>
      <c r="GH10" s="133" t="n">
        <f aca="false">FU10+$D10*Inputs!$L$13-$D10*$E10</f>
        <v>21386.2026586964</v>
      </c>
      <c r="GI10" s="84" t="n">
        <f aca="false">GH10*(1+$I10)</f>
        <v>25663.4431904357</v>
      </c>
      <c r="GJ10" s="133" t="n">
        <f aca="false">GI10*Inputs!$L$14</f>
        <v>25663.4431904357</v>
      </c>
      <c r="GK10" s="84" t="n">
        <f aca="false">GI10-GJ10</f>
        <v>0</v>
      </c>
      <c r="GL10" s="133" t="n">
        <f aca="false">FX10+$D10*Inputs!$L$13</f>
        <v>0</v>
      </c>
      <c r="GM10" s="84" t="n">
        <f aca="false">MIN(GJ10,GL10)</f>
        <v>0</v>
      </c>
      <c r="GN10" s="84" t="n">
        <f aca="false">GL10-GM10</f>
        <v>0</v>
      </c>
      <c r="GO10" s="84" t="n">
        <f aca="false">GA10+$G10*(GL10+GA10)</f>
        <v>0</v>
      </c>
      <c r="GP10" s="84" t="n">
        <f aca="false">MIN(GJ10-GM10,GO10)</f>
        <v>0</v>
      </c>
      <c r="GQ10" s="84" t="n">
        <f aca="false">GO10-GP10</f>
        <v>0</v>
      </c>
      <c r="GR10" s="84" t="n">
        <f aca="false">IF($H10=1,MIN(GJ10-GM10-GP10,MAX(0,$F10/(1-$F10)*(GF10+GP10)-GG10)),0)</f>
        <v>1095.75214910932</v>
      </c>
      <c r="GS10" s="84" t="n">
        <f aca="false">GJ10-GM10-GP10-GR10</f>
        <v>24567.6910413263</v>
      </c>
      <c r="GT10" s="84" t="n">
        <f aca="false">GM10+GP10+(1-$F10)*GS10</f>
        <v>19654.1528330611</v>
      </c>
      <c r="GU10" s="84" t="n">
        <f aca="false">GR10+$F10*GS10</f>
        <v>6009.29035737459</v>
      </c>
      <c r="GV10" s="84" t="n">
        <f aca="false">GF10+GP10+(1-$F10)*GS10</f>
        <v>28631.3881906058</v>
      </c>
      <c r="GW10" s="84" t="n">
        <f aca="false">GG10+GU10</f>
        <v>7157.84704765146</v>
      </c>
    </row>
    <row r="11" customFormat="false" ht="15" hidden="false" customHeight="false" outlineLevel="0" collapsed="false">
      <c r="A11" s="5" t="s">
        <v>619</v>
      </c>
      <c r="B11" s="5" t="s">
        <v>429</v>
      </c>
      <c r="D11" s="47" t="n">
        <f aca="false">Inputs!$C$6</f>
        <v>20000</v>
      </c>
      <c r="E11" s="35" t="n">
        <f aca="false">Inputs!$C$19</f>
        <v>0.0135</v>
      </c>
      <c r="F11" s="36" t="n">
        <f aca="false">Inputs!$C$21</f>
        <v>0.15</v>
      </c>
      <c r="G11" s="30" t="n">
        <v>0</v>
      </c>
      <c r="H11" s="27" t="n">
        <v>0</v>
      </c>
      <c r="I11" s="132" t="n">
        <f aca="false">Inputs!$C$8</f>
        <v>0.2</v>
      </c>
      <c r="J11" s="36" t="n">
        <f aca="false">Inputs!$C$9</f>
        <v>0.15</v>
      </c>
      <c r="K11" s="89" t="n">
        <f aca="false">IRR(W11:AG11,0.1)</f>
        <v>0.164910982580994</v>
      </c>
      <c r="L11" s="45" t="n">
        <f aca="false">W11+NPV($J11,X11:AG11)</f>
        <v>1224.12414779974</v>
      </c>
      <c r="M11" s="45" t="n">
        <f aca="false">SUM(BF11,BV11,CL11,DB11,DR11,EH11,EX11,FN11,GD11,GT11)</f>
        <v>50420.8499525187</v>
      </c>
      <c r="N11" s="43" t="n">
        <f aca="false">IF($D11*SUM(Inputs!$C$13:$L$13)=0,0,M11/($D11*SUM(Inputs!$C$13:$L$13)))</f>
        <v>2.52104249762593</v>
      </c>
      <c r="O11" s="42" t="n">
        <f aca="false">$D11*$E11*COLUMNS(Inputs!$C$13:$L$13)</f>
        <v>2700</v>
      </c>
      <c r="P11" s="45" t="n">
        <f aca="false">SUM(BG11,BW11,CM11,DC11,DS11,EI11,EY11,FO11,GE11,GU11)</f>
        <v>5368.38528573859</v>
      </c>
      <c r="Q11" s="42" t="n">
        <f aca="false">PV($J11,COLUMNS(Inputs!$C$13:$L$13),-$D11*$E11,0,1)</f>
        <v>1558.32765832774</v>
      </c>
      <c r="R11" s="45" t="n">
        <f aca="false">NPV($J11,BG11,BW11,CM11,DC11,DS11,EI11,EY11,FO11,GE11,GU11)</f>
        <v>1413.43475700093</v>
      </c>
      <c r="S11" s="45" t="n">
        <f aca="false">Q11+R11</f>
        <v>2971.76241532866</v>
      </c>
      <c r="T11" s="32" t="n">
        <f aca="false">IF(S11=0,0,Q11/S11)</f>
        <v>0.524378278118641</v>
      </c>
      <c r="U11" s="45" t="n">
        <f aca="false">ROUND(ABS(GK11)+ABS(SUM(AV11,BL11,CB11,CR11,DH11,DX11,EN11,FD11,FT11,GJ11)-M11-P11)+ABS(S11-(AH11+NPV($J11,AI11:AR11))),6)</f>
        <v>0</v>
      </c>
      <c r="W11" s="133" t="n">
        <f aca="false">-$D11*Inputs!$C$13</f>
        <v>-4000</v>
      </c>
      <c r="X11" s="133" t="n">
        <f aca="false">BF11-$D11*Inputs!$D$13</f>
        <v>-4000</v>
      </c>
      <c r="Y11" s="133" t="n">
        <f aca="false">BV11-$D11*Inputs!$E$13</f>
        <v>-4000</v>
      </c>
      <c r="Z11" s="133" t="n">
        <f aca="false">CL11-$D11*Inputs!$F$13</f>
        <v>-4000</v>
      </c>
      <c r="AA11" s="133" t="n">
        <f aca="false">DB11-$D11*Inputs!$G$13</f>
        <v>-4000</v>
      </c>
      <c r="AB11" s="133" t="n">
        <f aca="false">DR11-$D11*Inputs!$H$13</f>
        <v>6661.72032</v>
      </c>
      <c r="AC11" s="133" t="n">
        <f aca="false">EH11-$D11*Inputs!$I$13</f>
        <v>6330.4515072</v>
      </c>
      <c r="AD11" s="133" t="n">
        <f aca="false">EX11-$D11*Inputs!$J$13</f>
        <v>6012.433446912</v>
      </c>
      <c r="AE11" s="133" t="n">
        <f aca="false">FN11-$D11*Inputs!$K$13</f>
        <v>5000.37490156339</v>
      </c>
      <c r="AF11" s="133" t="n">
        <f aca="false">GD11-$D11*Inputs!$L$13</f>
        <v>4601.94306497298</v>
      </c>
      <c r="AG11" s="84" t="n">
        <f aca="false">GT11</f>
        <v>21813.9267118703</v>
      </c>
      <c r="AH11" s="84" t="n">
        <f aca="false">$D11*$E11</f>
        <v>270</v>
      </c>
      <c r="AI11" s="84" t="n">
        <f aca="false">BG11+$D11*$E11</f>
        <v>270</v>
      </c>
      <c r="AJ11" s="84" t="n">
        <f aca="false">BW11+$D11*$E11</f>
        <v>270</v>
      </c>
      <c r="AK11" s="84" t="n">
        <f aca="false">CM11+$D11*$E11</f>
        <v>270</v>
      </c>
      <c r="AL11" s="84" t="n">
        <f aca="false">DC11+$D11*$E11</f>
        <v>270</v>
      </c>
      <c r="AM11" s="84" t="n">
        <f aca="false">DS11+$D11*$E11</f>
        <v>270</v>
      </c>
      <c r="AN11" s="84" t="n">
        <f aca="false">EI11+$D11*$E11</f>
        <v>270</v>
      </c>
      <c r="AO11" s="84" t="n">
        <f aca="false">EY11+$D11*$E11</f>
        <v>270</v>
      </c>
      <c r="AP11" s="84" t="n">
        <f aca="false">FO11+$D11*$E11</f>
        <v>976.761207472127</v>
      </c>
      <c r="AQ11" s="84" t="n">
        <f aca="false">GE11+$D11*$E11</f>
        <v>1082.10759970111</v>
      </c>
      <c r="AR11" s="84" t="n">
        <f aca="false">GU11</f>
        <v>3849.51647856535</v>
      </c>
      <c r="AT11" s="133" t="n">
        <f aca="false">$D11*Inputs!$C$13-$D11*$E11</f>
        <v>3730</v>
      </c>
      <c r="AU11" s="84" t="n">
        <f aca="false">AT11*(1+$I11)</f>
        <v>4476</v>
      </c>
      <c r="AV11" s="133" t="n">
        <f aca="false">AU11*Inputs!$C$14</f>
        <v>0</v>
      </c>
      <c r="AW11" s="84" t="n">
        <f aca="false">AU11-AV11</f>
        <v>4476</v>
      </c>
      <c r="AX11" s="133" t="n">
        <f aca="false">$D11*Inputs!$C$13</f>
        <v>4000</v>
      </c>
      <c r="AY11" s="84" t="n">
        <f aca="false">MIN(AV11,AX11)</f>
        <v>0</v>
      </c>
      <c r="AZ11" s="84" t="n">
        <f aca="false">AX11-AY11</f>
        <v>4000</v>
      </c>
      <c r="BA11" s="84" t="n">
        <f aca="false">$G11*AX11</f>
        <v>0</v>
      </c>
      <c r="BB11" s="84" t="n">
        <f aca="false">MIN(AV11-AY11,BA11)</f>
        <v>0</v>
      </c>
      <c r="BC11" s="84" t="n">
        <f aca="false">BA11-BB11</f>
        <v>0</v>
      </c>
      <c r="BD11" s="84" t="n">
        <f aca="false">IF($H11=1,MIN(AV11-AY11-BB11,MAX(0,$F11/(1-$F11)*BB11)),0)</f>
        <v>0</v>
      </c>
      <c r="BE11" s="84" t="n">
        <f aca="false">AV11-AY11-BB11-BD11</f>
        <v>0</v>
      </c>
      <c r="BF11" s="84" t="n">
        <f aca="false">AY11+BB11+(1-$F11)*BE11</f>
        <v>0</v>
      </c>
      <c r="BG11" s="84" t="n">
        <f aca="false">BD11+$F11*BE11</f>
        <v>0</v>
      </c>
      <c r="BH11" s="84" t="n">
        <f aca="false">BB11+(1-$F11)*BE11</f>
        <v>0</v>
      </c>
      <c r="BI11" s="84" t="n">
        <f aca="false">BG11</f>
        <v>0</v>
      </c>
      <c r="BJ11" s="133" t="n">
        <f aca="false">AW11+$D11*Inputs!$D$13-$D11*$E11</f>
        <v>8206</v>
      </c>
      <c r="BK11" s="84" t="n">
        <f aca="false">BJ11*(1+$I11)</f>
        <v>9847.2</v>
      </c>
      <c r="BL11" s="133" t="n">
        <f aca="false">BK11*Inputs!$D$14</f>
        <v>0</v>
      </c>
      <c r="BM11" s="84" t="n">
        <f aca="false">BK11-BL11</f>
        <v>9847.2</v>
      </c>
      <c r="BN11" s="133" t="n">
        <f aca="false">AZ11+$D11*Inputs!$D$13</f>
        <v>8000</v>
      </c>
      <c r="BO11" s="84" t="n">
        <f aca="false">MIN(BL11,BN11)</f>
        <v>0</v>
      </c>
      <c r="BP11" s="84" t="n">
        <f aca="false">BN11-BO11</f>
        <v>8000</v>
      </c>
      <c r="BQ11" s="84" t="n">
        <f aca="false">BC11+$G11*(BN11+BC11)</f>
        <v>0</v>
      </c>
      <c r="BR11" s="84" t="n">
        <f aca="false">MIN(BL11-BO11,BQ11)</f>
        <v>0</v>
      </c>
      <c r="BS11" s="84" t="n">
        <f aca="false">BQ11-BR11</f>
        <v>0</v>
      </c>
      <c r="BT11" s="84" t="n">
        <f aca="false">IF($H11=1,MIN(BL11-BO11-BR11,MAX(0,$F11/(1-$F11)*(BH11+BR11)-BI11)),0)</f>
        <v>0</v>
      </c>
      <c r="BU11" s="84" t="n">
        <f aca="false">BL11-BO11-BR11-BT11</f>
        <v>0</v>
      </c>
      <c r="BV11" s="84" t="n">
        <f aca="false">BO11+BR11+(1-$F11)*BU11</f>
        <v>0</v>
      </c>
      <c r="BW11" s="84" t="n">
        <f aca="false">BT11+$F11*BU11</f>
        <v>0</v>
      </c>
      <c r="BX11" s="84" t="n">
        <f aca="false">BH11+BR11+(1-$F11)*BU11</f>
        <v>0</v>
      </c>
      <c r="BY11" s="84" t="n">
        <f aca="false">BI11+BW11</f>
        <v>0</v>
      </c>
      <c r="BZ11" s="133" t="n">
        <f aca="false">BM11+$D11*Inputs!$E$13-$D11*$E11</f>
        <v>13577.2</v>
      </c>
      <c r="CA11" s="84" t="n">
        <f aca="false">BZ11*(1+$I11)</f>
        <v>16292.64</v>
      </c>
      <c r="CB11" s="133" t="n">
        <f aca="false">CA11*Inputs!$E$14</f>
        <v>0</v>
      </c>
      <c r="CC11" s="84" t="n">
        <f aca="false">CA11-CB11</f>
        <v>16292.64</v>
      </c>
      <c r="CD11" s="133" t="n">
        <f aca="false">BP11+$D11*Inputs!$E$13</f>
        <v>12000</v>
      </c>
      <c r="CE11" s="84" t="n">
        <f aca="false">MIN(CB11,CD11)</f>
        <v>0</v>
      </c>
      <c r="CF11" s="84" t="n">
        <f aca="false">CD11-CE11</f>
        <v>12000</v>
      </c>
      <c r="CG11" s="84" t="n">
        <f aca="false">BS11+$G11*(CD11+BS11)</f>
        <v>0</v>
      </c>
      <c r="CH11" s="84" t="n">
        <f aca="false">MIN(CB11-CE11,CG11)</f>
        <v>0</v>
      </c>
      <c r="CI11" s="84" t="n">
        <f aca="false">CG11-CH11</f>
        <v>0</v>
      </c>
      <c r="CJ11" s="84" t="n">
        <f aca="false">IF($H11=1,MIN(CB11-CE11-CH11,MAX(0,$F11/(1-$F11)*(BX11+CH11)-BY11)),0)</f>
        <v>0</v>
      </c>
      <c r="CK11" s="84" t="n">
        <f aca="false">CB11-CE11-CH11-CJ11</f>
        <v>0</v>
      </c>
      <c r="CL11" s="84" t="n">
        <f aca="false">CE11+CH11+(1-$F11)*CK11</f>
        <v>0</v>
      </c>
      <c r="CM11" s="84" t="n">
        <f aca="false">CJ11+$F11*CK11</f>
        <v>0</v>
      </c>
      <c r="CN11" s="84" t="n">
        <f aca="false">BX11+CH11+(1-$F11)*CK11</f>
        <v>0</v>
      </c>
      <c r="CO11" s="84" t="n">
        <f aca="false">BY11+CM11</f>
        <v>0</v>
      </c>
      <c r="CP11" s="133" t="n">
        <f aca="false">CC11+$D11*Inputs!$F$13-$D11*$E11</f>
        <v>20022.64</v>
      </c>
      <c r="CQ11" s="84" t="n">
        <f aca="false">CP11*(1+$I11)</f>
        <v>24027.168</v>
      </c>
      <c r="CR11" s="133" t="n">
        <f aca="false">CQ11*Inputs!$F$14</f>
        <v>0</v>
      </c>
      <c r="CS11" s="84" t="n">
        <f aca="false">CQ11-CR11</f>
        <v>24027.168</v>
      </c>
      <c r="CT11" s="133" t="n">
        <f aca="false">CF11+$D11*Inputs!$F$13</f>
        <v>16000</v>
      </c>
      <c r="CU11" s="84" t="n">
        <f aca="false">MIN(CR11,CT11)</f>
        <v>0</v>
      </c>
      <c r="CV11" s="84" t="n">
        <f aca="false">CT11-CU11</f>
        <v>16000</v>
      </c>
      <c r="CW11" s="84" t="n">
        <f aca="false">CI11+$G11*(CT11+CI11)</f>
        <v>0</v>
      </c>
      <c r="CX11" s="84" t="n">
        <f aca="false">MIN(CR11-CU11,CW11)</f>
        <v>0</v>
      </c>
      <c r="CY11" s="84" t="n">
        <f aca="false">CW11-CX11</f>
        <v>0</v>
      </c>
      <c r="CZ11" s="84" t="n">
        <f aca="false">IF($H11=1,MIN(CR11-CU11-CX11,MAX(0,$F11/(1-$F11)*(CN11+CX11)-CO11)),0)</f>
        <v>0</v>
      </c>
      <c r="DA11" s="84" t="n">
        <f aca="false">CR11-CU11-CX11-CZ11</f>
        <v>0</v>
      </c>
      <c r="DB11" s="84" t="n">
        <f aca="false">CU11+CX11+(1-$F11)*DA11</f>
        <v>0</v>
      </c>
      <c r="DC11" s="84" t="n">
        <f aca="false">CZ11+$F11*DA11</f>
        <v>0</v>
      </c>
      <c r="DD11" s="84" t="n">
        <f aca="false">CN11+CX11+(1-$F11)*DA11</f>
        <v>0</v>
      </c>
      <c r="DE11" s="84" t="n">
        <f aca="false">CO11+DC11</f>
        <v>0</v>
      </c>
      <c r="DF11" s="133" t="n">
        <f aca="false">CS11+$D11*Inputs!$G$13-$D11*$E11</f>
        <v>27757.168</v>
      </c>
      <c r="DG11" s="84" t="n">
        <f aca="false">DF11*(1+$I11)</f>
        <v>33308.6016</v>
      </c>
      <c r="DH11" s="133" t="n">
        <f aca="false">DG11*Inputs!$G$14</f>
        <v>6661.72032</v>
      </c>
      <c r="DI11" s="84" t="n">
        <f aca="false">DG11-DH11</f>
        <v>26646.88128</v>
      </c>
      <c r="DJ11" s="133" t="n">
        <f aca="false">CV11+$D11*Inputs!$G$13</f>
        <v>20000</v>
      </c>
      <c r="DK11" s="84" t="n">
        <f aca="false">MIN(DH11,DJ11)</f>
        <v>6661.72032</v>
      </c>
      <c r="DL11" s="84" t="n">
        <f aca="false">DJ11-DK11</f>
        <v>13338.27968</v>
      </c>
      <c r="DM11" s="84" t="n">
        <f aca="false">CY11+$G11*(DJ11+CY11)</f>
        <v>0</v>
      </c>
      <c r="DN11" s="84" t="n">
        <f aca="false">MIN(DH11-DK11,DM11)</f>
        <v>0</v>
      </c>
      <c r="DO11" s="84" t="n">
        <f aca="false">DM11-DN11</f>
        <v>0</v>
      </c>
      <c r="DP11" s="84" t="n">
        <f aca="false">IF($H11=1,MIN(DH11-DK11-DN11,MAX(0,$F11/(1-$F11)*(DD11+DN11)-DE11)),0)</f>
        <v>0</v>
      </c>
      <c r="DQ11" s="84" t="n">
        <f aca="false">DH11-DK11-DN11-DP11</f>
        <v>0</v>
      </c>
      <c r="DR11" s="84" t="n">
        <f aca="false">DK11+DN11+(1-$F11)*DQ11</f>
        <v>6661.72032</v>
      </c>
      <c r="DS11" s="84" t="n">
        <f aca="false">DP11+$F11*DQ11</f>
        <v>0</v>
      </c>
      <c r="DT11" s="84" t="n">
        <f aca="false">DD11+DN11+(1-$F11)*DQ11</f>
        <v>0</v>
      </c>
      <c r="DU11" s="84" t="n">
        <f aca="false">DE11+DS11</f>
        <v>0</v>
      </c>
      <c r="DV11" s="133" t="n">
        <f aca="false">DI11+$D11*Inputs!$H$13-$D11*$E11</f>
        <v>26376.88128</v>
      </c>
      <c r="DW11" s="84" t="n">
        <f aca="false">DV11*(1+$I11)</f>
        <v>31652.257536</v>
      </c>
      <c r="DX11" s="133" t="n">
        <f aca="false">DW11*Inputs!$H$14</f>
        <v>6330.4515072</v>
      </c>
      <c r="DY11" s="84" t="n">
        <f aca="false">DW11-DX11</f>
        <v>25321.8060288</v>
      </c>
      <c r="DZ11" s="133" t="n">
        <f aca="false">DL11+$D11*Inputs!$H$13</f>
        <v>13338.27968</v>
      </c>
      <c r="EA11" s="84" t="n">
        <f aca="false">MIN(DX11,DZ11)</f>
        <v>6330.4515072</v>
      </c>
      <c r="EB11" s="84" t="n">
        <f aca="false">DZ11-EA11</f>
        <v>7007.8281728</v>
      </c>
      <c r="EC11" s="84" t="n">
        <f aca="false">DO11+$G11*(DZ11+DO11)</f>
        <v>0</v>
      </c>
      <c r="ED11" s="84" t="n">
        <f aca="false">MIN(DX11-EA11,EC11)</f>
        <v>0</v>
      </c>
      <c r="EE11" s="84" t="n">
        <f aca="false">EC11-ED11</f>
        <v>0</v>
      </c>
      <c r="EF11" s="84" t="n">
        <f aca="false">IF($H11=1,MIN(DX11-EA11-ED11,MAX(0,$F11/(1-$F11)*(DT11+ED11)-DU11)),0)</f>
        <v>0</v>
      </c>
      <c r="EG11" s="84" t="n">
        <f aca="false">DX11-EA11-ED11-EF11</f>
        <v>0</v>
      </c>
      <c r="EH11" s="84" t="n">
        <f aca="false">EA11+ED11+(1-$F11)*EG11</f>
        <v>6330.4515072</v>
      </c>
      <c r="EI11" s="84" t="n">
        <f aca="false">EF11+$F11*EG11</f>
        <v>0</v>
      </c>
      <c r="EJ11" s="84" t="n">
        <f aca="false">DT11+ED11+(1-$F11)*EG11</f>
        <v>0</v>
      </c>
      <c r="EK11" s="84" t="n">
        <f aca="false">DU11+EI11</f>
        <v>0</v>
      </c>
      <c r="EL11" s="133" t="n">
        <f aca="false">DY11+$D11*Inputs!$I$13-$D11*$E11</f>
        <v>25051.8060288</v>
      </c>
      <c r="EM11" s="84" t="n">
        <f aca="false">EL11*(1+$I11)</f>
        <v>30062.16723456</v>
      </c>
      <c r="EN11" s="133" t="n">
        <f aca="false">EM11*Inputs!$I$14</f>
        <v>6012.433446912</v>
      </c>
      <c r="EO11" s="84" t="n">
        <f aca="false">EM11-EN11</f>
        <v>24049.733787648</v>
      </c>
      <c r="EP11" s="133" t="n">
        <f aca="false">EB11+$D11*Inputs!$I$13</f>
        <v>7007.8281728</v>
      </c>
      <c r="EQ11" s="84" t="n">
        <f aca="false">MIN(EN11,EP11)</f>
        <v>6012.433446912</v>
      </c>
      <c r="ER11" s="84" t="n">
        <f aca="false">EP11-EQ11</f>
        <v>995.394725888003</v>
      </c>
      <c r="ES11" s="84" t="n">
        <f aca="false">EE11+$G11*(EP11+EE11)</f>
        <v>0</v>
      </c>
      <c r="ET11" s="84" t="n">
        <f aca="false">MIN(EN11-EQ11,ES11)</f>
        <v>0</v>
      </c>
      <c r="EU11" s="84" t="n">
        <f aca="false">ES11-ET11</f>
        <v>0</v>
      </c>
      <c r="EV11" s="84" t="n">
        <f aca="false">IF($H11=1,MIN(EN11-EQ11-ET11,MAX(0,$F11/(1-$F11)*(EJ11+ET11)-EK11)),0)</f>
        <v>0</v>
      </c>
      <c r="EW11" s="84" t="n">
        <f aca="false">EN11-EQ11-ET11-EV11</f>
        <v>0</v>
      </c>
      <c r="EX11" s="84" t="n">
        <f aca="false">EQ11+ET11+(1-$F11)*EW11</f>
        <v>6012.433446912</v>
      </c>
      <c r="EY11" s="84" t="n">
        <f aca="false">EV11+$F11*EW11</f>
        <v>0</v>
      </c>
      <c r="EZ11" s="84" t="n">
        <f aca="false">EJ11+ET11+(1-$F11)*EW11</f>
        <v>0</v>
      </c>
      <c r="FA11" s="84" t="n">
        <f aca="false">EK11+EY11</f>
        <v>0</v>
      </c>
      <c r="FB11" s="133" t="n">
        <f aca="false">EO11+$D11*Inputs!$J$13-$D11*$E11</f>
        <v>23779.733787648</v>
      </c>
      <c r="FC11" s="84" t="n">
        <f aca="false">FB11*(1+$I11)</f>
        <v>28535.6805451776</v>
      </c>
      <c r="FD11" s="133" t="n">
        <f aca="false">FC11*Inputs!$J$14</f>
        <v>5707.13610903552</v>
      </c>
      <c r="FE11" s="84" t="n">
        <f aca="false">FC11-FD11</f>
        <v>22828.5444361421</v>
      </c>
      <c r="FF11" s="133" t="n">
        <f aca="false">ER11+$D11*Inputs!$J$13</f>
        <v>995.394725888003</v>
      </c>
      <c r="FG11" s="84" t="n">
        <f aca="false">MIN(FD11,FF11)</f>
        <v>995.394725888003</v>
      </c>
      <c r="FH11" s="84" t="n">
        <f aca="false">FF11-FG11</f>
        <v>0</v>
      </c>
      <c r="FI11" s="84" t="n">
        <f aca="false">EU11+$G11*(FF11+EU11)</f>
        <v>0</v>
      </c>
      <c r="FJ11" s="84" t="n">
        <f aca="false">MIN(FD11-FG11,FI11)</f>
        <v>0</v>
      </c>
      <c r="FK11" s="84" t="n">
        <f aca="false">FI11-FJ11</f>
        <v>0</v>
      </c>
      <c r="FL11" s="84" t="n">
        <f aca="false">IF($H11=1,MIN(FD11-FG11-FJ11,MAX(0,$F11/(1-$F11)*(EZ11+FJ11)-FA11)),0)</f>
        <v>0</v>
      </c>
      <c r="FM11" s="84" t="n">
        <f aca="false">FD11-FG11-FJ11-FL11</f>
        <v>4711.74138314751</v>
      </c>
      <c r="FN11" s="84" t="n">
        <f aca="false">FG11+FJ11+(1-$F11)*FM11</f>
        <v>5000.37490156339</v>
      </c>
      <c r="FO11" s="84" t="n">
        <f aca="false">FL11+$F11*FM11</f>
        <v>706.761207472127</v>
      </c>
      <c r="FP11" s="84" t="n">
        <f aca="false">EZ11+FJ11+(1-$F11)*FM11</f>
        <v>4004.98017567539</v>
      </c>
      <c r="FQ11" s="84" t="n">
        <f aca="false">FA11+FO11</f>
        <v>706.761207472127</v>
      </c>
      <c r="FR11" s="133" t="n">
        <f aca="false">FE11+$D11*Inputs!$K$13-$D11*$E11</f>
        <v>22558.5444361421</v>
      </c>
      <c r="FS11" s="84" t="n">
        <f aca="false">FR11*(1+$I11)</f>
        <v>27070.2533233705</v>
      </c>
      <c r="FT11" s="133" t="n">
        <f aca="false">FS11*Inputs!$K$14</f>
        <v>5414.0506646741</v>
      </c>
      <c r="FU11" s="84" t="n">
        <f aca="false">FS11-FT11</f>
        <v>21656.2026586964</v>
      </c>
      <c r="FV11" s="133" t="n">
        <f aca="false">FH11+$D11*Inputs!$K$13</f>
        <v>0</v>
      </c>
      <c r="FW11" s="84" t="n">
        <f aca="false">MIN(FT11,FV11)</f>
        <v>0</v>
      </c>
      <c r="FX11" s="84" t="n">
        <f aca="false">FV11-FW11</f>
        <v>0</v>
      </c>
      <c r="FY11" s="84" t="n">
        <f aca="false">FK11+$G11*(FV11+FK11)</f>
        <v>0</v>
      </c>
      <c r="FZ11" s="84" t="n">
        <f aca="false">MIN(FT11-FW11,FY11)</f>
        <v>0</v>
      </c>
      <c r="GA11" s="84" t="n">
        <f aca="false">FY11-FZ11</f>
        <v>0</v>
      </c>
      <c r="GB11" s="84" t="n">
        <f aca="false">IF($H11=1,MIN(FT11-FW11-FZ11,MAX(0,$F11/(1-$F11)*(FP11+FZ11)-FQ11)),0)</f>
        <v>0</v>
      </c>
      <c r="GC11" s="84" t="n">
        <f aca="false">FT11-FW11-FZ11-GB11</f>
        <v>5414.0506646741</v>
      </c>
      <c r="GD11" s="84" t="n">
        <f aca="false">FW11+FZ11+(1-$F11)*GC11</f>
        <v>4601.94306497298</v>
      </c>
      <c r="GE11" s="84" t="n">
        <f aca="false">GB11+$F11*GC11</f>
        <v>812.107599701115</v>
      </c>
      <c r="GF11" s="84" t="n">
        <f aca="false">FP11+FZ11+(1-$F11)*GC11</f>
        <v>8606.92324064837</v>
      </c>
      <c r="GG11" s="84" t="n">
        <f aca="false">FQ11+GE11</f>
        <v>1518.86880717324</v>
      </c>
      <c r="GH11" s="133" t="n">
        <f aca="false">FU11+$D11*Inputs!$L$13-$D11*$E11</f>
        <v>21386.2026586964</v>
      </c>
      <c r="GI11" s="84" t="n">
        <f aca="false">GH11*(1+$I11)</f>
        <v>25663.4431904357</v>
      </c>
      <c r="GJ11" s="133" t="n">
        <f aca="false">GI11*Inputs!$L$14</f>
        <v>25663.4431904357</v>
      </c>
      <c r="GK11" s="84" t="n">
        <f aca="false">GI11-GJ11</f>
        <v>0</v>
      </c>
      <c r="GL11" s="133" t="n">
        <f aca="false">FX11+$D11*Inputs!$L$13</f>
        <v>0</v>
      </c>
      <c r="GM11" s="84" t="n">
        <f aca="false">MIN(GJ11,GL11)</f>
        <v>0</v>
      </c>
      <c r="GN11" s="84" t="n">
        <f aca="false">GL11-GM11</f>
        <v>0</v>
      </c>
      <c r="GO11" s="84" t="n">
        <f aca="false">GA11+$G11*(GL11+GA11)</f>
        <v>0</v>
      </c>
      <c r="GP11" s="84" t="n">
        <f aca="false">MIN(GJ11-GM11,GO11)</f>
        <v>0</v>
      </c>
      <c r="GQ11" s="84" t="n">
        <f aca="false">GO11-GP11</f>
        <v>0</v>
      </c>
      <c r="GR11" s="84" t="n">
        <f aca="false">IF($H11=1,MIN(GJ11-GM11-GP11,MAX(0,$F11/(1-$F11)*(GF11+GP11)-GG11)),0)</f>
        <v>0</v>
      </c>
      <c r="GS11" s="84" t="n">
        <f aca="false">GJ11-GM11-GP11-GR11</f>
        <v>25663.4431904357</v>
      </c>
      <c r="GT11" s="84" t="n">
        <f aca="false">GM11+GP11+(1-$F11)*GS11</f>
        <v>21813.9267118703</v>
      </c>
      <c r="GU11" s="84" t="n">
        <f aca="false">GR11+$F11*GS11</f>
        <v>3849.51647856535</v>
      </c>
      <c r="GV11" s="84" t="n">
        <f aca="false">GF11+GP11+(1-$F11)*GS11</f>
        <v>30420.8499525187</v>
      </c>
      <c r="GW11" s="84" t="n">
        <f aca="false">GG11+GU11</f>
        <v>5368.38528573859</v>
      </c>
    </row>
    <row r="12" customFormat="false" ht="15" hidden="false" customHeight="false" outlineLevel="0" collapsed="false">
      <c r="A12" s="5" t="s">
        <v>620</v>
      </c>
      <c r="B12" s="5" t="s">
        <v>621</v>
      </c>
      <c r="D12" s="47" t="n">
        <f aca="false">Inputs!$C$6</f>
        <v>20000</v>
      </c>
      <c r="E12" s="35" t="n">
        <f aca="false">Inputs!$C$19</f>
        <v>0.0135</v>
      </c>
      <c r="F12" s="36" t="n">
        <f aca="false">Inputs!$C$21</f>
        <v>0.15</v>
      </c>
      <c r="G12" s="36" t="n">
        <f aca="false">Inputs!$C$22</f>
        <v>0.08</v>
      </c>
      <c r="H12" s="27" t="n">
        <v>0</v>
      </c>
      <c r="I12" s="132" t="n">
        <f aca="false">Inputs!$C$8</f>
        <v>0.2</v>
      </c>
      <c r="J12" s="36" t="n">
        <f aca="false">Inputs!$C$9</f>
        <v>0.15</v>
      </c>
      <c r="K12" s="89" t="n">
        <f aca="false">IRR(W12:AG12,0.1)</f>
        <v>0.169683296708115</v>
      </c>
      <c r="L12" s="45" t="n">
        <f aca="false">W12+NPV($J12,X12:AG12)</f>
        <v>1637.04358106376</v>
      </c>
      <c r="M12" s="45" t="n">
        <f aca="false">SUM(BF12,BV12,CL12,DB12,DR12,EH12,EX12,FN12,GD12,GT12)</f>
        <v>51767.4352561504</v>
      </c>
      <c r="N12" s="43" t="n">
        <f aca="false">IF($D12*SUM(Inputs!$C$13:$L$13)=0,0,M12/($D12*SUM(Inputs!$C$13:$L$13)))</f>
        <v>2.58837176280752</v>
      </c>
      <c r="O12" s="42" t="n">
        <f aca="false">$D12*$E12*COLUMNS(Inputs!$C$13:$L$13)</f>
        <v>2700</v>
      </c>
      <c r="P12" s="45" t="n">
        <f aca="false">SUM(BG12,BW12,CM12,DC12,DS12,EI12,EY12,FO12,GE12,GU12)</f>
        <v>4021.79998210688</v>
      </c>
      <c r="Q12" s="42" t="n">
        <f aca="false">PV($J12,COLUMNS(Inputs!$C$13:$L$13),-$D12*$E12,0,1)</f>
        <v>1558.32765832774</v>
      </c>
      <c r="R12" s="45" t="n">
        <f aca="false">NPV($J12,BG12,BW12,CM12,DC12,DS12,EI12,EY12,FO12,GE12,GU12)</f>
        <v>1000.5153237369</v>
      </c>
      <c r="S12" s="45" t="n">
        <f aca="false">Q12+R12</f>
        <v>2558.84298206464</v>
      </c>
      <c r="T12" s="32" t="n">
        <f aca="false">IF(S12=0,0,Q12/S12)</f>
        <v>0.608996983890892</v>
      </c>
      <c r="U12" s="45" t="n">
        <f aca="false">ROUND(ABS(GK12)+ABS(SUM(AV12,BL12,CB12,CR12,DH12,DX12,EN12,FD12,FT12,GJ12)-M12-P12)+ABS(S12-(AH12+NPV($J12,AI12:AR12))),6)</f>
        <v>0</v>
      </c>
      <c r="W12" s="133" t="n">
        <f aca="false">-$D12*Inputs!$C$13</f>
        <v>-4000</v>
      </c>
      <c r="X12" s="133" t="n">
        <f aca="false">BF12-$D12*Inputs!$D$13</f>
        <v>-4000</v>
      </c>
      <c r="Y12" s="133" t="n">
        <f aca="false">BV12-$D12*Inputs!$E$13</f>
        <v>-4000</v>
      </c>
      <c r="Z12" s="133" t="n">
        <f aca="false">CL12-$D12*Inputs!$F$13</f>
        <v>-4000</v>
      </c>
      <c r="AA12" s="133" t="n">
        <f aca="false">DB12-$D12*Inputs!$G$13</f>
        <v>-4000</v>
      </c>
      <c r="AB12" s="133" t="n">
        <f aca="false">DR12-$D12*Inputs!$H$13</f>
        <v>6661.72032</v>
      </c>
      <c r="AC12" s="133" t="n">
        <f aca="false">EH12-$D12*Inputs!$I$13</f>
        <v>6330.4515072</v>
      </c>
      <c r="AD12" s="133" t="n">
        <f aca="false">EX12-$D12*Inputs!$J$13</f>
        <v>6012.433446912</v>
      </c>
      <c r="AE12" s="133" t="n">
        <f aca="false">FN12-$D12*Inputs!$K$13</f>
        <v>5707.13610903552</v>
      </c>
      <c r="AF12" s="133" t="n">
        <f aca="false">GD12-$D12*Inputs!$L$13</f>
        <v>5241.76716113257</v>
      </c>
      <c r="AG12" s="84" t="n">
        <f aca="false">GT12</f>
        <v>21813.9267118703</v>
      </c>
      <c r="AH12" s="84" t="n">
        <f aca="false">$D12*$E12</f>
        <v>270</v>
      </c>
      <c r="AI12" s="84" t="n">
        <f aca="false">BG12+$D12*$E12</f>
        <v>270</v>
      </c>
      <c r="AJ12" s="84" t="n">
        <f aca="false">BW12+$D12*$E12</f>
        <v>270</v>
      </c>
      <c r="AK12" s="84" t="n">
        <f aca="false">CM12+$D12*$E12</f>
        <v>270</v>
      </c>
      <c r="AL12" s="84" t="n">
        <f aca="false">DC12+$D12*$E12</f>
        <v>270</v>
      </c>
      <c r="AM12" s="84" t="n">
        <f aca="false">DS12+$D12*$E12</f>
        <v>270</v>
      </c>
      <c r="AN12" s="84" t="n">
        <f aca="false">EI12+$D12*$E12</f>
        <v>270</v>
      </c>
      <c r="AO12" s="84" t="n">
        <f aca="false">EY12+$D12*$E12</f>
        <v>270</v>
      </c>
      <c r="AP12" s="84" t="n">
        <f aca="false">FO12+$D12*$E12</f>
        <v>270</v>
      </c>
      <c r="AQ12" s="84" t="n">
        <f aca="false">GE12+$D12*$E12</f>
        <v>442.28350354153</v>
      </c>
      <c r="AR12" s="84" t="n">
        <f aca="false">GU12</f>
        <v>3849.51647856535</v>
      </c>
      <c r="AT12" s="133" t="n">
        <f aca="false">$D12*Inputs!$C$13-$D12*$E12</f>
        <v>3730</v>
      </c>
      <c r="AU12" s="84" t="n">
        <f aca="false">AT12*(1+$I12)</f>
        <v>4476</v>
      </c>
      <c r="AV12" s="133" t="n">
        <f aca="false">AU12*Inputs!$C$14</f>
        <v>0</v>
      </c>
      <c r="AW12" s="84" t="n">
        <f aca="false">AU12-AV12</f>
        <v>4476</v>
      </c>
      <c r="AX12" s="133" t="n">
        <f aca="false">$D12*Inputs!$C$13</f>
        <v>4000</v>
      </c>
      <c r="AY12" s="84" t="n">
        <f aca="false">MIN(AV12,AX12)</f>
        <v>0</v>
      </c>
      <c r="AZ12" s="84" t="n">
        <f aca="false">AX12-AY12</f>
        <v>4000</v>
      </c>
      <c r="BA12" s="84" t="n">
        <f aca="false">$G12*AX12</f>
        <v>320</v>
      </c>
      <c r="BB12" s="84" t="n">
        <f aca="false">MIN(AV12-AY12,BA12)</f>
        <v>0</v>
      </c>
      <c r="BC12" s="84" t="n">
        <f aca="false">BA12-BB12</f>
        <v>320</v>
      </c>
      <c r="BD12" s="84" t="n">
        <f aca="false">IF($H12=1,MIN(AV12-AY12-BB12,MAX(0,$F12/(1-$F12)*BB12)),0)</f>
        <v>0</v>
      </c>
      <c r="BE12" s="84" t="n">
        <f aca="false">AV12-AY12-BB12-BD12</f>
        <v>0</v>
      </c>
      <c r="BF12" s="84" t="n">
        <f aca="false">AY12+BB12+(1-$F12)*BE12</f>
        <v>0</v>
      </c>
      <c r="BG12" s="84" t="n">
        <f aca="false">BD12+$F12*BE12</f>
        <v>0</v>
      </c>
      <c r="BH12" s="84" t="n">
        <f aca="false">BB12+(1-$F12)*BE12</f>
        <v>0</v>
      </c>
      <c r="BI12" s="84" t="n">
        <f aca="false">BG12</f>
        <v>0</v>
      </c>
      <c r="BJ12" s="133" t="n">
        <f aca="false">AW12+$D12*Inputs!$D$13-$D12*$E12</f>
        <v>8206</v>
      </c>
      <c r="BK12" s="84" t="n">
        <f aca="false">BJ12*(1+$I12)</f>
        <v>9847.2</v>
      </c>
      <c r="BL12" s="133" t="n">
        <f aca="false">BK12*Inputs!$D$14</f>
        <v>0</v>
      </c>
      <c r="BM12" s="84" t="n">
        <f aca="false">BK12-BL12</f>
        <v>9847.2</v>
      </c>
      <c r="BN12" s="133" t="n">
        <f aca="false">AZ12+$D12*Inputs!$D$13</f>
        <v>8000</v>
      </c>
      <c r="BO12" s="84" t="n">
        <f aca="false">MIN(BL12,BN12)</f>
        <v>0</v>
      </c>
      <c r="BP12" s="84" t="n">
        <f aca="false">BN12-BO12</f>
        <v>8000</v>
      </c>
      <c r="BQ12" s="84" t="n">
        <f aca="false">BC12+$G12*(BN12+BC12)</f>
        <v>985.6</v>
      </c>
      <c r="BR12" s="84" t="n">
        <f aca="false">MIN(BL12-BO12,BQ12)</f>
        <v>0</v>
      </c>
      <c r="BS12" s="84" t="n">
        <f aca="false">BQ12-BR12</f>
        <v>985.6</v>
      </c>
      <c r="BT12" s="84" t="n">
        <f aca="false">IF($H12=1,MIN(BL12-BO12-BR12,MAX(0,$F12/(1-$F12)*(BH12+BR12)-BI12)),0)</f>
        <v>0</v>
      </c>
      <c r="BU12" s="84" t="n">
        <f aca="false">BL12-BO12-BR12-BT12</f>
        <v>0</v>
      </c>
      <c r="BV12" s="84" t="n">
        <f aca="false">BO12+BR12+(1-$F12)*BU12</f>
        <v>0</v>
      </c>
      <c r="BW12" s="84" t="n">
        <f aca="false">BT12+$F12*BU12</f>
        <v>0</v>
      </c>
      <c r="BX12" s="84" t="n">
        <f aca="false">BH12+BR12+(1-$F12)*BU12</f>
        <v>0</v>
      </c>
      <c r="BY12" s="84" t="n">
        <f aca="false">BI12+BW12</f>
        <v>0</v>
      </c>
      <c r="BZ12" s="133" t="n">
        <f aca="false">BM12+$D12*Inputs!$E$13-$D12*$E12</f>
        <v>13577.2</v>
      </c>
      <c r="CA12" s="84" t="n">
        <f aca="false">BZ12*(1+$I12)</f>
        <v>16292.64</v>
      </c>
      <c r="CB12" s="133" t="n">
        <f aca="false">CA12*Inputs!$E$14</f>
        <v>0</v>
      </c>
      <c r="CC12" s="84" t="n">
        <f aca="false">CA12-CB12</f>
        <v>16292.64</v>
      </c>
      <c r="CD12" s="133" t="n">
        <f aca="false">BP12+$D12*Inputs!$E$13</f>
        <v>12000</v>
      </c>
      <c r="CE12" s="84" t="n">
        <f aca="false">MIN(CB12,CD12)</f>
        <v>0</v>
      </c>
      <c r="CF12" s="84" t="n">
        <f aca="false">CD12-CE12</f>
        <v>12000</v>
      </c>
      <c r="CG12" s="84" t="n">
        <f aca="false">BS12+$G12*(CD12+BS12)</f>
        <v>2024.448</v>
      </c>
      <c r="CH12" s="84" t="n">
        <f aca="false">MIN(CB12-CE12,CG12)</f>
        <v>0</v>
      </c>
      <c r="CI12" s="84" t="n">
        <f aca="false">CG12-CH12</f>
        <v>2024.448</v>
      </c>
      <c r="CJ12" s="84" t="n">
        <f aca="false">IF($H12=1,MIN(CB12-CE12-CH12,MAX(0,$F12/(1-$F12)*(BX12+CH12)-BY12)),0)</f>
        <v>0</v>
      </c>
      <c r="CK12" s="84" t="n">
        <f aca="false">CB12-CE12-CH12-CJ12</f>
        <v>0</v>
      </c>
      <c r="CL12" s="84" t="n">
        <f aca="false">CE12+CH12+(1-$F12)*CK12</f>
        <v>0</v>
      </c>
      <c r="CM12" s="84" t="n">
        <f aca="false">CJ12+$F12*CK12</f>
        <v>0</v>
      </c>
      <c r="CN12" s="84" t="n">
        <f aca="false">BX12+CH12+(1-$F12)*CK12</f>
        <v>0</v>
      </c>
      <c r="CO12" s="84" t="n">
        <f aca="false">BY12+CM12</f>
        <v>0</v>
      </c>
      <c r="CP12" s="133" t="n">
        <f aca="false">CC12+$D12*Inputs!$F$13-$D12*$E12</f>
        <v>20022.64</v>
      </c>
      <c r="CQ12" s="84" t="n">
        <f aca="false">CP12*(1+$I12)</f>
        <v>24027.168</v>
      </c>
      <c r="CR12" s="133" t="n">
        <f aca="false">CQ12*Inputs!$F$14</f>
        <v>0</v>
      </c>
      <c r="CS12" s="84" t="n">
        <f aca="false">CQ12-CR12</f>
        <v>24027.168</v>
      </c>
      <c r="CT12" s="133" t="n">
        <f aca="false">CF12+$D12*Inputs!$F$13</f>
        <v>16000</v>
      </c>
      <c r="CU12" s="84" t="n">
        <f aca="false">MIN(CR12,CT12)</f>
        <v>0</v>
      </c>
      <c r="CV12" s="84" t="n">
        <f aca="false">CT12-CU12</f>
        <v>16000</v>
      </c>
      <c r="CW12" s="84" t="n">
        <f aca="false">CI12+$G12*(CT12+CI12)</f>
        <v>3466.40384</v>
      </c>
      <c r="CX12" s="84" t="n">
        <f aca="false">MIN(CR12-CU12,CW12)</f>
        <v>0</v>
      </c>
      <c r="CY12" s="84" t="n">
        <f aca="false">CW12-CX12</f>
        <v>3466.40384</v>
      </c>
      <c r="CZ12" s="84" t="n">
        <f aca="false">IF($H12=1,MIN(CR12-CU12-CX12,MAX(0,$F12/(1-$F12)*(CN12+CX12)-CO12)),0)</f>
        <v>0</v>
      </c>
      <c r="DA12" s="84" t="n">
        <f aca="false">CR12-CU12-CX12-CZ12</f>
        <v>0</v>
      </c>
      <c r="DB12" s="84" t="n">
        <f aca="false">CU12+CX12+(1-$F12)*DA12</f>
        <v>0</v>
      </c>
      <c r="DC12" s="84" t="n">
        <f aca="false">CZ12+$F12*DA12</f>
        <v>0</v>
      </c>
      <c r="DD12" s="84" t="n">
        <f aca="false">CN12+CX12+(1-$F12)*DA12</f>
        <v>0</v>
      </c>
      <c r="DE12" s="84" t="n">
        <f aca="false">CO12+DC12</f>
        <v>0</v>
      </c>
      <c r="DF12" s="133" t="n">
        <f aca="false">CS12+$D12*Inputs!$G$13-$D12*$E12</f>
        <v>27757.168</v>
      </c>
      <c r="DG12" s="84" t="n">
        <f aca="false">DF12*(1+$I12)</f>
        <v>33308.6016</v>
      </c>
      <c r="DH12" s="133" t="n">
        <f aca="false">DG12*Inputs!$G$14</f>
        <v>6661.72032</v>
      </c>
      <c r="DI12" s="84" t="n">
        <f aca="false">DG12-DH12</f>
        <v>26646.88128</v>
      </c>
      <c r="DJ12" s="133" t="n">
        <f aca="false">CV12+$D12*Inputs!$G$13</f>
        <v>20000</v>
      </c>
      <c r="DK12" s="84" t="n">
        <f aca="false">MIN(DH12,DJ12)</f>
        <v>6661.72032</v>
      </c>
      <c r="DL12" s="84" t="n">
        <f aca="false">DJ12-DK12</f>
        <v>13338.27968</v>
      </c>
      <c r="DM12" s="84" t="n">
        <f aca="false">CY12+$G12*(DJ12+CY12)</f>
        <v>5343.7161472</v>
      </c>
      <c r="DN12" s="84" t="n">
        <f aca="false">MIN(DH12-DK12,DM12)</f>
        <v>0</v>
      </c>
      <c r="DO12" s="84" t="n">
        <f aca="false">DM12-DN12</f>
        <v>5343.7161472</v>
      </c>
      <c r="DP12" s="84" t="n">
        <f aca="false">IF($H12=1,MIN(DH12-DK12-DN12,MAX(0,$F12/(1-$F12)*(DD12+DN12)-DE12)),0)</f>
        <v>0</v>
      </c>
      <c r="DQ12" s="84" t="n">
        <f aca="false">DH12-DK12-DN12-DP12</f>
        <v>0</v>
      </c>
      <c r="DR12" s="84" t="n">
        <f aca="false">DK12+DN12+(1-$F12)*DQ12</f>
        <v>6661.72032</v>
      </c>
      <c r="DS12" s="84" t="n">
        <f aca="false">DP12+$F12*DQ12</f>
        <v>0</v>
      </c>
      <c r="DT12" s="84" t="n">
        <f aca="false">DD12+DN12+(1-$F12)*DQ12</f>
        <v>0</v>
      </c>
      <c r="DU12" s="84" t="n">
        <f aca="false">DE12+DS12</f>
        <v>0</v>
      </c>
      <c r="DV12" s="133" t="n">
        <f aca="false">DI12+$D12*Inputs!$H$13-$D12*$E12</f>
        <v>26376.88128</v>
      </c>
      <c r="DW12" s="84" t="n">
        <f aca="false">DV12*(1+$I12)</f>
        <v>31652.257536</v>
      </c>
      <c r="DX12" s="133" t="n">
        <f aca="false">DW12*Inputs!$H$14</f>
        <v>6330.4515072</v>
      </c>
      <c r="DY12" s="84" t="n">
        <f aca="false">DW12-DX12</f>
        <v>25321.8060288</v>
      </c>
      <c r="DZ12" s="133" t="n">
        <f aca="false">DL12+$D12*Inputs!$H$13</f>
        <v>13338.27968</v>
      </c>
      <c r="EA12" s="84" t="n">
        <f aca="false">MIN(DX12,DZ12)</f>
        <v>6330.4515072</v>
      </c>
      <c r="EB12" s="84" t="n">
        <f aca="false">DZ12-EA12</f>
        <v>7007.8281728</v>
      </c>
      <c r="EC12" s="84" t="n">
        <f aca="false">DO12+$G12*(DZ12+DO12)</f>
        <v>6838.275813376</v>
      </c>
      <c r="ED12" s="84" t="n">
        <f aca="false">MIN(DX12-EA12,EC12)</f>
        <v>0</v>
      </c>
      <c r="EE12" s="84" t="n">
        <f aca="false">EC12-ED12</f>
        <v>6838.275813376</v>
      </c>
      <c r="EF12" s="84" t="n">
        <f aca="false">IF($H12=1,MIN(DX12-EA12-ED12,MAX(0,$F12/(1-$F12)*(DT12+ED12)-DU12)),0)</f>
        <v>0</v>
      </c>
      <c r="EG12" s="84" t="n">
        <f aca="false">DX12-EA12-ED12-EF12</f>
        <v>0</v>
      </c>
      <c r="EH12" s="84" t="n">
        <f aca="false">EA12+ED12+(1-$F12)*EG12</f>
        <v>6330.4515072</v>
      </c>
      <c r="EI12" s="84" t="n">
        <f aca="false">EF12+$F12*EG12</f>
        <v>0</v>
      </c>
      <c r="EJ12" s="84" t="n">
        <f aca="false">DT12+ED12+(1-$F12)*EG12</f>
        <v>0</v>
      </c>
      <c r="EK12" s="84" t="n">
        <f aca="false">DU12+EI12</f>
        <v>0</v>
      </c>
      <c r="EL12" s="133" t="n">
        <f aca="false">DY12+$D12*Inputs!$I$13-$D12*$E12</f>
        <v>25051.8060288</v>
      </c>
      <c r="EM12" s="84" t="n">
        <f aca="false">EL12*(1+$I12)</f>
        <v>30062.16723456</v>
      </c>
      <c r="EN12" s="133" t="n">
        <f aca="false">EM12*Inputs!$I$14</f>
        <v>6012.433446912</v>
      </c>
      <c r="EO12" s="84" t="n">
        <f aca="false">EM12-EN12</f>
        <v>24049.733787648</v>
      </c>
      <c r="EP12" s="133" t="n">
        <f aca="false">EB12+$D12*Inputs!$I$13</f>
        <v>7007.8281728</v>
      </c>
      <c r="EQ12" s="84" t="n">
        <f aca="false">MIN(EN12,EP12)</f>
        <v>6012.433446912</v>
      </c>
      <c r="ER12" s="84" t="n">
        <f aca="false">EP12-EQ12</f>
        <v>995.394725888003</v>
      </c>
      <c r="ES12" s="84" t="n">
        <f aca="false">EE12+$G12*(EP12+EE12)</f>
        <v>7945.96413227008</v>
      </c>
      <c r="ET12" s="84" t="n">
        <f aca="false">MIN(EN12-EQ12,ES12)</f>
        <v>0</v>
      </c>
      <c r="EU12" s="84" t="n">
        <f aca="false">ES12-ET12</f>
        <v>7945.96413227008</v>
      </c>
      <c r="EV12" s="84" t="n">
        <f aca="false">IF($H12=1,MIN(EN12-EQ12-ET12,MAX(0,$F12/(1-$F12)*(EJ12+ET12)-EK12)),0)</f>
        <v>0</v>
      </c>
      <c r="EW12" s="84" t="n">
        <f aca="false">EN12-EQ12-ET12-EV12</f>
        <v>0</v>
      </c>
      <c r="EX12" s="84" t="n">
        <f aca="false">EQ12+ET12+(1-$F12)*EW12</f>
        <v>6012.433446912</v>
      </c>
      <c r="EY12" s="84" t="n">
        <f aca="false">EV12+$F12*EW12</f>
        <v>0</v>
      </c>
      <c r="EZ12" s="84" t="n">
        <f aca="false">EJ12+ET12+(1-$F12)*EW12</f>
        <v>0</v>
      </c>
      <c r="FA12" s="84" t="n">
        <f aca="false">EK12+EY12</f>
        <v>0</v>
      </c>
      <c r="FB12" s="133" t="n">
        <f aca="false">EO12+$D12*Inputs!$J$13-$D12*$E12</f>
        <v>23779.733787648</v>
      </c>
      <c r="FC12" s="84" t="n">
        <f aca="false">FB12*(1+$I12)</f>
        <v>28535.6805451776</v>
      </c>
      <c r="FD12" s="133" t="n">
        <f aca="false">FC12*Inputs!$J$14</f>
        <v>5707.13610903552</v>
      </c>
      <c r="FE12" s="84" t="n">
        <f aca="false">FC12-FD12</f>
        <v>22828.5444361421</v>
      </c>
      <c r="FF12" s="133" t="n">
        <f aca="false">ER12+$D12*Inputs!$J$13</f>
        <v>995.394725888003</v>
      </c>
      <c r="FG12" s="84" t="n">
        <f aca="false">MIN(FD12,FF12)</f>
        <v>995.394725888003</v>
      </c>
      <c r="FH12" s="84" t="n">
        <f aca="false">FF12-FG12</f>
        <v>0</v>
      </c>
      <c r="FI12" s="84" t="n">
        <f aca="false">EU12+$G12*(FF12+EU12)</f>
        <v>8661.27284092273</v>
      </c>
      <c r="FJ12" s="84" t="n">
        <f aca="false">MIN(FD12-FG12,FI12)</f>
        <v>4711.74138314751</v>
      </c>
      <c r="FK12" s="84" t="n">
        <f aca="false">FI12-FJ12</f>
        <v>3949.53145777521</v>
      </c>
      <c r="FL12" s="84" t="n">
        <f aca="false">IF($H12=1,MIN(FD12-FG12-FJ12,MAX(0,$F12/(1-$F12)*(EZ12+FJ12)-FA12)),0)</f>
        <v>0</v>
      </c>
      <c r="FM12" s="84" t="n">
        <f aca="false">FD12-FG12-FJ12-FL12</f>
        <v>0</v>
      </c>
      <c r="FN12" s="84" t="n">
        <f aca="false">FG12+FJ12+(1-$F12)*FM12</f>
        <v>5707.13610903552</v>
      </c>
      <c r="FO12" s="84" t="n">
        <f aca="false">FL12+$F12*FM12</f>
        <v>0</v>
      </c>
      <c r="FP12" s="84" t="n">
        <f aca="false">EZ12+FJ12+(1-$F12)*FM12</f>
        <v>4711.74138314751</v>
      </c>
      <c r="FQ12" s="84" t="n">
        <f aca="false">FA12+FO12</f>
        <v>0</v>
      </c>
      <c r="FR12" s="133" t="n">
        <f aca="false">FE12+$D12*Inputs!$K$13-$D12*$E12</f>
        <v>22558.5444361421</v>
      </c>
      <c r="FS12" s="84" t="n">
        <f aca="false">FR12*(1+$I12)</f>
        <v>27070.2533233705</v>
      </c>
      <c r="FT12" s="133" t="n">
        <f aca="false">FS12*Inputs!$K$14</f>
        <v>5414.0506646741</v>
      </c>
      <c r="FU12" s="84" t="n">
        <f aca="false">FS12-FT12</f>
        <v>21656.2026586964</v>
      </c>
      <c r="FV12" s="133" t="n">
        <f aca="false">FH12+$D12*Inputs!$K$13</f>
        <v>0</v>
      </c>
      <c r="FW12" s="84" t="n">
        <f aca="false">MIN(FT12,FV12)</f>
        <v>0</v>
      </c>
      <c r="FX12" s="84" t="n">
        <f aca="false">FV12-FW12</f>
        <v>0</v>
      </c>
      <c r="FY12" s="84" t="n">
        <f aca="false">FK12+$G12*(FV12+FK12)</f>
        <v>4265.49397439723</v>
      </c>
      <c r="FZ12" s="84" t="n">
        <f aca="false">MIN(FT12-FW12,FY12)</f>
        <v>4265.49397439723</v>
      </c>
      <c r="GA12" s="84" t="n">
        <f aca="false">FY12-FZ12</f>
        <v>0</v>
      </c>
      <c r="GB12" s="84" t="n">
        <f aca="false">IF($H12=1,MIN(FT12-FW12-FZ12,MAX(0,$F12/(1-$F12)*(FP12+FZ12)-FQ12)),0)</f>
        <v>0</v>
      </c>
      <c r="GC12" s="84" t="n">
        <f aca="false">FT12-FW12-FZ12-GB12</f>
        <v>1148.55669027687</v>
      </c>
      <c r="GD12" s="84" t="n">
        <f aca="false">FW12+FZ12+(1-$F12)*GC12</f>
        <v>5241.76716113257</v>
      </c>
      <c r="GE12" s="84" t="n">
        <f aca="false">GB12+$F12*GC12</f>
        <v>172.28350354153</v>
      </c>
      <c r="GF12" s="84" t="n">
        <f aca="false">FP12+FZ12+(1-$F12)*GC12</f>
        <v>9953.50854428008</v>
      </c>
      <c r="GG12" s="84" t="n">
        <f aca="false">FQ12+GE12</f>
        <v>172.28350354153</v>
      </c>
      <c r="GH12" s="133" t="n">
        <f aca="false">FU12+$D12*Inputs!$L$13-$D12*$E12</f>
        <v>21386.2026586964</v>
      </c>
      <c r="GI12" s="84" t="n">
        <f aca="false">GH12*(1+$I12)</f>
        <v>25663.4431904357</v>
      </c>
      <c r="GJ12" s="133" t="n">
        <f aca="false">GI12*Inputs!$L$14</f>
        <v>25663.4431904357</v>
      </c>
      <c r="GK12" s="84" t="n">
        <f aca="false">GI12-GJ12</f>
        <v>0</v>
      </c>
      <c r="GL12" s="133" t="n">
        <f aca="false">FX12+$D12*Inputs!$L$13</f>
        <v>0</v>
      </c>
      <c r="GM12" s="84" t="n">
        <f aca="false">MIN(GJ12,GL12)</f>
        <v>0</v>
      </c>
      <c r="GN12" s="84" t="n">
        <f aca="false">GL12-GM12</f>
        <v>0</v>
      </c>
      <c r="GO12" s="84" t="n">
        <f aca="false">GA12+$G12*(GL12+GA12)</f>
        <v>0</v>
      </c>
      <c r="GP12" s="84" t="n">
        <f aca="false">MIN(GJ12-GM12,GO12)</f>
        <v>0</v>
      </c>
      <c r="GQ12" s="84" t="n">
        <f aca="false">GO12-GP12</f>
        <v>0</v>
      </c>
      <c r="GR12" s="84" t="n">
        <f aca="false">IF($H12=1,MIN(GJ12-GM12-GP12,MAX(0,$F12/(1-$F12)*(GF12+GP12)-GG12)),0)</f>
        <v>0</v>
      </c>
      <c r="GS12" s="84" t="n">
        <f aca="false">GJ12-GM12-GP12-GR12</f>
        <v>25663.4431904357</v>
      </c>
      <c r="GT12" s="84" t="n">
        <f aca="false">GM12+GP12+(1-$F12)*GS12</f>
        <v>21813.9267118703</v>
      </c>
      <c r="GU12" s="84" t="n">
        <f aca="false">GR12+$F12*GS12</f>
        <v>3849.51647856535</v>
      </c>
      <c r="GV12" s="84" t="n">
        <f aca="false">GF12+GP12+(1-$F12)*GS12</f>
        <v>31767.4352561504</v>
      </c>
      <c r="GW12" s="84" t="n">
        <f aca="false">GG12+GU12</f>
        <v>4021.79998210688</v>
      </c>
    </row>
    <row r="13" customFormat="false" ht="15" hidden="false" customHeight="false" outlineLevel="0" collapsed="false">
      <c r="A13" s="5" t="s">
        <v>622</v>
      </c>
      <c r="B13" s="5" t="s">
        <v>623</v>
      </c>
      <c r="D13" s="47" t="n">
        <f aca="false">Inputs!$C$6</f>
        <v>20000</v>
      </c>
      <c r="E13" s="35" t="n">
        <f aca="false">Inputs!$C$19</f>
        <v>0.0135</v>
      </c>
      <c r="F13" s="36" t="n">
        <f aca="false">Inputs!$C$21</f>
        <v>0.15</v>
      </c>
      <c r="G13" s="36" t="n">
        <f aca="false">Inputs!$C$22</f>
        <v>0.08</v>
      </c>
      <c r="H13" s="44" t="n">
        <f aca="false">Inputs!$C$23</f>
        <v>1</v>
      </c>
      <c r="I13" s="132" t="n">
        <f aca="false">Inputs!$C$8</f>
        <v>0.2</v>
      </c>
      <c r="J13" s="36" t="n">
        <f aca="false">Inputs!$C$9</f>
        <v>0.15</v>
      </c>
      <c r="K13" s="89" t="n">
        <f aca="false">IRR(W13:AG13,0.1)</f>
        <v>0.165470051219385</v>
      </c>
      <c r="L13" s="45" t="n">
        <f aca="false">W13+NPV($J13,X13:AG13)</f>
        <v>1267.99031840386</v>
      </c>
      <c r="M13" s="45" t="n">
        <f aca="false">SUM(BF13,BV13,CL13,DB13,DR13,EH13,EX13,FN13,GD13,GT13)</f>
        <v>50420.8499525187</v>
      </c>
      <c r="N13" s="43" t="n">
        <f aca="false">IF($D13*SUM(Inputs!$C$13:$L$13)=0,0,M13/($D13*SUM(Inputs!$C$13:$L$13)))</f>
        <v>2.52104249762593</v>
      </c>
      <c r="O13" s="42" t="n">
        <f aca="false">$D13*$E13*COLUMNS(Inputs!$C$13:$L$13)</f>
        <v>2700</v>
      </c>
      <c r="P13" s="45" t="n">
        <f aca="false">SUM(BG13,BW13,CM13,DC13,DS13,EI13,EY13,FO13,GE13,GU13)</f>
        <v>5368.38528573859</v>
      </c>
      <c r="Q13" s="42" t="n">
        <f aca="false">PV($J13,COLUMNS(Inputs!$C$13:$L$13),-$D13*$E13,0,1)</f>
        <v>1558.32765832774</v>
      </c>
      <c r="R13" s="45" t="n">
        <f aca="false">NPV($J13,BG13,BW13,CM13,DC13,DS13,EI13,EY13,FO13,GE13,GU13)</f>
        <v>1369.5685863968</v>
      </c>
      <c r="S13" s="45" t="n">
        <f aca="false">Q13+R13</f>
        <v>2927.89624472454</v>
      </c>
      <c r="T13" s="32" t="n">
        <f aca="false">IF(S13=0,0,Q13/S13)</f>
        <v>0.532234590325911</v>
      </c>
      <c r="U13" s="45" t="n">
        <f aca="false">ROUND(ABS(GK13)+ABS(SUM(AV13,BL13,CB13,CR13,DH13,DX13,EN13,FD13,FT13,GJ13)-M13-P13)+ABS(S13-(AH13+NPV($J13,AI13:AR13))),6)</f>
        <v>0</v>
      </c>
      <c r="W13" s="133" t="n">
        <f aca="false">-$D13*Inputs!$C$13</f>
        <v>-4000</v>
      </c>
      <c r="X13" s="133" t="n">
        <f aca="false">BF13-$D13*Inputs!$D$13</f>
        <v>-4000</v>
      </c>
      <c r="Y13" s="133" t="n">
        <f aca="false">BV13-$D13*Inputs!$E$13</f>
        <v>-4000</v>
      </c>
      <c r="Z13" s="133" t="n">
        <f aca="false">CL13-$D13*Inputs!$F$13</f>
        <v>-4000</v>
      </c>
      <c r="AA13" s="133" t="n">
        <f aca="false">DB13-$D13*Inputs!$G$13</f>
        <v>-4000</v>
      </c>
      <c r="AB13" s="133" t="n">
        <f aca="false">DR13-$D13*Inputs!$H$13</f>
        <v>6661.72032</v>
      </c>
      <c r="AC13" s="133" t="n">
        <f aca="false">EH13-$D13*Inputs!$I$13</f>
        <v>6330.4515072</v>
      </c>
      <c r="AD13" s="133" t="n">
        <f aca="false">EX13-$D13*Inputs!$J$13</f>
        <v>6012.433446912</v>
      </c>
      <c r="AE13" s="133" t="n">
        <f aca="false">FN13-$D13*Inputs!$K$13</f>
        <v>5707.13610903552</v>
      </c>
      <c r="AF13" s="133" t="n">
        <f aca="false">GD13-$D13*Inputs!$L$13</f>
        <v>4265.49397439723</v>
      </c>
      <c r="AG13" s="84" t="n">
        <f aca="false">GT13</f>
        <v>21443.6145949739</v>
      </c>
      <c r="AH13" s="84" t="n">
        <f aca="false">$D13*$E13</f>
        <v>270</v>
      </c>
      <c r="AI13" s="84" t="n">
        <f aca="false">BG13+$D13*$E13</f>
        <v>270</v>
      </c>
      <c r="AJ13" s="84" t="n">
        <f aca="false">BW13+$D13*$E13</f>
        <v>270</v>
      </c>
      <c r="AK13" s="84" t="n">
        <f aca="false">CM13+$D13*$E13</f>
        <v>270</v>
      </c>
      <c r="AL13" s="84" t="n">
        <f aca="false">DC13+$D13*$E13</f>
        <v>270</v>
      </c>
      <c r="AM13" s="84" t="n">
        <f aca="false">DS13+$D13*$E13</f>
        <v>270</v>
      </c>
      <c r="AN13" s="84" t="n">
        <f aca="false">EI13+$D13*$E13</f>
        <v>270</v>
      </c>
      <c r="AO13" s="84" t="n">
        <f aca="false">EY13+$D13*$E13</f>
        <v>270</v>
      </c>
      <c r="AP13" s="84" t="n">
        <f aca="false">FO13+$D13*$E13</f>
        <v>270</v>
      </c>
      <c r="AQ13" s="84" t="n">
        <f aca="false">GE13+$D13*$E13</f>
        <v>1418.55669027687</v>
      </c>
      <c r="AR13" s="84" t="n">
        <f aca="false">GU13</f>
        <v>4219.82859546172</v>
      </c>
      <c r="AT13" s="133" t="n">
        <f aca="false">$D13*Inputs!$C$13-$D13*$E13</f>
        <v>3730</v>
      </c>
      <c r="AU13" s="84" t="n">
        <f aca="false">AT13*(1+$I13)</f>
        <v>4476</v>
      </c>
      <c r="AV13" s="133" t="n">
        <f aca="false">AU13*Inputs!$C$14</f>
        <v>0</v>
      </c>
      <c r="AW13" s="84" t="n">
        <f aca="false">AU13-AV13</f>
        <v>4476</v>
      </c>
      <c r="AX13" s="133" t="n">
        <f aca="false">$D13*Inputs!$C$13</f>
        <v>4000</v>
      </c>
      <c r="AY13" s="84" t="n">
        <f aca="false">MIN(AV13,AX13)</f>
        <v>0</v>
      </c>
      <c r="AZ13" s="84" t="n">
        <f aca="false">AX13-AY13</f>
        <v>4000</v>
      </c>
      <c r="BA13" s="84" t="n">
        <f aca="false">$G13*AX13</f>
        <v>320</v>
      </c>
      <c r="BB13" s="84" t="n">
        <f aca="false">MIN(AV13-AY13,BA13)</f>
        <v>0</v>
      </c>
      <c r="BC13" s="84" t="n">
        <f aca="false">BA13-BB13</f>
        <v>320</v>
      </c>
      <c r="BD13" s="84" t="n">
        <f aca="false">IF($H13=1,MIN(AV13-AY13-BB13,MAX(0,$F13/(1-$F13)*BB13)),0)</f>
        <v>0</v>
      </c>
      <c r="BE13" s="84" t="n">
        <f aca="false">AV13-AY13-BB13-BD13</f>
        <v>0</v>
      </c>
      <c r="BF13" s="84" t="n">
        <f aca="false">AY13+BB13+(1-$F13)*BE13</f>
        <v>0</v>
      </c>
      <c r="BG13" s="84" t="n">
        <f aca="false">BD13+$F13*BE13</f>
        <v>0</v>
      </c>
      <c r="BH13" s="84" t="n">
        <f aca="false">BB13+(1-$F13)*BE13</f>
        <v>0</v>
      </c>
      <c r="BI13" s="84" t="n">
        <f aca="false">BG13</f>
        <v>0</v>
      </c>
      <c r="BJ13" s="133" t="n">
        <f aca="false">AW13+$D13*Inputs!$D$13-$D13*$E13</f>
        <v>8206</v>
      </c>
      <c r="BK13" s="84" t="n">
        <f aca="false">BJ13*(1+$I13)</f>
        <v>9847.2</v>
      </c>
      <c r="BL13" s="133" t="n">
        <f aca="false">BK13*Inputs!$D$14</f>
        <v>0</v>
      </c>
      <c r="BM13" s="84" t="n">
        <f aca="false">BK13-BL13</f>
        <v>9847.2</v>
      </c>
      <c r="BN13" s="133" t="n">
        <f aca="false">AZ13+$D13*Inputs!$D$13</f>
        <v>8000</v>
      </c>
      <c r="BO13" s="84" t="n">
        <f aca="false">MIN(BL13,BN13)</f>
        <v>0</v>
      </c>
      <c r="BP13" s="84" t="n">
        <f aca="false">BN13-BO13</f>
        <v>8000</v>
      </c>
      <c r="BQ13" s="84" t="n">
        <f aca="false">BC13+$G13*(BN13+BC13)</f>
        <v>985.6</v>
      </c>
      <c r="BR13" s="84" t="n">
        <f aca="false">MIN(BL13-BO13,BQ13)</f>
        <v>0</v>
      </c>
      <c r="BS13" s="84" t="n">
        <f aca="false">BQ13-BR13</f>
        <v>985.6</v>
      </c>
      <c r="BT13" s="84" t="n">
        <f aca="false">IF($H13=1,MIN(BL13-BO13-BR13,MAX(0,$F13/(1-$F13)*(BH13+BR13)-BI13)),0)</f>
        <v>0</v>
      </c>
      <c r="BU13" s="84" t="n">
        <f aca="false">BL13-BO13-BR13-BT13</f>
        <v>0</v>
      </c>
      <c r="BV13" s="84" t="n">
        <f aca="false">BO13+BR13+(1-$F13)*BU13</f>
        <v>0</v>
      </c>
      <c r="BW13" s="84" t="n">
        <f aca="false">BT13+$F13*BU13</f>
        <v>0</v>
      </c>
      <c r="BX13" s="84" t="n">
        <f aca="false">BH13+BR13+(1-$F13)*BU13</f>
        <v>0</v>
      </c>
      <c r="BY13" s="84" t="n">
        <f aca="false">BI13+BW13</f>
        <v>0</v>
      </c>
      <c r="BZ13" s="133" t="n">
        <f aca="false">BM13+$D13*Inputs!$E$13-$D13*$E13</f>
        <v>13577.2</v>
      </c>
      <c r="CA13" s="84" t="n">
        <f aca="false">BZ13*(1+$I13)</f>
        <v>16292.64</v>
      </c>
      <c r="CB13" s="133" t="n">
        <f aca="false">CA13*Inputs!$E$14</f>
        <v>0</v>
      </c>
      <c r="CC13" s="84" t="n">
        <f aca="false">CA13-CB13</f>
        <v>16292.64</v>
      </c>
      <c r="CD13" s="133" t="n">
        <f aca="false">BP13+$D13*Inputs!$E$13</f>
        <v>12000</v>
      </c>
      <c r="CE13" s="84" t="n">
        <f aca="false">MIN(CB13,CD13)</f>
        <v>0</v>
      </c>
      <c r="CF13" s="84" t="n">
        <f aca="false">CD13-CE13</f>
        <v>12000</v>
      </c>
      <c r="CG13" s="84" t="n">
        <f aca="false">BS13+$G13*(CD13+BS13)</f>
        <v>2024.448</v>
      </c>
      <c r="CH13" s="84" t="n">
        <f aca="false">MIN(CB13-CE13,CG13)</f>
        <v>0</v>
      </c>
      <c r="CI13" s="84" t="n">
        <f aca="false">CG13-CH13</f>
        <v>2024.448</v>
      </c>
      <c r="CJ13" s="84" t="n">
        <f aca="false">IF($H13=1,MIN(CB13-CE13-CH13,MAX(0,$F13/(1-$F13)*(BX13+CH13)-BY13)),0)</f>
        <v>0</v>
      </c>
      <c r="CK13" s="84" t="n">
        <f aca="false">CB13-CE13-CH13-CJ13</f>
        <v>0</v>
      </c>
      <c r="CL13" s="84" t="n">
        <f aca="false">CE13+CH13+(1-$F13)*CK13</f>
        <v>0</v>
      </c>
      <c r="CM13" s="84" t="n">
        <f aca="false">CJ13+$F13*CK13</f>
        <v>0</v>
      </c>
      <c r="CN13" s="84" t="n">
        <f aca="false">BX13+CH13+(1-$F13)*CK13</f>
        <v>0</v>
      </c>
      <c r="CO13" s="84" t="n">
        <f aca="false">BY13+CM13</f>
        <v>0</v>
      </c>
      <c r="CP13" s="133" t="n">
        <f aca="false">CC13+$D13*Inputs!$F$13-$D13*$E13</f>
        <v>20022.64</v>
      </c>
      <c r="CQ13" s="84" t="n">
        <f aca="false">CP13*(1+$I13)</f>
        <v>24027.168</v>
      </c>
      <c r="CR13" s="133" t="n">
        <f aca="false">CQ13*Inputs!$F$14</f>
        <v>0</v>
      </c>
      <c r="CS13" s="84" t="n">
        <f aca="false">CQ13-CR13</f>
        <v>24027.168</v>
      </c>
      <c r="CT13" s="133" t="n">
        <f aca="false">CF13+$D13*Inputs!$F$13</f>
        <v>16000</v>
      </c>
      <c r="CU13" s="84" t="n">
        <f aca="false">MIN(CR13,CT13)</f>
        <v>0</v>
      </c>
      <c r="CV13" s="84" t="n">
        <f aca="false">CT13-CU13</f>
        <v>16000</v>
      </c>
      <c r="CW13" s="84" t="n">
        <f aca="false">CI13+$G13*(CT13+CI13)</f>
        <v>3466.40384</v>
      </c>
      <c r="CX13" s="84" t="n">
        <f aca="false">MIN(CR13-CU13,CW13)</f>
        <v>0</v>
      </c>
      <c r="CY13" s="84" t="n">
        <f aca="false">CW13-CX13</f>
        <v>3466.40384</v>
      </c>
      <c r="CZ13" s="84" t="n">
        <f aca="false">IF($H13=1,MIN(CR13-CU13-CX13,MAX(0,$F13/(1-$F13)*(CN13+CX13)-CO13)),0)</f>
        <v>0</v>
      </c>
      <c r="DA13" s="84" t="n">
        <f aca="false">CR13-CU13-CX13-CZ13</f>
        <v>0</v>
      </c>
      <c r="DB13" s="84" t="n">
        <f aca="false">CU13+CX13+(1-$F13)*DA13</f>
        <v>0</v>
      </c>
      <c r="DC13" s="84" t="n">
        <f aca="false">CZ13+$F13*DA13</f>
        <v>0</v>
      </c>
      <c r="DD13" s="84" t="n">
        <f aca="false">CN13+CX13+(1-$F13)*DA13</f>
        <v>0</v>
      </c>
      <c r="DE13" s="84" t="n">
        <f aca="false">CO13+DC13</f>
        <v>0</v>
      </c>
      <c r="DF13" s="133" t="n">
        <f aca="false">CS13+$D13*Inputs!$G$13-$D13*$E13</f>
        <v>27757.168</v>
      </c>
      <c r="DG13" s="84" t="n">
        <f aca="false">DF13*(1+$I13)</f>
        <v>33308.6016</v>
      </c>
      <c r="DH13" s="133" t="n">
        <f aca="false">DG13*Inputs!$G$14</f>
        <v>6661.72032</v>
      </c>
      <c r="DI13" s="84" t="n">
        <f aca="false">DG13-DH13</f>
        <v>26646.88128</v>
      </c>
      <c r="DJ13" s="133" t="n">
        <f aca="false">CV13+$D13*Inputs!$G$13</f>
        <v>20000</v>
      </c>
      <c r="DK13" s="84" t="n">
        <f aca="false">MIN(DH13,DJ13)</f>
        <v>6661.72032</v>
      </c>
      <c r="DL13" s="84" t="n">
        <f aca="false">DJ13-DK13</f>
        <v>13338.27968</v>
      </c>
      <c r="DM13" s="84" t="n">
        <f aca="false">CY13+$G13*(DJ13+CY13)</f>
        <v>5343.7161472</v>
      </c>
      <c r="DN13" s="84" t="n">
        <f aca="false">MIN(DH13-DK13,DM13)</f>
        <v>0</v>
      </c>
      <c r="DO13" s="84" t="n">
        <f aca="false">DM13-DN13</f>
        <v>5343.7161472</v>
      </c>
      <c r="DP13" s="84" t="n">
        <f aca="false">IF($H13=1,MIN(DH13-DK13-DN13,MAX(0,$F13/(1-$F13)*(DD13+DN13)-DE13)),0)</f>
        <v>0</v>
      </c>
      <c r="DQ13" s="84" t="n">
        <f aca="false">DH13-DK13-DN13-DP13</f>
        <v>0</v>
      </c>
      <c r="DR13" s="84" t="n">
        <f aca="false">DK13+DN13+(1-$F13)*DQ13</f>
        <v>6661.72032</v>
      </c>
      <c r="DS13" s="84" t="n">
        <f aca="false">DP13+$F13*DQ13</f>
        <v>0</v>
      </c>
      <c r="DT13" s="84" t="n">
        <f aca="false">DD13+DN13+(1-$F13)*DQ13</f>
        <v>0</v>
      </c>
      <c r="DU13" s="84" t="n">
        <f aca="false">DE13+DS13</f>
        <v>0</v>
      </c>
      <c r="DV13" s="133" t="n">
        <f aca="false">DI13+$D13*Inputs!$H$13-$D13*$E13</f>
        <v>26376.88128</v>
      </c>
      <c r="DW13" s="84" t="n">
        <f aca="false">DV13*(1+$I13)</f>
        <v>31652.257536</v>
      </c>
      <c r="DX13" s="133" t="n">
        <f aca="false">DW13*Inputs!$H$14</f>
        <v>6330.4515072</v>
      </c>
      <c r="DY13" s="84" t="n">
        <f aca="false">DW13-DX13</f>
        <v>25321.8060288</v>
      </c>
      <c r="DZ13" s="133" t="n">
        <f aca="false">DL13+$D13*Inputs!$H$13</f>
        <v>13338.27968</v>
      </c>
      <c r="EA13" s="84" t="n">
        <f aca="false">MIN(DX13,DZ13)</f>
        <v>6330.4515072</v>
      </c>
      <c r="EB13" s="84" t="n">
        <f aca="false">DZ13-EA13</f>
        <v>7007.8281728</v>
      </c>
      <c r="EC13" s="84" t="n">
        <f aca="false">DO13+$G13*(DZ13+DO13)</f>
        <v>6838.275813376</v>
      </c>
      <c r="ED13" s="84" t="n">
        <f aca="false">MIN(DX13-EA13,EC13)</f>
        <v>0</v>
      </c>
      <c r="EE13" s="84" t="n">
        <f aca="false">EC13-ED13</f>
        <v>6838.275813376</v>
      </c>
      <c r="EF13" s="84" t="n">
        <f aca="false">IF($H13=1,MIN(DX13-EA13-ED13,MAX(0,$F13/(1-$F13)*(DT13+ED13)-DU13)),0)</f>
        <v>0</v>
      </c>
      <c r="EG13" s="84" t="n">
        <f aca="false">DX13-EA13-ED13-EF13</f>
        <v>0</v>
      </c>
      <c r="EH13" s="84" t="n">
        <f aca="false">EA13+ED13+(1-$F13)*EG13</f>
        <v>6330.4515072</v>
      </c>
      <c r="EI13" s="84" t="n">
        <f aca="false">EF13+$F13*EG13</f>
        <v>0</v>
      </c>
      <c r="EJ13" s="84" t="n">
        <f aca="false">DT13+ED13+(1-$F13)*EG13</f>
        <v>0</v>
      </c>
      <c r="EK13" s="84" t="n">
        <f aca="false">DU13+EI13</f>
        <v>0</v>
      </c>
      <c r="EL13" s="133" t="n">
        <f aca="false">DY13+$D13*Inputs!$I$13-$D13*$E13</f>
        <v>25051.8060288</v>
      </c>
      <c r="EM13" s="84" t="n">
        <f aca="false">EL13*(1+$I13)</f>
        <v>30062.16723456</v>
      </c>
      <c r="EN13" s="133" t="n">
        <f aca="false">EM13*Inputs!$I$14</f>
        <v>6012.433446912</v>
      </c>
      <c r="EO13" s="84" t="n">
        <f aca="false">EM13-EN13</f>
        <v>24049.733787648</v>
      </c>
      <c r="EP13" s="133" t="n">
        <f aca="false">EB13+$D13*Inputs!$I$13</f>
        <v>7007.8281728</v>
      </c>
      <c r="EQ13" s="84" t="n">
        <f aca="false">MIN(EN13,EP13)</f>
        <v>6012.433446912</v>
      </c>
      <c r="ER13" s="84" t="n">
        <f aca="false">EP13-EQ13</f>
        <v>995.394725888003</v>
      </c>
      <c r="ES13" s="84" t="n">
        <f aca="false">EE13+$G13*(EP13+EE13)</f>
        <v>7945.96413227008</v>
      </c>
      <c r="ET13" s="84" t="n">
        <f aca="false">MIN(EN13-EQ13,ES13)</f>
        <v>0</v>
      </c>
      <c r="EU13" s="84" t="n">
        <f aca="false">ES13-ET13</f>
        <v>7945.96413227008</v>
      </c>
      <c r="EV13" s="84" t="n">
        <f aca="false">IF($H13=1,MIN(EN13-EQ13-ET13,MAX(0,$F13/(1-$F13)*(EJ13+ET13)-EK13)),0)</f>
        <v>0</v>
      </c>
      <c r="EW13" s="84" t="n">
        <f aca="false">EN13-EQ13-ET13-EV13</f>
        <v>0</v>
      </c>
      <c r="EX13" s="84" t="n">
        <f aca="false">EQ13+ET13+(1-$F13)*EW13</f>
        <v>6012.433446912</v>
      </c>
      <c r="EY13" s="84" t="n">
        <f aca="false">EV13+$F13*EW13</f>
        <v>0</v>
      </c>
      <c r="EZ13" s="84" t="n">
        <f aca="false">EJ13+ET13+(1-$F13)*EW13</f>
        <v>0</v>
      </c>
      <c r="FA13" s="84" t="n">
        <f aca="false">EK13+EY13</f>
        <v>0</v>
      </c>
      <c r="FB13" s="133" t="n">
        <f aca="false">EO13+$D13*Inputs!$J$13-$D13*$E13</f>
        <v>23779.733787648</v>
      </c>
      <c r="FC13" s="84" t="n">
        <f aca="false">FB13*(1+$I13)</f>
        <v>28535.6805451776</v>
      </c>
      <c r="FD13" s="133" t="n">
        <f aca="false">FC13*Inputs!$J$14</f>
        <v>5707.13610903552</v>
      </c>
      <c r="FE13" s="84" t="n">
        <f aca="false">FC13-FD13</f>
        <v>22828.5444361421</v>
      </c>
      <c r="FF13" s="133" t="n">
        <f aca="false">ER13+$D13*Inputs!$J$13</f>
        <v>995.394725888003</v>
      </c>
      <c r="FG13" s="84" t="n">
        <f aca="false">MIN(FD13,FF13)</f>
        <v>995.394725888003</v>
      </c>
      <c r="FH13" s="84" t="n">
        <f aca="false">FF13-FG13</f>
        <v>0</v>
      </c>
      <c r="FI13" s="84" t="n">
        <f aca="false">EU13+$G13*(FF13+EU13)</f>
        <v>8661.27284092273</v>
      </c>
      <c r="FJ13" s="84" t="n">
        <f aca="false">MIN(FD13-FG13,FI13)</f>
        <v>4711.74138314751</v>
      </c>
      <c r="FK13" s="84" t="n">
        <f aca="false">FI13-FJ13</f>
        <v>3949.53145777521</v>
      </c>
      <c r="FL13" s="84" t="n">
        <f aca="false">IF($H13=1,MIN(FD13-FG13-FJ13,MAX(0,$F13/(1-$F13)*(EZ13+FJ13)-FA13)),0)</f>
        <v>0</v>
      </c>
      <c r="FM13" s="84" t="n">
        <f aca="false">FD13-FG13-FJ13-FL13</f>
        <v>0</v>
      </c>
      <c r="FN13" s="84" t="n">
        <f aca="false">FG13+FJ13+(1-$F13)*FM13</f>
        <v>5707.13610903552</v>
      </c>
      <c r="FO13" s="84" t="n">
        <f aca="false">FL13+$F13*FM13</f>
        <v>0</v>
      </c>
      <c r="FP13" s="84" t="n">
        <f aca="false">EZ13+FJ13+(1-$F13)*FM13</f>
        <v>4711.74138314751</v>
      </c>
      <c r="FQ13" s="84" t="n">
        <f aca="false">FA13+FO13</f>
        <v>0</v>
      </c>
      <c r="FR13" s="133" t="n">
        <f aca="false">FE13+$D13*Inputs!$K$13-$D13*$E13</f>
        <v>22558.5444361421</v>
      </c>
      <c r="FS13" s="84" t="n">
        <f aca="false">FR13*(1+$I13)</f>
        <v>27070.2533233705</v>
      </c>
      <c r="FT13" s="133" t="n">
        <f aca="false">FS13*Inputs!$K$14</f>
        <v>5414.0506646741</v>
      </c>
      <c r="FU13" s="84" t="n">
        <f aca="false">FS13-FT13</f>
        <v>21656.2026586964</v>
      </c>
      <c r="FV13" s="133" t="n">
        <f aca="false">FH13+$D13*Inputs!$K$13</f>
        <v>0</v>
      </c>
      <c r="FW13" s="84" t="n">
        <f aca="false">MIN(FT13,FV13)</f>
        <v>0</v>
      </c>
      <c r="FX13" s="84" t="n">
        <f aca="false">FV13-FW13</f>
        <v>0</v>
      </c>
      <c r="FY13" s="84" t="n">
        <f aca="false">FK13+$G13*(FV13+FK13)</f>
        <v>4265.49397439723</v>
      </c>
      <c r="FZ13" s="84" t="n">
        <f aca="false">MIN(FT13-FW13,FY13)</f>
        <v>4265.49397439723</v>
      </c>
      <c r="GA13" s="84" t="n">
        <f aca="false">FY13-FZ13</f>
        <v>0</v>
      </c>
      <c r="GB13" s="84" t="n">
        <f aca="false">IF($H13=1,MIN(FT13-FW13-FZ13,MAX(0,$F13/(1-$F13)*(FP13+FZ13)-FQ13)),0)</f>
        <v>1148.55669027687</v>
      </c>
      <c r="GC13" s="84" t="n">
        <f aca="false">FT13-FW13-FZ13-GB13</f>
        <v>0</v>
      </c>
      <c r="GD13" s="84" t="n">
        <f aca="false">FW13+FZ13+(1-$F13)*GC13</f>
        <v>4265.49397439723</v>
      </c>
      <c r="GE13" s="84" t="n">
        <f aca="false">GB13+$F13*GC13</f>
        <v>1148.55669027687</v>
      </c>
      <c r="GF13" s="84" t="n">
        <f aca="false">FP13+FZ13+(1-$F13)*GC13</f>
        <v>8977.23535754475</v>
      </c>
      <c r="GG13" s="84" t="n">
        <f aca="false">FQ13+GE13</f>
        <v>1148.55669027687</v>
      </c>
      <c r="GH13" s="133" t="n">
        <f aca="false">FU13+$D13*Inputs!$L$13-$D13*$E13</f>
        <v>21386.2026586964</v>
      </c>
      <c r="GI13" s="84" t="n">
        <f aca="false">GH13*(1+$I13)</f>
        <v>25663.4431904357</v>
      </c>
      <c r="GJ13" s="133" t="n">
        <f aca="false">GI13*Inputs!$L$14</f>
        <v>25663.4431904357</v>
      </c>
      <c r="GK13" s="84" t="n">
        <f aca="false">GI13-GJ13</f>
        <v>0</v>
      </c>
      <c r="GL13" s="133" t="n">
        <f aca="false">FX13+$D13*Inputs!$L$13</f>
        <v>0</v>
      </c>
      <c r="GM13" s="84" t="n">
        <f aca="false">MIN(GJ13,GL13)</f>
        <v>0</v>
      </c>
      <c r="GN13" s="84" t="n">
        <f aca="false">GL13-GM13</f>
        <v>0</v>
      </c>
      <c r="GO13" s="84" t="n">
        <f aca="false">GA13+$G13*(GL13+GA13)</f>
        <v>0</v>
      </c>
      <c r="GP13" s="84" t="n">
        <f aca="false">MIN(GJ13-GM13,GO13)</f>
        <v>0</v>
      </c>
      <c r="GQ13" s="84" t="n">
        <f aca="false">GO13-GP13</f>
        <v>0</v>
      </c>
      <c r="GR13" s="84" t="n">
        <f aca="false">IF($H13=1,MIN(GJ13-GM13-GP13,MAX(0,$F13/(1-$F13)*(GF13+GP13)-GG13)),0)</f>
        <v>435.661313995734</v>
      </c>
      <c r="GS13" s="84" t="n">
        <f aca="false">GJ13-GM13-GP13-GR13</f>
        <v>25227.7818764399</v>
      </c>
      <c r="GT13" s="84" t="n">
        <f aca="false">GM13+GP13+(1-$F13)*GS13</f>
        <v>21443.6145949739</v>
      </c>
      <c r="GU13" s="84" t="n">
        <f aca="false">GR13+$F13*GS13</f>
        <v>4219.82859546172</v>
      </c>
      <c r="GV13" s="84" t="n">
        <f aca="false">GF13+GP13+(1-$F13)*GS13</f>
        <v>30420.8499525187</v>
      </c>
      <c r="GW13" s="84" t="n">
        <f aca="false">GG13+GU13</f>
        <v>5368.38528573859</v>
      </c>
    </row>
    <row r="14" customFormat="false" ht="15" hidden="false" customHeight="false" outlineLevel="0" collapsed="false">
      <c r="A14" s="5" t="s">
        <v>624</v>
      </c>
      <c r="B14" s="5" t="s">
        <v>625</v>
      </c>
      <c r="D14" s="47" t="n">
        <f aca="false">Inputs!$C$6</f>
        <v>20000</v>
      </c>
      <c r="E14" s="35" t="n">
        <f aca="false">Inputs!$C$18</f>
        <v>0.015</v>
      </c>
      <c r="F14" s="36" t="n">
        <f aca="false">Inputs!$C$20</f>
        <v>0.2</v>
      </c>
      <c r="G14" s="36" t="n">
        <f aca="false">Inputs!$C$22</f>
        <v>0.08</v>
      </c>
      <c r="H14" s="27" t="n">
        <v>0</v>
      </c>
      <c r="I14" s="132" t="n">
        <f aca="false">Inputs!$C$8</f>
        <v>0.2</v>
      </c>
      <c r="J14" s="36" t="n">
        <f aca="false">Inputs!$C$9</f>
        <v>0.15</v>
      </c>
      <c r="K14" s="89" t="n">
        <f aca="false">IRR(W14:AG14,0.1)</f>
        <v>0.163859555356001</v>
      </c>
      <c r="L14" s="45" t="n">
        <f aca="false">W14+NPV($J14,X14:AG14)</f>
        <v>1129.57127740317</v>
      </c>
      <c r="M14" s="45" t="n">
        <f aca="false">SUM(BF14,BV14,CL14,DB14,DR14,EH14,EX14,FN14,GD14,GT14)</f>
        <v>49876.0800111138</v>
      </c>
      <c r="N14" s="43" t="n">
        <f aca="false">IF($D14*SUM(Inputs!$C$13:$L$13)=0,0,M14/($D14*SUM(Inputs!$C$13:$L$13)))</f>
        <v>2.49380400055569</v>
      </c>
      <c r="O14" s="42" t="n">
        <f aca="false">$D14*$E14*COLUMNS(Inputs!$C$13:$L$13)</f>
        <v>3000</v>
      </c>
      <c r="P14" s="45" t="n">
        <f aca="false">SUM(BG14,BW14,CM14,DC14,DS14,EI14,EY14,FO14,GE14,GU14)</f>
        <v>5212.07107095374</v>
      </c>
      <c r="Q14" s="42" t="n">
        <f aca="false">PV($J14,COLUMNS(Inputs!$C$13:$L$13),-$D14*$E14,0,1)</f>
        <v>1731.47517591971</v>
      </c>
      <c r="R14" s="45" t="n">
        <f aca="false">NPV($J14,BG14,BW14,CM14,DC14,DS14,EI14,EY14,FO14,GE14,GU14)</f>
        <v>1294.1395987261</v>
      </c>
      <c r="S14" s="45" t="n">
        <f aca="false">Q14+R14</f>
        <v>3025.61477464581</v>
      </c>
      <c r="T14" s="32" t="n">
        <f aca="false">IF(S14=0,0,Q14/S14)</f>
        <v>0.572272184294315</v>
      </c>
      <c r="U14" s="45" t="n">
        <f aca="false">ROUND(ABS(GK14)+ABS(SUM(AV14,BL14,CB14,CR14,DH14,DX14,EN14,FD14,FT14,GJ14)-M14-P14)+ABS(S14-(AH14+NPV($J14,AI14:AR14))),6)</f>
        <v>0</v>
      </c>
      <c r="W14" s="133" t="n">
        <f aca="false">-$D14*Inputs!$C$13</f>
        <v>-4000</v>
      </c>
      <c r="X14" s="133" t="n">
        <f aca="false">BF14-$D14*Inputs!$D$13</f>
        <v>-4000</v>
      </c>
      <c r="Y14" s="133" t="n">
        <f aca="false">BV14-$D14*Inputs!$E$13</f>
        <v>-4000</v>
      </c>
      <c r="Z14" s="133" t="n">
        <f aca="false">CL14-$D14*Inputs!$F$13</f>
        <v>-4000</v>
      </c>
      <c r="AA14" s="133" t="n">
        <f aca="false">DB14-$D14*Inputs!$G$13</f>
        <v>-4000</v>
      </c>
      <c r="AB14" s="133" t="n">
        <f aca="false">DR14-$D14*Inputs!$H$13</f>
        <v>6608.1408</v>
      </c>
      <c r="AC14" s="133" t="n">
        <f aca="false">EH14-$D14*Inputs!$I$13</f>
        <v>6271.815168</v>
      </c>
      <c r="AD14" s="133" t="n">
        <f aca="false">EX14-$D14*Inputs!$J$13</f>
        <v>5948.94256128</v>
      </c>
      <c r="AE14" s="133" t="n">
        <f aca="false">FN14-$D14*Inputs!$K$13</f>
        <v>5638.9848588288</v>
      </c>
      <c r="AF14" s="133" t="n">
        <f aca="false">GD14-$D14*Inputs!$L$13</f>
        <v>5185.12283941853</v>
      </c>
      <c r="AG14" s="84" t="n">
        <f aca="false">GT14</f>
        <v>20223.0737835865</v>
      </c>
      <c r="AH14" s="84" t="n">
        <f aca="false">$D14*$E14</f>
        <v>300</v>
      </c>
      <c r="AI14" s="84" t="n">
        <f aca="false">BG14+$D14*$E14</f>
        <v>300</v>
      </c>
      <c r="AJ14" s="84" t="n">
        <f aca="false">BW14+$D14*$E14</f>
        <v>300</v>
      </c>
      <c r="AK14" s="84" t="n">
        <f aca="false">CM14+$D14*$E14</f>
        <v>300</v>
      </c>
      <c r="AL14" s="84" t="n">
        <f aca="false">DC14+$D14*$E14</f>
        <v>300</v>
      </c>
      <c r="AM14" s="84" t="n">
        <f aca="false">DS14+$D14*$E14</f>
        <v>300</v>
      </c>
      <c r="AN14" s="84" t="n">
        <f aca="false">EI14+$D14*$E14</f>
        <v>300</v>
      </c>
      <c r="AO14" s="84" t="n">
        <f aca="false">EY14+$D14*$E14</f>
        <v>300</v>
      </c>
      <c r="AP14" s="84" t="n">
        <f aca="false">FO14+$D14*$E14</f>
        <v>300</v>
      </c>
      <c r="AQ14" s="84" t="n">
        <f aca="false">GE14+$D14*$E14</f>
        <v>456.302625057118</v>
      </c>
      <c r="AR14" s="84" t="n">
        <f aca="false">GU14</f>
        <v>5055.76844589662</v>
      </c>
      <c r="AT14" s="133" t="n">
        <f aca="false">$D14*Inputs!$C$13-$D14*$E14</f>
        <v>3700</v>
      </c>
      <c r="AU14" s="84" t="n">
        <f aca="false">AT14*(1+$I14)</f>
        <v>4440</v>
      </c>
      <c r="AV14" s="133" t="n">
        <f aca="false">AU14*Inputs!$C$14</f>
        <v>0</v>
      </c>
      <c r="AW14" s="84" t="n">
        <f aca="false">AU14-AV14</f>
        <v>4440</v>
      </c>
      <c r="AX14" s="133" t="n">
        <f aca="false">$D14*Inputs!$C$13</f>
        <v>4000</v>
      </c>
      <c r="AY14" s="84" t="n">
        <f aca="false">MIN(AV14,AX14)</f>
        <v>0</v>
      </c>
      <c r="AZ14" s="84" t="n">
        <f aca="false">AX14-AY14</f>
        <v>4000</v>
      </c>
      <c r="BA14" s="84" t="n">
        <f aca="false">$G14*AX14</f>
        <v>320</v>
      </c>
      <c r="BB14" s="84" t="n">
        <f aca="false">MIN(AV14-AY14,BA14)</f>
        <v>0</v>
      </c>
      <c r="BC14" s="84" t="n">
        <f aca="false">BA14-BB14</f>
        <v>320</v>
      </c>
      <c r="BD14" s="84" t="n">
        <f aca="false">IF($H14=1,MIN(AV14-AY14-BB14,MAX(0,$F14/(1-$F14)*BB14)),0)</f>
        <v>0</v>
      </c>
      <c r="BE14" s="84" t="n">
        <f aca="false">AV14-AY14-BB14-BD14</f>
        <v>0</v>
      </c>
      <c r="BF14" s="84" t="n">
        <f aca="false">AY14+BB14+(1-$F14)*BE14</f>
        <v>0</v>
      </c>
      <c r="BG14" s="84" t="n">
        <f aca="false">BD14+$F14*BE14</f>
        <v>0</v>
      </c>
      <c r="BH14" s="84" t="n">
        <f aca="false">BB14+(1-$F14)*BE14</f>
        <v>0</v>
      </c>
      <c r="BI14" s="84" t="n">
        <f aca="false">BG14</f>
        <v>0</v>
      </c>
      <c r="BJ14" s="133" t="n">
        <f aca="false">AW14+$D14*Inputs!$D$13-$D14*$E14</f>
        <v>8140</v>
      </c>
      <c r="BK14" s="84" t="n">
        <f aca="false">BJ14*(1+$I14)</f>
        <v>9768</v>
      </c>
      <c r="BL14" s="133" t="n">
        <f aca="false">BK14*Inputs!$D$14</f>
        <v>0</v>
      </c>
      <c r="BM14" s="84" t="n">
        <f aca="false">BK14-BL14</f>
        <v>9768</v>
      </c>
      <c r="BN14" s="133" t="n">
        <f aca="false">AZ14+$D14*Inputs!$D$13</f>
        <v>8000</v>
      </c>
      <c r="BO14" s="84" t="n">
        <f aca="false">MIN(BL14,BN14)</f>
        <v>0</v>
      </c>
      <c r="BP14" s="84" t="n">
        <f aca="false">BN14-BO14</f>
        <v>8000</v>
      </c>
      <c r="BQ14" s="84" t="n">
        <f aca="false">BC14+$G14*(BN14+BC14)</f>
        <v>985.6</v>
      </c>
      <c r="BR14" s="84" t="n">
        <f aca="false">MIN(BL14-BO14,BQ14)</f>
        <v>0</v>
      </c>
      <c r="BS14" s="84" t="n">
        <f aca="false">BQ14-BR14</f>
        <v>985.6</v>
      </c>
      <c r="BT14" s="84" t="n">
        <f aca="false">IF($H14=1,MIN(BL14-BO14-BR14,MAX(0,$F14/(1-$F14)*(BH14+BR14)-BI14)),0)</f>
        <v>0</v>
      </c>
      <c r="BU14" s="84" t="n">
        <f aca="false">BL14-BO14-BR14-BT14</f>
        <v>0</v>
      </c>
      <c r="BV14" s="84" t="n">
        <f aca="false">BO14+BR14+(1-$F14)*BU14</f>
        <v>0</v>
      </c>
      <c r="BW14" s="84" t="n">
        <f aca="false">BT14+$F14*BU14</f>
        <v>0</v>
      </c>
      <c r="BX14" s="84" t="n">
        <f aca="false">BH14+BR14+(1-$F14)*BU14</f>
        <v>0</v>
      </c>
      <c r="BY14" s="84" t="n">
        <f aca="false">BI14+BW14</f>
        <v>0</v>
      </c>
      <c r="BZ14" s="133" t="n">
        <f aca="false">BM14+$D14*Inputs!$E$13-$D14*$E14</f>
        <v>13468</v>
      </c>
      <c r="CA14" s="84" t="n">
        <f aca="false">BZ14*(1+$I14)</f>
        <v>16161.6</v>
      </c>
      <c r="CB14" s="133" t="n">
        <f aca="false">CA14*Inputs!$E$14</f>
        <v>0</v>
      </c>
      <c r="CC14" s="84" t="n">
        <f aca="false">CA14-CB14</f>
        <v>16161.6</v>
      </c>
      <c r="CD14" s="133" t="n">
        <f aca="false">BP14+$D14*Inputs!$E$13</f>
        <v>12000</v>
      </c>
      <c r="CE14" s="84" t="n">
        <f aca="false">MIN(CB14,CD14)</f>
        <v>0</v>
      </c>
      <c r="CF14" s="84" t="n">
        <f aca="false">CD14-CE14</f>
        <v>12000</v>
      </c>
      <c r="CG14" s="84" t="n">
        <f aca="false">BS14+$G14*(CD14+BS14)</f>
        <v>2024.448</v>
      </c>
      <c r="CH14" s="84" t="n">
        <f aca="false">MIN(CB14-CE14,CG14)</f>
        <v>0</v>
      </c>
      <c r="CI14" s="84" t="n">
        <f aca="false">CG14-CH14</f>
        <v>2024.448</v>
      </c>
      <c r="CJ14" s="84" t="n">
        <f aca="false">IF($H14=1,MIN(CB14-CE14-CH14,MAX(0,$F14/(1-$F14)*(BX14+CH14)-BY14)),0)</f>
        <v>0</v>
      </c>
      <c r="CK14" s="84" t="n">
        <f aca="false">CB14-CE14-CH14-CJ14</f>
        <v>0</v>
      </c>
      <c r="CL14" s="84" t="n">
        <f aca="false">CE14+CH14+(1-$F14)*CK14</f>
        <v>0</v>
      </c>
      <c r="CM14" s="84" t="n">
        <f aca="false">CJ14+$F14*CK14</f>
        <v>0</v>
      </c>
      <c r="CN14" s="84" t="n">
        <f aca="false">BX14+CH14+(1-$F14)*CK14</f>
        <v>0</v>
      </c>
      <c r="CO14" s="84" t="n">
        <f aca="false">BY14+CM14</f>
        <v>0</v>
      </c>
      <c r="CP14" s="133" t="n">
        <f aca="false">CC14+$D14*Inputs!$F$13-$D14*$E14</f>
        <v>19861.6</v>
      </c>
      <c r="CQ14" s="84" t="n">
        <f aca="false">CP14*(1+$I14)</f>
        <v>23833.92</v>
      </c>
      <c r="CR14" s="133" t="n">
        <f aca="false">CQ14*Inputs!$F$14</f>
        <v>0</v>
      </c>
      <c r="CS14" s="84" t="n">
        <f aca="false">CQ14-CR14</f>
        <v>23833.92</v>
      </c>
      <c r="CT14" s="133" t="n">
        <f aca="false">CF14+$D14*Inputs!$F$13</f>
        <v>16000</v>
      </c>
      <c r="CU14" s="84" t="n">
        <f aca="false">MIN(CR14,CT14)</f>
        <v>0</v>
      </c>
      <c r="CV14" s="84" t="n">
        <f aca="false">CT14-CU14</f>
        <v>16000</v>
      </c>
      <c r="CW14" s="84" t="n">
        <f aca="false">CI14+$G14*(CT14+CI14)</f>
        <v>3466.40384</v>
      </c>
      <c r="CX14" s="84" t="n">
        <f aca="false">MIN(CR14-CU14,CW14)</f>
        <v>0</v>
      </c>
      <c r="CY14" s="84" t="n">
        <f aca="false">CW14-CX14</f>
        <v>3466.40384</v>
      </c>
      <c r="CZ14" s="84" t="n">
        <f aca="false">IF($H14=1,MIN(CR14-CU14-CX14,MAX(0,$F14/(1-$F14)*(CN14+CX14)-CO14)),0)</f>
        <v>0</v>
      </c>
      <c r="DA14" s="84" t="n">
        <f aca="false">CR14-CU14-CX14-CZ14</f>
        <v>0</v>
      </c>
      <c r="DB14" s="84" t="n">
        <f aca="false">CU14+CX14+(1-$F14)*DA14</f>
        <v>0</v>
      </c>
      <c r="DC14" s="84" t="n">
        <f aca="false">CZ14+$F14*DA14</f>
        <v>0</v>
      </c>
      <c r="DD14" s="84" t="n">
        <f aca="false">CN14+CX14+(1-$F14)*DA14</f>
        <v>0</v>
      </c>
      <c r="DE14" s="84" t="n">
        <f aca="false">CO14+DC14</f>
        <v>0</v>
      </c>
      <c r="DF14" s="133" t="n">
        <f aca="false">CS14+$D14*Inputs!$G$13-$D14*$E14</f>
        <v>27533.92</v>
      </c>
      <c r="DG14" s="84" t="n">
        <f aca="false">DF14*(1+$I14)</f>
        <v>33040.704</v>
      </c>
      <c r="DH14" s="133" t="n">
        <f aca="false">DG14*Inputs!$G$14</f>
        <v>6608.1408</v>
      </c>
      <c r="DI14" s="84" t="n">
        <f aca="false">DG14-DH14</f>
        <v>26432.5632</v>
      </c>
      <c r="DJ14" s="133" t="n">
        <f aca="false">CV14+$D14*Inputs!$G$13</f>
        <v>20000</v>
      </c>
      <c r="DK14" s="84" t="n">
        <f aca="false">MIN(DH14,DJ14)</f>
        <v>6608.1408</v>
      </c>
      <c r="DL14" s="84" t="n">
        <f aca="false">DJ14-DK14</f>
        <v>13391.8592</v>
      </c>
      <c r="DM14" s="84" t="n">
        <f aca="false">CY14+$G14*(DJ14+CY14)</f>
        <v>5343.7161472</v>
      </c>
      <c r="DN14" s="84" t="n">
        <f aca="false">MIN(DH14-DK14,DM14)</f>
        <v>0</v>
      </c>
      <c r="DO14" s="84" t="n">
        <f aca="false">DM14-DN14</f>
        <v>5343.7161472</v>
      </c>
      <c r="DP14" s="84" t="n">
        <f aca="false">IF($H14=1,MIN(DH14-DK14-DN14,MAX(0,$F14/(1-$F14)*(DD14+DN14)-DE14)),0)</f>
        <v>0</v>
      </c>
      <c r="DQ14" s="84" t="n">
        <f aca="false">DH14-DK14-DN14-DP14</f>
        <v>0</v>
      </c>
      <c r="DR14" s="84" t="n">
        <f aca="false">DK14+DN14+(1-$F14)*DQ14</f>
        <v>6608.1408</v>
      </c>
      <c r="DS14" s="84" t="n">
        <f aca="false">DP14+$F14*DQ14</f>
        <v>0</v>
      </c>
      <c r="DT14" s="84" t="n">
        <f aca="false">DD14+DN14+(1-$F14)*DQ14</f>
        <v>0</v>
      </c>
      <c r="DU14" s="84" t="n">
        <f aca="false">DE14+DS14</f>
        <v>0</v>
      </c>
      <c r="DV14" s="133" t="n">
        <f aca="false">DI14+$D14*Inputs!$H$13-$D14*$E14</f>
        <v>26132.5632</v>
      </c>
      <c r="DW14" s="84" t="n">
        <f aca="false">DV14*(1+$I14)</f>
        <v>31359.07584</v>
      </c>
      <c r="DX14" s="133" t="n">
        <f aca="false">DW14*Inputs!$H$14</f>
        <v>6271.815168</v>
      </c>
      <c r="DY14" s="84" t="n">
        <f aca="false">DW14-DX14</f>
        <v>25087.260672</v>
      </c>
      <c r="DZ14" s="133" t="n">
        <f aca="false">DL14+$D14*Inputs!$H$13</f>
        <v>13391.8592</v>
      </c>
      <c r="EA14" s="84" t="n">
        <f aca="false">MIN(DX14,DZ14)</f>
        <v>6271.815168</v>
      </c>
      <c r="EB14" s="84" t="n">
        <f aca="false">DZ14-EA14</f>
        <v>7120.044032</v>
      </c>
      <c r="EC14" s="84" t="n">
        <f aca="false">DO14+$G14*(DZ14+DO14)</f>
        <v>6842.562174976</v>
      </c>
      <c r="ED14" s="84" t="n">
        <f aca="false">MIN(DX14-EA14,EC14)</f>
        <v>0</v>
      </c>
      <c r="EE14" s="84" t="n">
        <f aca="false">EC14-ED14</f>
        <v>6842.562174976</v>
      </c>
      <c r="EF14" s="84" t="n">
        <f aca="false">IF($H14=1,MIN(DX14-EA14-ED14,MAX(0,$F14/(1-$F14)*(DT14+ED14)-DU14)),0)</f>
        <v>0</v>
      </c>
      <c r="EG14" s="84" t="n">
        <f aca="false">DX14-EA14-ED14-EF14</f>
        <v>0</v>
      </c>
      <c r="EH14" s="84" t="n">
        <f aca="false">EA14+ED14+(1-$F14)*EG14</f>
        <v>6271.815168</v>
      </c>
      <c r="EI14" s="84" t="n">
        <f aca="false">EF14+$F14*EG14</f>
        <v>0</v>
      </c>
      <c r="EJ14" s="84" t="n">
        <f aca="false">DT14+ED14+(1-$F14)*EG14</f>
        <v>0</v>
      </c>
      <c r="EK14" s="84" t="n">
        <f aca="false">DU14+EI14</f>
        <v>0</v>
      </c>
      <c r="EL14" s="133" t="n">
        <f aca="false">DY14+$D14*Inputs!$I$13-$D14*$E14</f>
        <v>24787.260672</v>
      </c>
      <c r="EM14" s="84" t="n">
        <f aca="false">EL14*(1+$I14)</f>
        <v>29744.7128064</v>
      </c>
      <c r="EN14" s="133" t="n">
        <f aca="false">EM14*Inputs!$I$14</f>
        <v>5948.94256128</v>
      </c>
      <c r="EO14" s="84" t="n">
        <f aca="false">EM14-EN14</f>
        <v>23795.77024512</v>
      </c>
      <c r="EP14" s="133" t="n">
        <f aca="false">EB14+$D14*Inputs!$I$13</f>
        <v>7120.044032</v>
      </c>
      <c r="EQ14" s="84" t="n">
        <f aca="false">MIN(EN14,EP14)</f>
        <v>5948.94256128</v>
      </c>
      <c r="ER14" s="84" t="n">
        <f aca="false">EP14-EQ14</f>
        <v>1171.10147072</v>
      </c>
      <c r="ES14" s="84" t="n">
        <f aca="false">EE14+$G14*(EP14+EE14)</f>
        <v>7959.57067153408</v>
      </c>
      <c r="ET14" s="84" t="n">
        <f aca="false">MIN(EN14-EQ14,ES14)</f>
        <v>0</v>
      </c>
      <c r="EU14" s="84" t="n">
        <f aca="false">ES14-ET14</f>
        <v>7959.57067153408</v>
      </c>
      <c r="EV14" s="84" t="n">
        <f aca="false">IF($H14=1,MIN(EN14-EQ14-ET14,MAX(0,$F14/(1-$F14)*(EJ14+ET14)-EK14)),0)</f>
        <v>0</v>
      </c>
      <c r="EW14" s="84" t="n">
        <f aca="false">EN14-EQ14-ET14-EV14</f>
        <v>0</v>
      </c>
      <c r="EX14" s="84" t="n">
        <f aca="false">EQ14+ET14+(1-$F14)*EW14</f>
        <v>5948.94256128</v>
      </c>
      <c r="EY14" s="84" t="n">
        <f aca="false">EV14+$F14*EW14</f>
        <v>0</v>
      </c>
      <c r="EZ14" s="84" t="n">
        <f aca="false">EJ14+ET14+(1-$F14)*EW14</f>
        <v>0</v>
      </c>
      <c r="FA14" s="84" t="n">
        <f aca="false">EK14+EY14</f>
        <v>0</v>
      </c>
      <c r="FB14" s="133" t="n">
        <f aca="false">EO14+$D14*Inputs!$J$13-$D14*$E14</f>
        <v>23495.77024512</v>
      </c>
      <c r="FC14" s="84" t="n">
        <f aca="false">FB14*(1+$I14)</f>
        <v>28194.924294144</v>
      </c>
      <c r="FD14" s="133" t="n">
        <f aca="false">FC14*Inputs!$J$14</f>
        <v>5638.9848588288</v>
      </c>
      <c r="FE14" s="84" t="n">
        <f aca="false">FC14-FD14</f>
        <v>22555.9394353152</v>
      </c>
      <c r="FF14" s="133" t="n">
        <f aca="false">ER14+$D14*Inputs!$J$13</f>
        <v>1171.10147072</v>
      </c>
      <c r="FG14" s="84" t="n">
        <f aca="false">MIN(FD14,FF14)</f>
        <v>1171.10147072</v>
      </c>
      <c r="FH14" s="84" t="n">
        <f aca="false">FF14-FG14</f>
        <v>0</v>
      </c>
      <c r="FI14" s="84" t="n">
        <f aca="false">EU14+$G14*(FF14+EU14)</f>
        <v>8690.02444291441</v>
      </c>
      <c r="FJ14" s="84" t="n">
        <f aca="false">MIN(FD14-FG14,FI14)</f>
        <v>4467.8833881088</v>
      </c>
      <c r="FK14" s="84" t="n">
        <f aca="false">FI14-FJ14</f>
        <v>4222.14105480561</v>
      </c>
      <c r="FL14" s="84" t="n">
        <f aca="false">IF($H14=1,MIN(FD14-FG14-FJ14,MAX(0,$F14/(1-$F14)*(EZ14+FJ14)-FA14)),0)</f>
        <v>0</v>
      </c>
      <c r="FM14" s="84" t="n">
        <f aca="false">FD14-FG14-FJ14-FL14</f>
        <v>0</v>
      </c>
      <c r="FN14" s="84" t="n">
        <f aca="false">FG14+FJ14+(1-$F14)*FM14</f>
        <v>5638.9848588288</v>
      </c>
      <c r="FO14" s="84" t="n">
        <f aca="false">FL14+$F14*FM14</f>
        <v>0</v>
      </c>
      <c r="FP14" s="84" t="n">
        <f aca="false">EZ14+FJ14+(1-$F14)*FM14</f>
        <v>4467.8833881088</v>
      </c>
      <c r="FQ14" s="84" t="n">
        <f aca="false">FA14+FO14</f>
        <v>0</v>
      </c>
      <c r="FR14" s="133" t="n">
        <f aca="false">FE14+$D14*Inputs!$K$13-$D14*$E14</f>
        <v>22255.9394353152</v>
      </c>
      <c r="FS14" s="84" t="n">
        <f aca="false">FR14*(1+$I14)</f>
        <v>26707.1273223782</v>
      </c>
      <c r="FT14" s="133" t="n">
        <f aca="false">FS14*Inputs!$K$14</f>
        <v>5341.42546447565</v>
      </c>
      <c r="FU14" s="84" t="n">
        <f aca="false">FS14-FT14</f>
        <v>21365.7018579026</v>
      </c>
      <c r="FV14" s="133" t="n">
        <f aca="false">FH14+$D14*Inputs!$K$13</f>
        <v>0</v>
      </c>
      <c r="FW14" s="84" t="n">
        <f aca="false">MIN(FT14,FV14)</f>
        <v>0</v>
      </c>
      <c r="FX14" s="84" t="n">
        <f aca="false">FV14-FW14</f>
        <v>0</v>
      </c>
      <c r="FY14" s="84" t="n">
        <f aca="false">FK14+$G14*(FV14+FK14)</f>
        <v>4559.91233919006</v>
      </c>
      <c r="FZ14" s="84" t="n">
        <f aca="false">MIN(FT14-FW14,FY14)</f>
        <v>4559.91233919006</v>
      </c>
      <c r="GA14" s="84" t="n">
        <f aca="false">FY14-FZ14</f>
        <v>0</v>
      </c>
      <c r="GB14" s="84" t="n">
        <f aca="false">IF($H14=1,MIN(FT14-FW14-FZ14,MAX(0,$F14/(1-$F14)*(FP14+FZ14)-FQ14)),0)</f>
        <v>0</v>
      </c>
      <c r="GC14" s="84" t="n">
        <f aca="false">FT14-FW14-FZ14-GB14</f>
        <v>781.513125285592</v>
      </c>
      <c r="GD14" s="84" t="n">
        <f aca="false">FW14+FZ14+(1-$F14)*GC14</f>
        <v>5185.12283941853</v>
      </c>
      <c r="GE14" s="84" t="n">
        <f aca="false">GB14+$F14*GC14</f>
        <v>156.302625057118</v>
      </c>
      <c r="GF14" s="84" t="n">
        <f aca="false">FP14+FZ14+(1-$F14)*GC14</f>
        <v>9653.00622752733</v>
      </c>
      <c r="GG14" s="84" t="n">
        <f aca="false">FQ14+GE14</f>
        <v>156.302625057118</v>
      </c>
      <c r="GH14" s="133" t="n">
        <f aca="false">FU14+$D14*Inputs!$L$13-$D14*$E14</f>
        <v>21065.7018579026</v>
      </c>
      <c r="GI14" s="84" t="n">
        <f aca="false">GH14*(1+$I14)</f>
        <v>25278.8422294831</v>
      </c>
      <c r="GJ14" s="133" t="n">
        <f aca="false">GI14*Inputs!$L$14</f>
        <v>25278.8422294831</v>
      </c>
      <c r="GK14" s="84" t="n">
        <f aca="false">GI14-GJ14</f>
        <v>0</v>
      </c>
      <c r="GL14" s="133" t="n">
        <f aca="false">FX14+$D14*Inputs!$L$13</f>
        <v>0</v>
      </c>
      <c r="GM14" s="84" t="n">
        <f aca="false">MIN(GJ14,GL14)</f>
        <v>0</v>
      </c>
      <c r="GN14" s="84" t="n">
        <f aca="false">GL14-GM14</f>
        <v>0</v>
      </c>
      <c r="GO14" s="84" t="n">
        <f aca="false">GA14+$G14*(GL14+GA14)</f>
        <v>0</v>
      </c>
      <c r="GP14" s="84" t="n">
        <f aca="false">MIN(GJ14-GM14,GO14)</f>
        <v>0</v>
      </c>
      <c r="GQ14" s="84" t="n">
        <f aca="false">GO14-GP14</f>
        <v>0</v>
      </c>
      <c r="GR14" s="84" t="n">
        <f aca="false">IF($H14=1,MIN(GJ14-GM14-GP14,MAX(0,$F14/(1-$F14)*(GF14+GP14)-GG14)),0)</f>
        <v>0</v>
      </c>
      <c r="GS14" s="84" t="n">
        <f aca="false">GJ14-GM14-GP14-GR14</f>
        <v>25278.8422294831</v>
      </c>
      <c r="GT14" s="84" t="n">
        <f aca="false">GM14+GP14+(1-$F14)*GS14</f>
        <v>20223.0737835865</v>
      </c>
      <c r="GU14" s="84" t="n">
        <f aca="false">GR14+$F14*GS14</f>
        <v>5055.76844589662</v>
      </c>
      <c r="GV14" s="84" t="n">
        <f aca="false">GF14+GP14+(1-$F14)*GS14</f>
        <v>29876.0800111138</v>
      </c>
      <c r="GW14" s="84" t="n">
        <f aca="false">GG14+GU14</f>
        <v>5212.07107095374</v>
      </c>
    </row>
    <row r="15" customFormat="false" ht="15" hidden="false" customHeight="false" outlineLevel="0" collapsed="false">
      <c r="A15" s="5" t="s">
        <v>626</v>
      </c>
      <c r="B15" s="5" t="s">
        <v>627</v>
      </c>
      <c r="D15" s="47" t="n">
        <f aca="false">Inputs!$C$6</f>
        <v>20000</v>
      </c>
      <c r="E15" s="35" t="n">
        <f aca="false">Inputs!$C$18</f>
        <v>0.015</v>
      </c>
      <c r="F15" s="36" t="n">
        <f aca="false">Inputs!$C$21</f>
        <v>0.15</v>
      </c>
      <c r="G15" s="30" t="n">
        <v>0</v>
      </c>
      <c r="H15" s="27" t="n">
        <v>0</v>
      </c>
      <c r="I15" s="132" t="n">
        <f aca="false">Inputs!$C$8</f>
        <v>0.2</v>
      </c>
      <c r="J15" s="36" t="n">
        <f aca="false">Inputs!$C$9</f>
        <v>0.15</v>
      </c>
      <c r="K15" s="89" t="n">
        <f aca="false">IRR(W15:AG15,0.1)</f>
        <v>0.162730298300162</v>
      </c>
      <c r="L15" s="45" t="n">
        <f aca="false">W15+NPV($J15,X15:AG15)</f>
        <v>1039.59057431364</v>
      </c>
      <c r="M15" s="45" t="n">
        <f aca="false">SUM(BF15,BV15,CL15,DB15,DR15,EH15,EX15,FN15,GD15,GT15)</f>
        <v>49824.9284197574</v>
      </c>
      <c r="N15" s="43" t="n">
        <f aca="false">IF($D15*SUM(Inputs!$C$13:$L$13)=0,0,M15/($D15*SUM(Inputs!$C$13:$L$13)))</f>
        <v>2.49124642098787</v>
      </c>
      <c r="O15" s="42" t="n">
        <f aca="false">$D15*$E15*COLUMNS(Inputs!$C$13:$L$13)</f>
        <v>3000</v>
      </c>
      <c r="P15" s="45" t="n">
        <f aca="false">SUM(BG15,BW15,CM15,DC15,DS15,EI15,EY15,FO15,GE15,GU15)</f>
        <v>5263.22266231013</v>
      </c>
      <c r="Q15" s="42" t="n">
        <f aca="false">PV($J15,COLUMNS(Inputs!$C$13:$L$13),-$D15*$E15,0,1)</f>
        <v>1731.47517591971</v>
      </c>
      <c r="R15" s="45" t="n">
        <f aca="false">NPV($J15,BG15,BW15,CM15,DC15,DS15,EI15,EY15,FO15,GE15,GU15)</f>
        <v>1384.12030181563</v>
      </c>
      <c r="S15" s="45" t="n">
        <f aca="false">Q15+R15</f>
        <v>3115.59547773534</v>
      </c>
      <c r="T15" s="32" t="n">
        <f aca="false">IF(S15=0,0,Q15/S15)</f>
        <v>0.555744540102581</v>
      </c>
      <c r="U15" s="45" t="n">
        <f aca="false">ROUND(ABS(GK15)+ABS(SUM(AV15,BL15,CB15,CR15,DH15,DX15,EN15,FD15,FT15,GJ15)-M15-P15)+ABS(S15-(AH15+NPV($J15,AI15:AR15))),6)</f>
        <v>0</v>
      </c>
      <c r="W15" s="133" t="n">
        <f aca="false">-$D15*Inputs!$C$13</f>
        <v>-4000</v>
      </c>
      <c r="X15" s="133" t="n">
        <f aca="false">BF15-$D15*Inputs!$D$13</f>
        <v>-4000</v>
      </c>
      <c r="Y15" s="133" t="n">
        <f aca="false">BV15-$D15*Inputs!$E$13</f>
        <v>-4000</v>
      </c>
      <c r="Z15" s="133" t="n">
        <f aca="false">CL15-$D15*Inputs!$F$13</f>
        <v>-4000</v>
      </c>
      <c r="AA15" s="133" t="n">
        <f aca="false">DB15-$D15*Inputs!$G$13</f>
        <v>-4000</v>
      </c>
      <c r="AB15" s="133" t="n">
        <f aca="false">DR15-$D15*Inputs!$H$13</f>
        <v>6608.1408</v>
      </c>
      <c r="AC15" s="133" t="n">
        <f aca="false">EH15-$D15*Inputs!$I$13</f>
        <v>6271.815168</v>
      </c>
      <c r="AD15" s="133" t="n">
        <f aca="false">EX15-$D15*Inputs!$J$13</f>
        <v>5948.94256128</v>
      </c>
      <c r="AE15" s="133" t="n">
        <f aca="false">FN15-$D15*Inputs!$K$13</f>
        <v>4968.80235061248</v>
      </c>
      <c r="AF15" s="133" t="n">
        <f aca="false">GD15-$D15*Inputs!$L$13</f>
        <v>4540.2116448043</v>
      </c>
      <c r="AG15" s="84" t="n">
        <f aca="false">GT15</f>
        <v>21487.0158950606</v>
      </c>
      <c r="AH15" s="84" t="n">
        <f aca="false">$D15*$E15</f>
        <v>300</v>
      </c>
      <c r="AI15" s="84" t="n">
        <f aca="false">BG15+$D15*$E15</f>
        <v>300</v>
      </c>
      <c r="AJ15" s="84" t="n">
        <f aca="false">BW15+$D15*$E15</f>
        <v>300</v>
      </c>
      <c r="AK15" s="84" t="n">
        <f aca="false">CM15+$D15*$E15</f>
        <v>300</v>
      </c>
      <c r="AL15" s="84" t="n">
        <f aca="false">DC15+$D15*$E15</f>
        <v>300</v>
      </c>
      <c r="AM15" s="84" t="n">
        <f aca="false">DS15+$D15*$E15</f>
        <v>300</v>
      </c>
      <c r="AN15" s="84" t="n">
        <f aca="false">EI15+$D15*$E15</f>
        <v>300</v>
      </c>
      <c r="AO15" s="84" t="n">
        <f aca="false">EY15+$D15*$E15</f>
        <v>300</v>
      </c>
      <c r="AP15" s="84" t="n">
        <f aca="false">FO15+$D15*$E15</f>
        <v>970.18250821632</v>
      </c>
      <c r="AQ15" s="84" t="n">
        <f aca="false">GE15+$D15*$E15</f>
        <v>1101.21381967135</v>
      </c>
      <c r="AR15" s="84" t="n">
        <f aca="false">GU15</f>
        <v>3791.82633442247</v>
      </c>
      <c r="AT15" s="133" t="n">
        <f aca="false">$D15*Inputs!$C$13-$D15*$E15</f>
        <v>3700</v>
      </c>
      <c r="AU15" s="84" t="n">
        <f aca="false">AT15*(1+$I15)</f>
        <v>4440</v>
      </c>
      <c r="AV15" s="133" t="n">
        <f aca="false">AU15*Inputs!$C$14</f>
        <v>0</v>
      </c>
      <c r="AW15" s="84" t="n">
        <f aca="false">AU15-AV15</f>
        <v>4440</v>
      </c>
      <c r="AX15" s="133" t="n">
        <f aca="false">$D15*Inputs!$C$13</f>
        <v>4000</v>
      </c>
      <c r="AY15" s="84" t="n">
        <f aca="false">MIN(AV15,AX15)</f>
        <v>0</v>
      </c>
      <c r="AZ15" s="84" t="n">
        <f aca="false">AX15-AY15</f>
        <v>4000</v>
      </c>
      <c r="BA15" s="84" t="n">
        <f aca="false">$G15*AX15</f>
        <v>0</v>
      </c>
      <c r="BB15" s="84" t="n">
        <f aca="false">MIN(AV15-AY15,BA15)</f>
        <v>0</v>
      </c>
      <c r="BC15" s="84" t="n">
        <f aca="false">BA15-BB15</f>
        <v>0</v>
      </c>
      <c r="BD15" s="84" t="n">
        <f aca="false">IF($H15=1,MIN(AV15-AY15-BB15,MAX(0,$F15/(1-$F15)*BB15)),0)</f>
        <v>0</v>
      </c>
      <c r="BE15" s="84" t="n">
        <f aca="false">AV15-AY15-BB15-BD15</f>
        <v>0</v>
      </c>
      <c r="BF15" s="84" t="n">
        <f aca="false">AY15+BB15+(1-$F15)*BE15</f>
        <v>0</v>
      </c>
      <c r="BG15" s="84" t="n">
        <f aca="false">BD15+$F15*BE15</f>
        <v>0</v>
      </c>
      <c r="BH15" s="84" t="n">
        <f aca="false">BB15+(1-$F15)*BE15</f>
        <v>0</v>
      </c>
      <c r="BI15" s="84" t="n">
        <f aca="false">BG15</f>
        <v>0</v>
      </c>
      <c r="BJ15" s="133" t="n">
        <f aca="false">AW15+$D15*Inputs!$D$13-$D15*$E15</f>
        <v>8140</v>
      </c>
      <c r="BK15" s="84" t="n">
        <f aca="false">BJ15*(1+$I15)</f>
        <v>9768</v>
      </c>
      <c r="BL15" s="133" t="n">
        <f aca="false">BK15*Inputs!$D$14</f>
        <v>0</v>
      </c>
      <c r="BM15" s="84" t="n">
        <f aca="false">BK15-BL15</f>
        <v>9768</v>
      </c>
      <c r="BN15" s="133" t="n">
        <f aca="false">AZ15+$D15*Inputs!$D$13</f>
        <v>8000</v>
      </c>
      <c r="BO15" s="84" t="n">
        <f aca="false">MIN(BL15,BN15)</f>
        <v>0</v>
      </c>
      <c r="BP15" s="84" t="n">
        <f aca="false">BN15-BO15</f>
        <v>8000</v>
      </c>
      <c r="BQ15" s="84" t="n">
        <f aca="false">BC15+$G15*(BN15+BC15)</f>
        <v>0</v>
      </c>
      <c r="BR15" s="84" t="n">
        <f aca="false">MIN(BL15-BO15,BQ15)</f>
        <v>0</v>
      </c>
      <c r="BS15" s="84" t="n">
        <f aca="false">BQ15-BR15</f>
        <v>0</v>
      </c>
      <c r="BT15" s="84" t="n">
        <f aca="false">IF($H15=1,MIN(BL15-BO15-BR15,MAX(0,$F15/(1-$F15)*(BH15+BR15)-BI15)),0)</f>
        <v>0</v>
      </c>
      <c r="BU15" s="84" t="n">
        <f aca="false">BL15-BO15-BR15-BT15</f>
        <v>0</v>
      </c>
      <c r="BV15" s="84" t="n">
        <f aca="false">BO15+BR15+(1-$F15)*BU15</f>
        <v>0</v>
      </c>
      <c r="BW15" s="84" t="n">
        <f aca="false">BT15+$F15*BU15</f>
        <v>0</v>
      </c>
      <c r="BX15" s="84" t="n">
        <f aca="false">BH15+BR15+(1-$F15)*BU15</f>
        <v>0</v>
      </c>
      <c r="BY15" s="84" t="n">
        <f aca="false">BI15+BW15</f>
        <v>0</v>
      </c>
      <c r="BZ15" s="133" t="n">
        <f aca="false">BM15+$D15*Inputs!$E$13-$D15*$E15</f>
        <v>13468</v>
      </c>
      <c r="CA15" s="84" t="n">
        <f aca="false">BZ15*(1+$I15)</f>
        <v>16161.6</v>
      </c>
      <c r="CB15" s="133" t="n">
        <f aca="false">CA15*Inputs!$E$14</f>
        <v>0</v>
      </c>
      <c r="CC15" s="84" t="n">
        <f aca="false">CA15-CB15</f>
        <v>16161.6</v>
      </c>
      <c r="CD15" s="133" t="n">
        <f aca="false">BP15+$D15*Inputs!$E$13</f>
        <v>12000</v>
      </c>
      <c r="CE15" s="84" t="n">
        <f aca="false">MIN(CB15,CD15)</f>
        <v>0</v>
      </c>
      <c r="CF15" s="84" t="n">
        <f aca="false">CD15-CE15</f>
        <v>12000</v>
      </c>
      <c r="CG15" s="84" t="n">
        <f aca="false">BS15+$G15*(CD15+BS15)</f>
        <v>0</v>
      </c>
      <c r="CH15" s="84" t="n">
        <f aca="false">MIN(CB15-CE15,CG15)</f>
        <v>0</v>
      </c>
      <c r="CI15" s="84" t="n">
        <f aca="false">CG15-CH15</f>
        <v>0</v>
      </c>
      <c r="CJ15" s="84" t="n">
        <f aca="false">IF($H15=1,MIN(CB15-CE15-CH15,MAX(0,$F15/(1-$F15)*(BX15+CH15)-BY15)),0)</f>
        <v>0</v>
      </c>
      <c r="CK15" s="84" t="n">
        <f aca="false">CB15-CE15-CH15-CJ15</f>
        <v>0</v>
      </c>
      <c r="CL15" s="84" t="n">
        <f aca="false">CE15+CH15+(1-$F15)*CK15</f>
        <v>0</v>
      </c>
      <c r="CM15" s="84" t="n">
        <f aca="false">CJ15+$F15*CK15</f>
        <v>0</v>
      </c>
      <c r="CN15" s="84" t="n">
        <f aca="false">BX15+CH15+(1-$F15)*CK15</f>
        <v>0</v>
      </c>
      <c r="CO15" s="84" t="n">
        <f aca="false">BY15+CM15</f>
        <v>0</v>
      </c>
      <c r="CP15" s="133" t="n">
        <f aca="false">CC15+$D15*Inputs!$F$13-$D15*$E15</f>
        <v>19861.6</v>
      </c>
      <c r="CQ15" s="84" t="n">
        <f aca="false">CP15*(1+$I15)</f>
        <v>23833.92</v>
      </c>
      <c r="CR15" s="133" t="n">
        <f aca="false">CQ15*Inputs!$F$14</f>
        <v>0</v>
      </c>
      <c r="CS15" s="84" t="n">
        <f aca="false">CQ15-CR15</f>
        <v>23833.92</v>
      </c>
      <c r="CT15" s="133" t="n">
        <f aca="false">CF15+$D15*Inputs!$F$13</f>
        <v>16000</v>
      </c>
      <c r="CU15" s="84" t="n">
        <f aca="false">MIN(CR15,CT15)</f>
        <v>0</v>
      </c>
      <c r="CV15" s="84" t="n">
        <f aca="false">CT15-CU15</f>
        <v>16000</v>
      </c>
      <c r="CW15" s="84" t="n">
        <f aca="false">CI15+$G15*(CT15+CI15)</f>
        <v>0</v>
      </c>
      <c r="CX15" s="84" t="n">
        <f aca="false">MIN(CR15-CU15,CW15)</f>
        <v>0</v>
      </c>
      <c r="CY15" s="84" t="n">
        <f aca="false">CW15-CX15</f>
        <v>0</v>
      </c>
      <c r="CZ15" s="84" t="n">
        <f aca="false">IF($H15=1,MIN(CR15-CU15-CX15,MAX(0,$F15/(1-$F15)*(CN15+CX15)-CO15)),0)</f>
        <v>0</v>
      </c>
      <c r="DA15" s="84" t="n">
        <f aca="false">CR15-CU15-CX15-CZ15</f>
        <v>0</v>
      </c>
      <c r="DB15" s="84" t="n">
        <f aca="false">CU15+CX15+(1-$F15)*DA15</f>
        <v>0</v>
      </c>
      <c r="DC15" s="84" t="n">
        <f aca="false">CZ15+$F15*DA15</f>
        <v>0</v>
      </c>
      <c r="DD15" s="84" t="n">
        <f aca="false">CN15+CX15+(1-$F15)*DA15</f>
        <v>0</v>
      </c>
      <c r="DE15" s="84" t="n">
        <f aca="false">CO15+DC15</f>
        <v>0</v>
      </c>
      <c r="DF15" s="133" t="n">
        <f aca="false">CS15+$D15*Inputs!$G$13-$D15*$E15</f>
        <v>27533.92</v>
      </c>
      <c r="DG15" s="84" t="n">
        <f aca="false">DF15*(1+$I15)</f>
        <v>33040.704</v>
      </c>
      <c r="DH15" s="133" t="n">
        <f aca="false">DG15*Inputs!$G$14</f>
        <v>6608.1408</v>
      </c>
      <c r="DI15" s="84" t="n">
        <f aca="false">DG15-DH15</f>
        <v>26432.5632</v>
      </c>
      <c r="DJ15" s="133" t="n">
        <f aca="false">CV15+$D15*Inputs!$G$13</f>
        <v>20000</v>
      </c>
      <c r="DK15" s="84" t="n">
        <f aca="false">MIN(DH15,DJ15)</f>
        <v>6608.1408</v>
      </c>
      <c r="DL15" s="84" t="n">
        <f aca="false">DJ15-DK15</f>
        <v>13391.8592</v>
      </c>
      <c r="DM15" s="84" t="n">
        <f aca="false">CY15+$G15*(DJ15+CY15)</f>
        <v>0</v>
      </c>
      <c r="DN15" s="84" t="n">
        <f aca="false">MIN(DH15-DK15,DM15)</f>
        <v>0</v>
      </c>
      <c r="DO15" s="84" t="n">
        <f aca="false">DM15-DN15</f>
        <v>0</v>
      </c>
      <c r="DP15" s="84" t="n">
        <f aca="false">IF($H15=1,MIN(DH15-DK15-DN15,MAX(0,$F15/(1-$F15)*(DD15+DN15)-DE15)),0)</f>
        <v>0</v>
      </c>
      <c r="DQ15" s="84" t="n">
        <f aca="false">DH15-DK15-DN15-DP15</f>
        <v>0</v>
      </c>
      <c r="DR15" s="84" t="n">
        <f aca="false">DK15+DN15+(1-$F15)*DQ15</f>
        <v>6608.1408</v>
      </c>
      <c r="DS15" s="84" t="n">
        <f aca="false">DP15+$F15*DQ15</f>
        <v>0</v>
      </c>
      <c r="DT15" s="84" t="n">
        <f aca="false">DD15+DN15+(1-$F15)*DQ15</f>
        <v>0</v>
      </c>
      <c r="DU15" s="84" t="n">
        <f aca="false">DE15+DS15</f>
        <v>0</v>
      </c>
      <c r="DV15" s="133" t="n">
        <f aca="false">DI15+$D15*Inputs!$H$13-$D15*$E15</f>
        <v>26132.5632</v>
      </c>
      <c r="DW15" s="84" t="n">
        <f aca="false">DV15*(1+$I15)</f>
        <v>31359.07584</v>
      </c>
      <c r="DX15" s="133" t="n">
        <f aca="false">DW15*Inputs!$H$14</f>
        <v>6271.815168</v>
      </c>
      <c r="DY15" s="84" t="n">
        <f aca="false">DW15-DX15</f>
        <v>25087.260672</v>
      </c>
      <c r="DZ15" s="133" t="n">
        <f aca="false">DL15+$D15*Inputs!$H$13</f>
        <v>13391.8592</v>
      </c>
      <c r="EA15" s="84" t="n">
        <f aca="false">MIN(DX15,DZ15)</f>
        <v>6271.815168</v>
      </c>
      <c r="EB15" s="84" t="n">
        <f aca="false">DZ15-EA15</f>
        <v>7120.044032</v>
      </c>
      <c r="EC15" s="84" t="n">
        <f aca="false">DO15+$G15*(DZ15+DO15)</f>
        <v>0</v>
      </c>
      <c r="ED15" s="84" t="n">
        <f aca="false">MIN(DX15-EA15,EC15)</f>
        <v>0</v>
      </c>
      <c r="EE15" s="84" t="n">
        <f aca="false">EC15-ED15</f>
        <v>0</v>
      </c>
      <c r="EF15" s="84" t="n">
        <f aca="false">IF($H15=1,MIN(DX15-EA15-ED15,MAX(0,$F15/(1-$F15)*(DT15+ED15)-DU15)),0)</f>
        <v>0</v>
      </c>
      <c r="EG15" s="84" t="n">
        <f aca="false">DX15-EA15-ED15-EF15</f>
        <v>0</v>
      </c>
      <c r="EH15" s="84" t="n">
        <f aca="false">EA15+ED15+(1-$F15)*EG15</f>
        <v>6271.815168</v>
      </c>
      <c r="EI15" s="84" t="n">
        <f aca="false">EF15+$F15*EG15</f>
        <v>0</v>
      </c>
      <c r="EJ15" s="84" t="n">
        <f aca="false">DT15+ED15+(1-$F15)*EG15</f>
        <v>0</v>
      </c>
      <c r="EK15" s="84" t="n">
        <f aca="false">DU15+EI15</f>
        <v>0</v>
      </c>
      <c r="EL15" s="133" t="n">
        <f aca="false">DY15+$D15*Inputs!$I$13-$D15*$E15</f>
        <v>24787.260672</v>
      </c>
      <c r="EM15" s="84" t="n">
        <f aca="false">EL15*(1+$I15)</f>
        <v>29744.7128064</v>
      </c>
      <c r="EN15" s="133" t="n">
        <f aca="false">EM15*Inputs!$I$14</f>
        <v>5948.94256128</v>
      </c>
      <c r="EO15" s="84" t="n">
        <f aca="false">EM15-EN15</f>
        <v>23795.77024512</v>
      </c>
      <c r="EP15" s="133" t="n">
        <f aca="false">EB15+$D15*Inputs!$I$13</f>
        <v>7120.044032</v>
      </c>
      <c r="EQ15" s="84" t="n">
        <f aca="false">MIN(EN15,EP15)</f>
        <v>5948.94256128</v>
      </c>
      <c r="ER15" s="84" t="n">
        <f aca="false">EP15-EQ15</f>
        <v>1171.10147072</v>
      </c>
      <c r="ES15" s="84" t="n">
        <f aca="false">EE15+$G15*(EP15+EE15)</f>
        <v>0</v>
      </c>
      <c r="ET15" s="84" t="n">
        <f aca="false">MIN(EN15-EQ15,ES15)</f>
        <v>0</v>
      </c>
      <c r="EU15" s="84" t="n">
        <f aca="false">ES15-ET15</f>
        <v>0</v>
      </c>
      <c r="EV15" s="84" t="n">
        <f aca="false">IF($H15=1,MIN(EN15-EQ15-ET15,MAX(0,$F15/(1-$F15)*(EJ15+ET15)-EK15)),0)</f>
        <v>0</v>
      </c>
      <c r="EW15" s="84" t="n">
        <f aca="false">EN15-EQ15-ET15-EV15</f>
        <v>0</v>
      </c>
      <c r="EX15" s="84" t="n">
        <f aca="false">EQ15+ET15+(1-$F15)*EW15</f>
        <v>5948.94256128</v>
      </c>
      <c r="EY15" s="84" t="n">
        <f aca="false">EV15+$F15*EW15</f>
        <v>0</v>
      </c>
      <c r="EZ15" s="84" t="n">
        <f aca="false">EJ15+ET15+(1-$F15)*EW15</f>
        <v>0</v>
      </c>
      <c r="FA15" s="84" t="n">
        <f aca="false">EK15+EY15</f>
        <v>0</v>
      </c>
      <c r="FB15" s="133" t="n">
        <f aca="false">EO15+$D15*Inputs!$J$13-$D15*$E15</f>
        <v>23495.77024512</v>
      </c>
      <c r="FC15" s="84" t="n">
        <f aca="false">FB15*(1+$I15)</f>
        <v>28194.924294144</v>
      </c>
      <c r="FD15" s="133" t="n">
        <f aca="false">FC15*Inputs!$J$14</f>
        <v>5638.9848588288</v>
      </c>
      <c r="FE15" s="84" t="n">
        <f aca="false">FC15-FD15</f>
        <v>22555.9394353152</v>
      </c>
      <c r="FF15" s="133" t="n">
        <f aca="false">ER15+$D15*Inputs!$J$13</f>
        <v>1171.10147072</v>
      </c>
      <c r="FG15" s="84" t="n">
        <f aca="false">MIN(FD15,FF15)</f>
        <v>1171.10147072</v>
      </c>
      <c r="FH15" s="84" t="n">
        <f aca="false">FF15-FG15</f>
        <v>0</v>
      </c>
      <c r="FI15" s="84" t="n">
        <f aca="false">EU15+$G15*(FF15+EU15)</f>
        <v>0</v>
      </c>
      <c r="FJ15" s="84" t="n">
        <f aca="false">MIN(FD15-FG15,FI15)</f>
        <v>0</v>
      </c>
      <c r="FK15" s="84" t="n">
        <f aca="false">FI15-FJ15</f>
        <v>0</v>
      </c>
      <c r="FL15" s="84" t="n">
        <f aca="false">IF($H15=1,MIN(FD15-FG15-FJ15,MAX(0,$F15/(1-$F15)*(EZ15+FJ15)-FA15)),0)</f>
        <v>0</v>
      </c>
      <c r="FM15" s="84" t="n">
        <f aca="false">FD15-FG15-FJ15-FL15</f>
        <v>4467.8833881088</v>
      </c>
      <c r="FN15" s="84" t="n">
        <f aca="false">FG15+FJ15+(1-$F15)*FM15</f>
        <v>4968.80235061248</v>
      </c>
      <c r="FO15" s="84" t="n">
        <f aca="false">FL15+$F15*FM15</f>
        <v>670.18250821632</v>
      </c>
      <c r="FP15" s="84" t="n">
        <f aca="false">EZ15+FJ15+(1-$F15)*FM15</f>
        <v>3797.70087989248</v>
      </c>
      <c r="FQ15" s="84" t="n">
        <f aca="false">FA15+FO15</f>
        <v>670.18250821632</v>
      </c>
      <c r="FR15" s="133" t="n">
        <f aca="false">FE15+$D15*Inputs!$K$13-$D15*$E15</f>
        <v>22255.9394353152</v>
      </c>
      <c r="FS15" s="84" t="n">
        <f aca="false">FR15*(1+$I15)</f>
        <v>26707.1273223782</v>
      </c>
      <c r="FT15" s="133" t="n">
        <f aca="false">FS15*Inputs!$K$14</f>
        <v>5341.42546447565</v>
      </c>
      <c r="FU15" s="84" t="n">
        <f aca="false">FS15-FT15</f>
        <v>21365.7018579026</v>
      </c>
      <c r="FV15" s="133" t="n">
        <f aca="false">FH15+$D15*Inputs!$K$13</f>
        <v>0</v>
      </c>
      <c r="FW15" s="84" t="n">
        <f aca="false">MIN(FT15,FV15)</f>
        <v>0</v>
      </c>
      <c r="FX15" s="84" t="n">
        <f aca="false">FV15-FW15</f>
        <v>0</v>
      </c>
      <c r="FY15" s="84" t="n">
        <f aca="false">FK15+$G15*(FV15+FK15)</f>
        <v>0</v>
      </c>
      <c r="FZ15" s="84" t="n">
        <f aca="false">MIN(FT15-FW15,FY15)</f>
        <v>0</v>
      </c>
      <c r="GA15" s="84" t="n">
        <f aca="false">FY15-FZ15</f>
        <v>0</v>
      </c>
      <c r="GB15" s="84" t="n">
        <f aca="false">IF($H15=1,MIN(FT15-FW15-FZ15,MAX(0,$F15/(1-$F15)*(FP15+FZ15)-FQ15)),0)</f>
        <v>0</v>
      </c>
      <c r="GC15" s="84" t="n">
        <f aca="false">FT15-FW15-FZ15-GB15</f>
        <v>5341.42546447565</v>
      </c>
      <c r="GD15" s="84" t="n">
        <f aca="false">FW15+FZ15+(1-$F15)*GC15</f>
        <v>4540.2116448043</v>
      </c>
      <c r="GE15" s="84" t="n">
        <f aca="false">GB15+$F15*GC15</f>
        <v>801.213819671347</v>
      </c>
      <c r="GF15" s="84" t="n">
        <f aca="false">FP15+FZ15+(1-$F15)*GC15</f>
        <v>8337.91252469678</v>
      </c>
      <c r="GG15" s="84" t="n">
        <f aca="false">FQ15+GE15</f>
        <v>1471.39632788767</v>
      </c>
      <c r="GH15" s="133" t="n">
        <f aca="false">FU15+$D15*Inputs!$L$13-$D15*$E15</f>
        <v>21065.7018579026</v>
      </c>
      <c r="GI15" s="84" t="n">
        <f aca="false">GH15*(1+$I15)</f>
        <v>25278.8422294831</v>
      </c>
      <c r="GJ15" s="133" t="n">
        <f aca="false">GI15*Inputs!$L$14</f>
        <v>25278.8422294831</v>
      </c>
      <c r="GK15" s="84" t="n">
        <f aca="false">GI15-GJ15</f>
        <v>0</v>
      </c>
      <c r="GL15" s="133" t="n">
        <f aca="false">FX15+$D15*Inputs!$L$13</f>
        <v>0</v>
      </c>
      <c r="GM15" s="84" t="n">
        <f aca="false">MIN(GJ15,GL15)</f>
        <v>0</v>
      </c>
      <c r="GN15" s="84" t="n">
        <f aca="false">GL15-GM15</f>
        <v>0</v>
      </c>
      <c r="GO15" s="84" t="n">
        <f aca="false">GA15+$G15*(GL15+GA15)</f>
        <v>0</v>
      </c>
      <c r="GP15" s="84" t="n">
        <f aca="false">MIN(GJ15-GM15,GO15)</f>
        <v>0</v>
      </c>
      <c r="GQ15" s="84" t="n">
        <f aca="false">GO15-GP15</f>
        <v>0</v>
      </c>
      <c r="GR15" s="84" t="n">
        <f aca="false">IF($H15=1,MIN(GJ15-GM15-GP15,MAX(0,$F15/(1-$F15)*(GF15+GP15)-GG15)),0)</f>
        <v>0</v>
      </c>
      <c r="GS15" s="84" t="n">
        <f aca="false">GJ15-GM15-GP15-GR15</f>
        <v>25278.8422294831</v>
      </c>
      <c r="GT15" s="84" t="n">
        <f aca="false">GM15+GP15+(1-$F15)*GS15</f>
        <v>21487.0158950606</v>
      </c>
      <c r="GU15" s="84" t="n">
        <f aca="false">GR15+$F15*GS15</f>
        <v>3791.82633442247</v>
      </c>
      <c r="GV15" s="84" t="n">
        <f aca="false">GF15+GP15+(1-$F15)*GS15</f>
        <v>29824.9284197574</v>
      </c>
      <c r="GW15" s="84" t="n">
        <f aca="false">GG15+GU15</f>
        <v>5263.22266231013</v>
      </c>
    </row>
    <row r="16" customFormat="false" ht="15" hidden="false" customHeight="false" outlineLevel="0" collapsed="false">
      <c r="A16" s="5" t="s">
        <v>628</v>
      </c>
      <c r="B16" s="5" t="s">
        <v>629</v>
      </c>
      <c r="D16" s="47" t="n">
        <f aca="false">Inputs!$C$6</f>
        <v>20000</v>
      </c>
      <c r="E16" s="134" t="n">
        <v>0</v>
      </c>
      <c r="F16" s="30" t="n">
        <v>0</v>
      </c>
      <c r="G16" s="30" t="n">
        <v>0</v>
      </c>
      <c r="H16" s="27" t="n">
        <v>0</v>
      </c>
      <c r="I16" s="132" t="n">
        <f aca="false">Inputs!$C$8</f>
        <v>0.2</v>
      </c>
      <c r="J16" s="36" t="n">
        <f aca="false">Inputs!$C$9</f>
        <v>0.15</v>
      </c>
      <c r="K16" s="89" t="n">
        <f aca="false">IRR(W16:AG16,0.1)</f>
        <v>0.19999999999999</v>
      </c>
      <c r="L16" s="45" t="n">
        <f aca="false">W16+NPV($J16,X16:AG16)</f>
        <v>4562.19116284324</v>
      </c>
      <c r="M16" s="45" t="n">
        <f aca="false">SUM(BF16,BV16,CL16,DB16,DR16,EH16,EX16,FN16,GD16,GT16)</f>
        <v>62098.9926439649</v>
      </c>
      <c r="N16" s="43" t="n">
        <f aca="false">IF($D16*SUM(Inputs!$C$13:$L$13)=0,0,M16/($D16*SUM(Inputs!$C$13:$L$13)))</f>
        <v>3.10494963219825</v>
      </c>
      <c r="O16" s="42" t="n">
        <f aca="false">$D16*$E16*COLUMNS(Inputs!$C$13:$L$13)</f>
        <v>0</v>
      </c>
      <c r="P16" s="45" t="n">
        <f aca="false">SUM(BG16,BW16,CM16,DC16,DS16,EI16,EY16,FO16,GE16,GU16)</f>
        <v>0</v>
      </c>
      <c r="Q16" s="42" t="n">
        <f aca="false">PV($J16,COLUMNS(Inputs!$C$13:$L$13),-$D16*$E16,0,1)</f>
        <v>-0</v>
      </c>
      <c r="R16" s="45" t="n">
        <f aca="false">NPV($J16,BG16,BW16,CM16,DC16,DS16,EI16,EY16,FO16,GE16,GU16)</f>
        <v>0</v>
      </c>
      <c r="S16" s="45" t="n">
        <f aca="false">Q16+R16</f>
        <v>0</v>
      </c>
      <c r="T16" s="32" t="n">
        <f aca="false">IF(S16=0,0,Q16/S16)</f>
        <v>0</v>
      </c>
      <c r="U16" s="45" t="n">
        <f aca="false">ROUND(ABS(GK16)+ABS(SUM(AV16,BL16,CB16,CR16,DH16,DX16,EN16,FD16,FT16,GJ16)-M16-P16)+ABS(S16-(AH16+NPV($J16,AI16:AR16))),6)</f>
        <v>0</v>
      </c>
      <c r="W16" s="133" t="n">
        <f aca="false">-$D16*Inputs!$C$13</f>
        <v>-4000</v>
      </c>
      <c r="X16" s="133" t="n">
        <f aca="false">BF16-$D16*Inputs!$D$13</f>
        <v>-4000</v>
      </c>
      <c r="Y16" s="133" t="n">
        <f aca="false">BV16-$D16*Inputs!$E$13</f>
        <v>-4000</v>
      </c>
      <c r="Z16" s="133" t="n">
        <f aca="false">CL16-$D16*Inputs!$F$13</f>
        <v>-4000</v>
      </c>
      <c r="AA16" s="133" t="n">
        <f aca="false">DB16-$D16*Inputs!$G$13</f>
        <v>-4000</v>
      </c>
      <c r="AB16" s="133" t="n">
        <f aca="false">DR16-$D16*Inputs!$H$13</f>
        <v>7143.936</v>
      </c>
      <c r="AC16" s="133" t="n">
        <f aca="false">EH16-$D16*Inputs!$I$13</f>
        <v>6858.17856</v>
      </c>
      <c r="AD16" s="133" t="n">
        <f aca="false">EX16-$D16*Inputs!$J$13</f>
        <v>6583.8514176</v>
      </c>
      <c r="AE16" s="133" t="n">
        <f aca="false">FN16-$D16*Inputs!$K$13</f>
        <v>6320.497360896</v>
      </c>
      <c r="AF16" s="133" t="n">
        <f aca="false">GD16-$D16*Inputs!$L$13</f>
        <v>6067.67746646016</v>
      </c>
      <c r="AG16" s="84" t="n">
        <f aca="false">GT16</f>
        <v>29124.8518390088</v>
      </c>
      <c r="AH16" s="84" t="n">
        <f aca="false">$D16*$E16</f>
        <v>0</v>
      </c>
      <c r="AI16" s="84" t="n">
        <f aca="false">BG16+$D16*$E16</f>
        <v>0</v>
      </c>
      <c r="AJ16" s="84" t="n">
        <f aca="false">BW16+$D16*$E16</f>
        <v>0</v>
      </c>
      <c r="AK16" s="84" t="n">
        <f aca="false">CM16+$D16*$E16</f>
        <v>0</v>
      </c>
      <c r="AL16" s="84" t="n">
        <f aca="false">DC16+$D16*$E16</f>
        <v>0</v>
      </c>
      <c r="AM16" s="84" t="n">
        <f aca="false">DS16+$D16*$E16</f>
        <v>0</v>
      </c>
      <c r="AN16" s="84" t="n">
        <f aca="false">EI16+$D16*$E16</f>
        <v>0</v>
      </c>
      <c r="AO16" s="84" t="n">
        <f aca="false">EY16+$D16*$E16</f>
        <v>0</v>
      </c>
      <c r="AP16" s="84" t="n">
        <f aca="false">FO16+$D16*$E16</f>
        <v>0</v>
      </c>
      <c r="AQ16" s="84" t="n">
        <f aca="false">GE16+$D16*$E16</f>
        <v>0</v>
      </c>
      <c r="AR16" s="84" t="n">
        <f aca="false">GU16</f>
        <v>0</v>
      </c>
      <c r="AT16" s="133" t="n">
        <f aca="false">$D16*Inputs!$C$13-$D16*$E16</f>
        <v>4000</v>
      </c>
      <c r="AU16" s="84" t="n">
        <f aca="false">AT16*(1+$I16)</f>
        <v>4800</v>
      </c>
      <c r="AV16" s="133" t="n">
        <f aca="false">AU16*Inputs!$C$14</f>
        <v>0</v>
      </c>
      <c r="AW16" s="84" t="n">
        <f aca="false">AU16-AV16</f>
        <v>4800</v>
      </c>
      <c r="AX16" s="133" t="n">
        <f aca="false">$D16*Inputs!$C$13</f>
        <v>4000</v>
      </c>
      <c r="AY16" s="84" t="n">
        <f aca="false">MIN(AV16,AX16)</f>
        <v>0</v>
      </c>
      <c r="AZ16" s="84" t="n">
        <f aca="false">AX16-AY16</f>
        <v>4000</v>
      </c>
      <c r="BA16" s="84" t="n">
        <f aca="false">$G16*AX16</f>
        <v>0</v>
      </c>
      <c r="BB16" s="84" t="n">
        <f aca="false">MIN(AV16-AY16,BA16)</f>
        <v>0</v>
      </c>
      <c r="BC16" s="84" t="n">
        <f aca="false">BA16-BB16</f>
        <v>0</v>
      </c>
      <c r="BD16" s="84" t="n">
        <f aca="false">IF($H16=1,MIN(AV16-AY16-BB16,MAX(0,$F16/(1-$F16)*BB16)),0)</f>
        <v>0</v>
      </c>
      <c r="BE16" s="84" t="n">
        <f aca="false">AV16-AY16-BB16-BD16</f>
        <v>0</v>
      </c>
      <c r="BF16" s="84" t="n">
        <f aca="false">AY16+BB16+(1-$F16)*BE16</f>
        <v>0</v>
      </c>
      <c r="BG16" s="84" t="n">
        <f aca="false">BD16+$F16*BE16</f>
        <v>0</v>
      </c>
      <c r="BH16" s="84" t="n">
        <f aca="false">BB16+(1-$F16)*BE16</f>
        <v>0</v>
      </c>
      <c r="BI16" s="84" t="n">
        <f aca="false">BG16</f>
        <v>0</v>
      </c>
      <c r="BJ16" s="133" t="n">
        <f aca="false">AW16+$D16*Inputs!$D$13-$D16*$E16</f>
        <v>8800</v>
      </c>
      <c r="BK16" s="84" t="n">
        <f aca="false">BJ16*(1+$I16)</f>
        <v>10560</v>
      </c>
      <c r="BL16" s="133" t="n">
        <f aca="false">BK16*Inputs!$D$14</f>
        <v>0</v>
      </c>
      <c r="BM16" s="84" t="n">
        <f aca="false">BK16-BL16</f>
        <v>10560</v>
      </c>
      <c r="BN16" s="133" t="n">
        <f aca="false">AZ16+$D16*Inputs!$D$13</f>
        <v>8000</v>
      </c>
      <c r="BO16" s="84" t="n">
        <f aca="false">MIN(BL16,BN16)</f>
        <v>0</v>
      </c>
      <c r="BP16" s="84" t="n">
        <f aca="false">BN16-BO16</f>
        <v>8000</v>
      </c>
      <c r="BQ16" s="84" t="n">
        <f aca="false">BC16+$G16*(BN16+BC16)</f>
        <v>0</v>
      </c>
      <c r="BR16" s="84" t="n">
        <f aca="false">MIN(BL16-BO16,BQ16)</f>
        <v>0</v>
      </c>
      <c r="BS16" s="84" t="n">
        <f aca="false">BQ16-BR16</f>
        <v>0</v>
      </c>
      <c r="BT16" s="84" t="n">
        <f aca="false">IF($H16=1,MIN(BL16-BO16-BR16,MAX(0,$F16/(1-$F16)*(BH16+BR16)-BI16)),0)</f>
        <v>0</v>
      </c>
      <c r="BU16" s="84" t="n">
        <f aca="false">BL16-BO16-BR16-BT16</f>
        <v>0</v>
      </c>
      <c r="BV16" s="84" t="n">
        <f aca="false">BO16+BR16+(1-$F16)*BU16</f>
        <v>0</v>
      </c>
      <c r="BW16" s="84" t="n">
        <f aca="false">BT16+$F16*BU16</f>
        <v>0</v>
      </c>
      <c r="BX16" s="84" t="n">
        <f aca="false">BH16+BR16+(1-$F16)*BU16</f>
        <v>0</v>
      </c>
      <c r="BY16" s="84" t="n">
        <f aca="false">BI16+BW16</f>
        <v>0</v>
      </c>
      <c r="BZ16" s="133" t="n">
        <f aca="false">BM16+$D16*Inputs!$E$13-$D16*$E16</f>
        <v>14560</v>
      </c>
      <c r="CA16" s="84" t="n">
        <f aca="false">BZ16*(1+$I16)</f>
        <v>17472</v>
      </c>
      <c r="CB16" s="133" t="n">
        <f aca="false">CA16*Inputs!$E$14</f>
        <v>0</v>
      </c>
      <c r="CC16" s="84" t="n">
        <f aca="false">CA16-CB16</f>
        <v>17472</v>
      </c>
      <c r="CD16" s="133" t="n">
        <f aca="false">BP16+$D16*Inputs!$E$13</f>
        <v>12000</v>
      </c>
      <c r="CE16" s="84" t="n">
        <f aca="false">MIN(CB16,CD16)</f>
        <v>0</v>
      </c>
      <c r="CF16" s="84" t="n">
        <f aca="false">CD16-CE16</f>
        <v>12000</v>
      </c>
      <c r="CG16" s="84" t="n">
        <f aca="false">BS16+$G16*(CD16+BS16)</f>
        <v>0</v>
      </c>
      <c r="CH16" s="84" t="n">
        <f aca="false">MIN(CB16-CE16,CG16)</f>
        <v>0</v>
      </c>
      <c r="CI16" s="84" t="n">
        <f aca="false">CG16-CH16</f>
        <v>0</v>
      </c>
      <c r="CJ16" s="84" t="n">
        <f aca="false">IF($H16=1,MIN(CB16-CE16-CH16,MAX(0,$F16/(1-$F16)*(BX16+CH16)-BY16)),0)</f>
        <v>0</v>
      </c>
      <c r="CK16" s="84" t="n">
        <f aca="false">CB16-CE16-CH16-CJ16</f>
        <v>0</v>
      </c>
      <c r="CL16" s="84" t="n">
        <f aca="false">CE16+CH16+(1-$F16)*CK16</f>
        <v>0</v>
      </c>
      <c r="CM16" s="84" t="n">
        <f aca="false">CJ16+$F16*CK16</f>
        <v>0</v>
      </c>
      <c r="CN16" s="84" t="n">
        <f aca="false">BX16+CH16+(1-$F16)*CK16</f>
        <v>0</v>
      </c>
      <c r="CO16" s="84" t="n">
        <f aca="false">BY16+CM16</f>
        <v>0</v>
      </c>
      <c r="CP16" s="133" t="n">
        <f aca="false">CC16+$D16*Inputs!$F$13-$D16*$E16</f>
        <v>21472</v>
      </c>
      <c r="CQ16" s="84" t="n">
        <f aca="false">CP16*(1+$I16)</f>
        <v>25766.4</v>
      </c>
      <c r="CR16" s="133" t="n">
        <f aca="false">CQ16*Inputs!$F$14</f>
        <v>0</v>
      </c>
      <c r="CS16" s="84" t="n">
        <f aca="false">CQ16-CR16</f>
        <v>25766.4</v>
      </c>
      <c r="CT16" s="133" t="n">
        <f aca="false">CF16+$D16*Inputs!$F$13</f>
        <v>16000</v>
      </c>
      <c r="CU16" s="84" t="n">
        <f aca="false">MIN(CR16,CT16)</f>
        <v>0</v>
      </c>
      <c r="CV16" s="84" t="n">
        <f aca="false">CT16-CU16</f>
        <v>16000</v>
      </c>
      <c r="CW16" s="84" t="n">
        <f aca="false">CI16+$G16*(CT16+CI16)</f>
        <v>0</v>
      </c>
      <c r="CX16" s="84" t="n">
        <f aca="false">MIN(CR16-CU16,CW16)</f>
        <v>0</v>
      </c>
      <c r="CY16" s="84" t="n">
        <f aca="false">CW16-CX16</f>
        <v>0</v>
      </c>
      <c r="CZ16" s="84" t="n">
        <f aca="false">IF($H16=1,MIN(CR16-CU16-CX16,MAX(0,$F16/(1-$F16)*(CN16+CX16)-CO16)),0)</f>
        <v>0</v>
      </c>
      <c r="DA16" s="84" t="n">
        <f aca="false">CR16-CU16-CX16-CZ16</f>
        <v>0</v>
      </c>
      <c r="DB16" s="84" t="n">
        <f aca="false">CU16+CX16+(1-$F16)*DA16</f>
        <v>0</v>
      </c>
      <c r="DC16" s="84" t="n">
        <f aca="false">CZ16+$F16*DA16</f>
        <v>0</v>
      </c>
      <c r="DD16" s="84" t="n">
        <f aca="false">CN16+CX16+(1-$F16)*DA16</f>
        <v>0</v>
      </c>
      <c r="DE16" s="84" t="n">
        <f aca="false">CO16+DC16</f>
        <v>0</v>
      </c>
      <c r="DF16" s="133" t="n">
        <f aca="false">CS16+$D16*Inputs!$G$13-$D16*$E16</f>
        <v>29766.4</v>
      </c>
      <c r="DG16" s="84" t="n">
        <f aca="false">DF16*(1+$I16)</f>
        <v>35719.68</v>
      </c>
      <c r="DH16" s="133" t="n">
        <f aca="false">DG16*Inputs!$G$14</f>
        <v>7143.936</v>
      </c>
      <c r="DI16" s="84" t="n">
        <f aca="false">DG16-DH16</f>
        <v>28575.744</v>
      </c>
      <c r="DJ16" s="133" t="n">
        <f aca="false">CV16+$D16*Inputs!$G$13</f>
        <v>20000</v>
      </c>
      <c r="DK16" s="84" t="n">
        <f aca="false">MIN(DH16,DJ16)</f>
        <v>7143.936</v>
      </c>
      <c r="DL16" s="84" t="n">
        <f aca="false">DJ16-DK16</f>
        <v>12856.064</v>
      </c>
      <c r="DM16" s="84" t="n">
        <f aca="false">CY16+$G16*(DJ16+CY16)</f>
        <v>0</v>
      </c>
      <c r="DN16" s="84" t="n">
        <f aca="false">MIN(DH16-DK16,DM16)</f>
        <v>0</v>
      </c>
      <c r="DO16" s="84" t="n">
        <f aca="false">DM16-DN16</f>
        <v>0</v>
      </c>
      <c r="DP16" s="84" t="n">
        <f aca="false">IF($H16=1,MIN(DH16-DK16-DN16,MAX(0,$F16/(1-$F16)*(DD16+DN16)-DE16)),0)</f>
        <v>0</v>
      </c>
      <c r="DQ16" s="84" t="n">
        <f aca="false">DH16-DK16-DN16-DP16</f>
        <v>0</v>
      </c>
      <c r="DR16" s="84" t="n">
        <f aca="false">DK16+DN16+(1-$F16)*DQ16</f>
        <v>7143.936</v>
      </c>
      <c r="DS16" s="84" t="n">
        <f aca="false">DP16+$F16*DQ16</f>
        <v>0</v>
      </c>
      <c r="DT16" s="84" t="n">
        <f aca="false">DD16+DN16+(1-$F16)*DQ16</f>
        <v>0</v>
      </c>
      <c r="DU16" s="84" t="n">
        <f aca="false">DE16+DS16</f>
        <v>0</v>
      </c>
      <c r="DV16" s="133" t="n">
        <f aca="false">DI16+$D16*Inputs!$H$13-$D16*$E16</f>
        <v>28575.744</v>
      </c>
      <c r="DW16" s="84" t="n">
        <f aca="false">DV16*(1+$I16)</f>
        <v>34290.8928</v>
      </c>
      <c r="DX16" s="133" t="n">
        <f aca="false">DW16*Inputs!$H$14</f>
        <v>6858.17856</v>
      </c>
      <c r="DY16" s="84" t="n">
        <f aca="false">DW16-DX16</f>
        <v>27432.71424</v>
      </c>
      <c r="DZ16" s="133" t="n">
        <f aca="false">DL16+$D16*Inputs!$H$13</f>
        <v>12856.064</v>
      </c>
      <c r="EA16" s="84" t="n">
        <f aca="false">MIN(DX16,DZ16)</f>
        <v>6858.17856</v>
      </c>
      <c r="EB16" s="84" t="n">
        <f aca="false">DZ16-EA16</f>
        <v>5997.88544</v>
      </c>
      <c r="EC16" s="84" t="n">
        <f aca="false">DO16+$G16*(DZ16+DO16)</f>
        <v>0</v>
      </c>
      <c r="ED16" s="84" t="n">
        <f aca="false">MIN(DX16-EA16,EC16)</f>
        <v>0</v>
      </c>
      <c r="EE16" s="84" t="n">
        <f aca="false">EC16-ED16</f>
        <v>0</v>
      </c>
      <c r="EF16" s="84" t="n">
        <f aca="false">IF($H16=1,MIN(DX16-EA16-ED16,MAX(0,$F16/(1-$F16)*(DT16+ED16)-DU16)),0)</f>
        <v>0</v>
      </c>
      <c r="EG16" s="84" t="n">
        <f aca="false">DX16-EA16-ED16-EF16</f>
        <v>0</v>
      </c>
      <c r="EH16" s="84" t="n">
        <f aca="false">EA16+ED16+(1-$F16)*EG16</f>
        <v>6858.17856</v>
      </c>
      <c r="EI16" s="84" t="n">
        <f aca="false">EF16+$F16*EG16</f>
        <v>0</v>
      </c>
      <c r="EJ16" s="84" t="n">
        <f aca="false">DT16+ED16+(1-$F16)*EG16</f>
        <v>0</v>
      </c>
      <c r="EK16" s="84" t="n">
        <f aca="false">DU16+EI16</f>
        <v>0</v>
      </c>
      <c r="EL16" s="133" t="n">
        <f aca="false">DY16+$D16*Inputs!$I$13-$D16*$E16</f>
        <v>27432.71424</v>
      </c>
      <c r="EM16" s="84" t="n">
        <f aca="false">EL16*(1+$I16)</f>
        <v>32919.257088</v>
      </c>
      <c r="EN16" s="133" t="n">
        <f aca="false">EM16*Inputs!$I$14</f>
        <v>6583.8514176</v>
      </c>
      <c r="EO16" s="84" t="n">
        <f aca="false">EM16-EN16</f>
        <v>26335.4056704</v>
      </c>
      <c r="EP16" s="133" t="n">
        <f aca="false">EB16+$D16*Inputs!$I$13</f>
        <v>5997.88544</v>
      </c>
      <c r="EQ16" s="84" t="n">
        <f aca="false">MIN(EN16,EP16)</f>
        <v>5997.88544</v>
      </c>
      <c r="ER16" s="84" t="n">
        <f aca="false">EP16-EQ16</f>
        <v>0</v>
      </c>
      <c r="ES16" s="84" t="n">
        <f aca="false">EE16+$G16*(EP16+EE16)</f>
        <v>0</v>
      </c>
      <c r="ET16" s="84" t="n">
        <f aca="false">MIN(EN16-EQ16,ES16)</f>
        <v>0</v>
      </c>
      <c r="EU16" s="84" t="n">
        <f aca="false">ES16-ET16</f>
        <v>0</v>
      </c>
      <c r="EV16" s="84" t="n">
        <f aca="false">IF($H16=1,MIN(EN16-EQ16-ET16,MAX(0,$F16/(1-$F16)*(EJ16+ET16)-EK16)),0)</f>
        <v>0</v>
      </c>
      <c r="EW16" s="84" t="n">
        <f aca="false">EN16-EQ16-ET16-EV16</f>
        <v>585.965977599996</v>
      </c>
      <c r="EX16" s="84" t="n">
        <f aca="false">EQ16+ET16+(1-$F16)*EW16</f>
        <v>6583.8514176</v>
      </c>
      <c r="EY16" s="84" t="n">
        <f aca="false">EV16+$F16*EW16</f>
        <v>0</v>
      </c>
      <c r="EZ16" s="84" t="n">
        <f aca="false">EJ16+ET16+(1-$F16)*EW16</f>
        <v>585.965977599996</v>
      </c>
      <c r="FA16" s="84" t="n">
        <f aca="false">EK16+EY16</f>
        <v>0</v>
      </c>
      <c r="FB16" s="133" t="n">
        <f aca="false">EO16+$D16*Inputs!$J$13-$D16*$E16</f>
        <v>26335.4056704</v>
      </c>
      <c r="FC16" s="84" t="n">
        <f aca="false">FB16*(1+$I16)</f>
        <v>31602.48680448</v>
      </c>
      <c r="FD16" s="133" t="n">
        <f aca="false">FC16*Inputs!$J$14</f>
        <v>6320.497360896</v>
      </c>
      <c r="FE16" s="84" t="n">
        <f aca="false">FC16-FD16</f>
        <v>25281.989443584</v>
      </c>
      <c r="FF16" s="133" t="n">
        <f aca="false">ER16+$D16*Inputs!$J$13</f>
        <v>0</v>
      </c>
      <c r="FG16" s="84" t="n">
        <f aca="false">MIN(FD16,FF16)</f>
        <v>0</v>
      </c>
      <c r="FH16" s="84" t="n">
        <f aca="false">FF16-FG16</f>
        <v>0</v>
      </c>
      <c r="FI16" s="84" t="n">
        <f aca="false">EU16+$G16*(FF16+EU16)</f>
        <v>0</v>
      </c>
      <c r="FJ16" s="84" t="n">
        <f aca="false">MIN(FD16-FG16,FI16)</f>
        <v>0</v>
      </c>
      <c r="FK16" s="84" t="n">
        <f aca="false">FI16-FJ16</f>
        <v>0</v>
      </c>
      <c r="FL16" s="84" t="n">
        <f aca="false">IF($H16=1,MIN(FD16-FG16-FJ16,MAX(0,$F16/(1-$F16)*(EZ16+FJ16)-FA16)),0)</f>
        <v>0</v>
      </c>
      <c r="FM16" s="84" t="n">
        <f aca="false">FD16-FG16-FJ16-FL16</f>
        <v>6320.497360896</v>
      </c>
      <c r="FN16" s="84" t="n">
        <f aca="false">FG16+FJ16+(1-$F16)*FM16</f>
        <v>6320.497360896</v>
      </c>
      <c r="FO16" s="84" t="n">
        <f aca="false">FL16+$F16*FM16</f>
        <v>0</v>
      </c>
      <c r="FP16" s="84" t="n">
        <f aca="false">EZ16+FJ16+(1-$F16)*FM16</f>
        <v>6906.46333849599</v>
      </c>
      <c r="FQ16" s="84" t="n">
        <f aca="false">FA16+FO16</f>
        <v>0</v>
      </c>
      <c r="FR16" s="133" t="n">
        <f aca="false">FE16+$D16*Inputs!$K$13-$D16*$E16</f>
        <v>25281.989443584</v>
      </c>
      <c r="FS16" s="84" t="n">
        <f aca="false">FR16*(1+$I16)</f>
        <v>30338.3873323008</v>
      </c>
      <c r="FT16" s="133" t="n">
        <f aca="false">FS16*Inputs!$K$14</f>
        <v>6067.67746646016</v>
      </c>
      <c r="FU16" s="84" t="n">
        <f aca="false">FS16-FT16</f>
        <v>24270.7098658406</v>
      </c>
      <c r="FV16" s="133" t="n">
        <f aca="false">FH16+$D16*Inputs!$K$13</f>
        <v>0</v>
      </c>
      <c r="FW16" s="84" t="n">
        <f aca="false">MIN(FT16,FV16)</f>
        <v>0</v>
      </c>
      <c r="FX16" s="84" t="n">
        <f aca="false">FV16-FW16</f>
        <v>0</v>
      </c>
      <c r="FY16" s="84" t="n">
        <f aca="false">FK16+$G16*(FV16+FK16)</f>
        <v>0</v>
      </c>
      <c r="FZ16" s="84" t="n">
        <f aca="false">MIN(FT16-FW16,FY16)</f>
        <v>0</v>
      </c>
      <c r="GA16" s="84" t="n">
        <f aca="false">FY16-FZ16</f>
        <v>0</v>
      </c>
      <c r="GB16" s="84" t="n">
        <f aca="false">IF($H16=1,MIN(FT16-FW16-FZ16,MAX(0,$F16/(1-$F16)*(FP16+FZ16)-FQ16)),0)</f>
        <v>0</v>
      </c>
      <c r="GC16" s="84" t="n">
        <f aca="false">FT16-FW16-FZ16-GB16</f>
        <v>6067.67746646016</v>
      </c>
      <c r="GD16" s="84" t="n">
        <f aca="false">FW16+FZ16+(1-$F16)*GC16</f>
        <v>6067.67746646016</v>
      </c>
      <c r="GE16" s="84" t="n">
        <f aca="false">GB16+$F16*GC16</f>
        <v>0</v>
      </c>
      <c r="GF16" s="84" t="n">
        <f aca="false">FP16+FZ16+(1-$F16)*GC16</f>
        <v>12974.1408049562</v>
      </c>
      <c r="GG16" s="84" t="n">
        <f aca="false">FQ16+GE16</f>
        <v>0</v>
      </c>
      <c r="GH16" s="133" t="n">
        <f aca="false">FU16+$D16*Inputs!$L$13-$D16*$E16</f>
        <v>24270.7098658406</v>
      </c>
      <c r="GI16" s="84" t="n">
        <f aca="false">GH16*(1+$I16)</f>
        <v>29124.8518390088</v>
      </c>
      <c r="GJ16" s="133" t="n">
        <f aca="false">GI16*Inputs!$L$14</f>
        <v>29124.8518390088</v>
      </c>
      <c r="GK16" s="84" t="n">
        <f aca="false">GI16-GJ16</f>
        <v>0</v>
      </c>
      <c r="GL16" s="133" t="n">
        <f aca="false">FX16+$D16*Inputs!$L$13</f>
        <v>0</v>
      </c>
      <c r="GM16" s="84" t="n">
        <f aca="false">MIN(GJ16,GL16)</f>
        <v>0</v>
      </c>
      <c r="GN16" s="84" t="n">
        <f aca="false">GL16-GM16</f>
        <v>0</v>
      </c>
      <c r="GO16" s="84" t="n">
        <f aca="false">GA16+$G16*(GL16+GA16)</f>
        <v>0</v>
      </c>
      <c r="GP16" s="84" t="n">
        <f aca="false">MIN(GJ16-GM16,GO16)</f>
        <v>0</v>
      </c>
      <c r="GQ16" s="84" t="n">
        <f aca="false">GO16-GP16</f>
        <v>0</v>
      </c>
      <c r="GR16" s="84" t="n">
        <f aca="false">IF($H16=1,MIN(GJ16-GM16-GP16,MAX(0,$F16/(1-$F16)*(GF16+GP16)-GG16)),0)</f>
        <v>0</v>
      </c>
      <c r="GS16" s="84" t="n">
        <f aca="false">GJ16-GM16-GP16-GR16</f>
        <v>29124.8518390088</v>
      </c>
      <c r="GT16" s="84" t="n">
        <f aca="false">GM16+GP16+(1-$F16)*GS16</f>
        <v>29124.8518390088</v>
      </c>
      <c r="GU16" s="84" t="n">
        <f aca="false">GR16+$F16*GS16</f>
        <v>0</v>
      </c>
      <c r="GV16" s="84" t="n">
        <f aca="false">GF16+GP16+(1-$F16)*GS16</f>
        <v>42098.9926439649</v>
      </c>
      <c r="GW16" s="84" t="n">
        <f aca="false">GG16+GU16</f>
        <v>0</v>
      </c>
    </row>
    <row r="17" customFormat="false" ht="15" hidden="false" customHeight="false" outlineLevel="0" collapsed="false">
      <c r="A17" s="5" t="s">
        <v>630</v>
      </c>
      <c r="B17" s="5" t="s">
        <v>631</v>
      </c>
      <c r="D17" s="47" t="n">
        <f aca="false">Inputs!$C$6</f>
        <v>20000</v>
      </c>
      <c r="E17" s="35" t="n">
        <f aca="false">Inputs!$C$18</f>
        <v>0.015</v>
      </c>
      <c r="F17" s="30" t="n">
        <v>0</v>
      </c>
      <c r="G17" s="30" t="n">
        <v>0</v>
      </c>
      <c r="H17" s="27" t="n">
        <v>0</v>
      </c>
      <c r="I17" s="132" t="n">
        <f aca="false">Inputs!$C$8</f>
        <v>0.2</v>
      </c>
      <c r="J17" s="36" t="n">
        <f aca="false">Inputs!$C$9</f>
        <v>0.15</v>
      </c>
      <c r="K17" s="89" t="n">
        <f aca="false">IRR(W17:AG17,0.1)</f>
        <v>0.178048924579342</v>
      </c>
      <c r="L17" s="45" t="n">
        <f aca="false">W17+NPV($J17,X17:AG17)</f>
        <v>2423.71087612927</v>
      </c>
      <c r="M17" s="45" t="n">
        <f aca="false">SUM(BF17,BV17,CL17,DB17,DR17,EH17,EX17,FN17,GD17,GT17)</f>
        <v>55088.1510820676</v>
      </c>
      <c r="N17" s="43" t="n">
        <f aca="false">IF($D17*SUM(Inputs!$C$13:$L$13)=0,0,M17/($D17*SUM(Inputs!$C$13:$L$13)))</f>
        <v>2.75440755410338</v>
      </c>
      <c r="O17" s="42" t="n">
        <f aca="false">$D17*$E17*COLUMNS(Inputs!$C$13:$L$13)</f>
        <v>3000</v>
      </c>
      <c r="P17" s="45" t="n">
        <f aca="false">SUM(BG17,BW17,CM17,DC17,DS17,EI17,EY17,FO17,GE17,GU17)</f>
        <v>0</v>
      </c>
      <c r="Q17" s="42" t="n">
        <f aca="false">PV($J17,COLUMNS(Inputs!$C$13:$L$13),-$D17*$E17,0,1)</f>
        <v>1731.47517591971</v>
      </c>
      <c r="R17" s="45" t="n">
        <f aca="false">NPV($J17,BG17,BW17,CM17,DC17,DS17,EI17,EY17,FO17,GE17,GU17)</f>
        <v>0</v>
      </c>
      <c r="S17" s="45" t="n">
        <f aca="false">Q17+R17</f>
        <v>1731.47517591971</v>
      </c>
      <c r="T17" s="32" t="n">
        <f aca="false">IF(S17=0,0,Q17/S17)</f>
        <v>1</v>
      </c>
      <c r="U17" s="45" t="n">
        <f aca="false">ROUND(ABS(GK17)+ABS(SUM(AV17,BL17,CB17,CR17,DH17,DX17,EN17,FD17,FT17,GJ17)-M17-P17)+ABS(S17-(AH17+NPV($J17,AI17:AR17))),6)</f>
        <v>0</v>
      </c>
      <c r="W17" s="133" t="n">
        <f aca="false">-$D17*Inputs!$C$13</f>
        <v>-4000</v>
      </c>
      <c r="X17" s="133" t="n">
        <f aca="false">BF17-$D17*Inputs!$D$13</f>
        <v>-4000</v>
      </c>
      <c r="Y17" s="133" t="n">
        <f aca="false">BV17-$D17*Inputs!$E$13</f>
        <v>-4000</v>
      </c>
      <c r="Z17" s="133" t="n">
        <f aca="false">CL17-$D17*Inputs!$F$13</f>
        <v>-4000</v>
      </c>
      <c r="AA17" s="133" t="n">
        <f aca="false">DB17-$D17*Inputs!$G$13</f>
        <v>-4000</v>
      </c>
      <c r="AB17" s="133" t="n">
        <f aca="false">DR17-$D17*Inputs!$H$13</f>
        <v>6608.1408</v>
      </c>
      <c r="AC17" s="133" t="n">
        <f aca="false">EH17-$D17*Inputs!$I$13</f>
        <v>6271.815168</v>
      </c>
      <c r="AD17" s="133" t="n">
        <f aca="false">EX17-$D17*Inputs!$J$13</f>
        <v>5948.94256128</v>
      </c>
      <c r="AE17" s="133" t="n">
        <f aca="false">FN17-$D17*Inputs!$K$13</f>
        <v>5638.9848588288</v>
      </c>
      <c r="AF17" s="133" t="n">
        <f aca="false">GD17-$D17*Inputs!$L$13</f>
        <v>5341.42546447565</v>
      </c>
      <c r="AG17" s="84" t="n">
        <f aca="false">GT17</f>
        <v>25278.8422294831</v>
      </c>
      <c r="AH17" s="84" t="n">
        <f aca="false">$D17*$E17</f>
        <v>300</v>
      </c>
      <c r="AI17" s="84" t="n">
        <f aca="false">BG17+$D17*$E17</f>
        <v>300</v>
      </c>
      <c r="AJ17" s="84" t="n">
        <f aca="false">BW17+$D17*$E17</f>
        <v>300</v>
      </c>
      <c r="AK17" s="84" t="n">
        <f aca="false">CM17+$D17*$E17</f>
        <v>300</v>
      </c>
      <c r="AL17" s="84" t="n">
        <f aca="false">DC17+$D17*$E17</f>
        <v>300</v>
      </c>
      <c r="AM17" s="84" t="n">
        <f aca="false">DS17+$D17*$E17</f>
        <v>300</v>
      </c>
      <c r="AN17" s="84" t="n">
        <f aca="false">EI17+$D17*$E17</f>
        <v>300</v>
      </c>
      <c r="AO17" s="84" t="n">
        <f aca="false">EY17+$D17*$E17</f>
        <v>300</v>
      </c>
      <c r="AP17" s="84" t="n">
        <f aca="false">FO17+$D17*$E17</f>
        <v>300</v>
      </c>
      <c r="AQ17" s="84" t="n">
        <f aca="false">GE17+$D17*$E17</f>
        <v>300</v>
      </c>
      <c r="AR17" s="84" t="n">
        <f aca="false">GU17</f>
        <v>0</v>
      </c>
      <c r="AT17" s="133" t="n">
        <f aca="false">$D17*Inputs!$C$13-$D17*$E17</f>
        <v>3700</v>
      </c>
      <c r="AU17" s="84" t="n">
        <f aca="false">AT17*(1+$I17)</f>
        <v>4440</v>
      </c>
      <c r="AV17" s="133" t="n">
        <f aca="false">AU17*Inputs!$C$14</f>
        <v>0</v>
      </c>
      <c r="AW17" s="84" t="n">
        <f aca="false">AU17-AV17</f>
        <v>4440</v>
      </c>
      <c r="AX17" s="133" t="n">
        <f aca="false">$D17*Inputs!$C$13</f>
        <v>4000</v>
      </c>
      <c r="AY17" s="84" t="n">
        <f aca="false">MIN(AV17,AX17)</f>
        <v>0</v>
      </c>
      <c r="AZ17" s="84" t="n">
        <f aca="false">AX17-AY17</f>
        <v>4000</v>
      </c>
      <c r="BA17" s="84" t="n">
        <f aca="false">$G17*AX17</f>
        <v>0</v>
      </c>
      <c r="BB17" s="84" t="n">
        <f aca="false">MIN(AV17-AY17,BA17)</f>
        <v>0</v>
      </c>
      <c r="BC17" s="84" t="n">
        <f aca="false">BA17-BB17</f>
        <v>0</v>
      </c>
      <c r="BD17" s="84" t="n">
        <f aca="false">IF($H17=1,MIN(AV17-AY17-BB17,MAX(0,$F17/(1-$F17)*BB17)),0)</f>
        <v>0</v>
      </c>
      <c r="BE17" s="84" t="n">
        <f aca="false">AV17-AY17-BB17-BD17</f>
        <v>0</v>
      </c>
      <c r="BF17" s="84" t="n">
        <f aca="false">AY17+BB17+(1-$F17)*BE17</f>
        <v>0</v>
      </c>
      <c r="BG17" s="84" t="n">
        <f aca="false">BD17+$F17*BE17</f>
        <v>0</v>
      </c>
      <c r="BH17" s="84" t="n">
        <f aca="false">BB17+(1-$F17)*BE17</f>
        <v>0</v>
      </c>
      <c r="BI17" s="84" t="n">
        <f aca="false">BG17</f>
        <v>0</v>
      </c>
      <c r="BJ17" s="133" t="n">
        <f aca="false">AW17+$D17*Inputs!$D$13-$D17*$E17</f>
        <v>8140</v>
      </c>
      <c r="BK17" s="84" t="n">
        <f aca="false">BJ17*(1+$I17)</f>
        <v>9768</v>
      </c>
      <c r="BL17" s="133" t="n">
        <f aca="false">BK17*Inputs!$D$14</f>
        <v>0</v>
      </c>
      <c r="BM17" s="84" t="n">
        <f aca="false">BK17-BL17</f>
        <v>9768</v>
      </c>
      <c r="BN17" s="133" t="n">
        <f aca="false">AZ17+$D17*Inputs!$D$13</f>
        <v>8000</v>
      </c>
      <c r="BO17" s="84" t="n">
        <f aca="false">MIN(BL17,BN17)</f>
        <v>0</v>
      </c>
      <c r="BP17" s="84" t="n">
        <f aca="false">BN17-BO17</f>
        <v>8000</v>
      </c>
      <c r="BQ17" s="84" t="n">
        <f aca="false">BC17+$G17*(BN17+BC17)</f>
        <v>0</v>
      </c>
      <c r="BR17" s="84" t="n">
        <f aca="false">MIN(BL17-BO17,BQ17)</f>
        <v>0</v>
      </c>
      <c r="BS17" s="84" t="n">
        <f aca="false">BQ17-BR17</f>
        <v>0</v>
      </c>
      <c r="BT17" s="84" t="n">
        <f aca="false">IF($H17=1,MIN(BL17-BO17-BR17,MAX(0,$F17/(1-$F17)*(BH17+BR17)-BI17)),0)</f>
        <v>0</v>
      </c>
      <c r="BU17" s="84" t="n">
        <f aca="false">BL17-BO17-BR17-BT17</f>
        <v>0</v>
      </c>
      <c r="BV17" s="84" t="n">
        <f aca="false">BO17+BR17+(1-$F17)*BU17</f>
        <v>0</v>
      </c>
      <c r="BW17" s="84" t="n">
        <f aca="false">BT17+$F17*BU17</f>
        <v>0</v>
      </c>
      <c r="BX17" s="84" t="n">
        <f aca="false">BH17+BR17+(1-$F17)*BU17</f>
        <v>0</v>
      </c>
      <c r="BY17" s="84" t="n">
        <f aca="false">BI17+BW17</f>
        <v>0</v>
      </c>
      <c r="BZ17" s="133" t="n">
        <f aca="false">BM17+$D17*Inputs!$E$13-$D17*$E17</f>
        <v>13468</v>
      </c>
      <c r="CA17" s="84" t="n">
        <f aca="false">BZ17*(1+$I17)</f>
        <v>16161.6</v>
      </c>
      <c r="CB17" s="133" t="n">
        <f aca="false">CA17*Inputs!$E$14</f>
        <v>0</v>
      </c>
      <c r="CC17" s="84" t="n">
        <f aca="false">CA17-CB17</f>
        <v>16161.6</v>
      </c>
      <c r="CD17" s="133" t="n">
        <f aca="false">BP17+$D17*Inputs!$E$13</f>
        <v>12000</v>
      </c>
      <c r="CE17" s="84" t="n">
        <f aca="false">MIN(CB17,CD17)</f>
        <v>0</v>
      </c>
      <c r="CF17" s="84" t="n">
        <f aca="false">CD17-CE17</f>
        <v>12000</v>
      </c>
      <c r="CG17" s="84" t="n">
        <f aca="false">BS17+$G17*(CD17+BS17)</f>
        <v>0</v>
      </c>
      <c r="CH17" s="84" t="n">
        <f aca="false">MIN(CB17-CE17,CG17)</f>
        <v>0</v>
      </c>
      <c r="CI17" s="84" t="n">
        <f aca="false">CG17-CH17</f>
        <v>0</v>
      </c>
      <c r="CJ17" s="84" t="n">
        <f aca="false">IF($H17=1,MIN(CB17-CE17-CH17,MAX(0,$F17/(1-$F17)*(BX17+CH17)-BY17)),0)</f>
        <v>0</v>
      </c>
      <c r="CK17" s="84" t="n">
        <f aca="false">CB17-CE17-CH17-CJ17</f>
        <v>0</v>
      </c>
      <c r="CL17" s="84" t="n">
        <f aca="false">CE17+CH17+(1-$F17)*CK17</f>
        <v>0</v>
      </c>
      <c r="CM17" s="84" t="n">
        <f aca="false">CJ17+$F17*CK17</f>
        <v>0</v>
      </c>
      <c r="CN17" s="84" t="n">
        <f aca="false">BX17+CH17+(1-$F17)*CK17</f>
        <v>0</v>
      </c>
      <c r="CO17" s="84" t="n">
        <f aca="false">BY17+CM17</f>
        <v>0</v>
      </c>
      <c r="CP17" s="133" t="n">
        <f aca="false">CC17+$D17*Inputs!$F$13-$D17*$E17</f>
        <v>19861.6</v>
      </c>
      <c r="CQ17" s="84" t="n">
        <f aca="false">CP17*(1+$I17)</f>
        <v>23833.92</v>
      </c>
      <c r="CR17" s="133" t="n">
        <f aca="false">CQ17*Inputs!$F$14</f>
        <v>0</v>
      </c>
      <c r="CS17" s="84" t="n">
        <f aca="false">CQ17-CR17</f>
        <v>23833.92</v>
      </c>
      <c r="CT17" s="133" t="n">
        <f aca="false">CF17+$D17*Inputs!$F$13</f>
        <v>16000</v>
      </c>
      <c r="CU17" s="84" t="n">
        <f aca="false">MIN(CR17,CT17)</f>
        <v>0</v>
      </c>
      <c r="CV17" s="84" t="n">
        <f aca="false">CT17-CU17</f>
        <v>16000</v>
      </c>
      <c r="CW17" s="84" t="n">
        <f aca="false">CI17+$G17*(CT17+CI17)</f>
        <v>0</v>
      </c>
      <c r="CX17" s="84" t="n">
        <f aca="false">MIN(CR17-CU17,CW17)</f>
        <v>0</v>
      </c>
      <c r="CY17" s="84" t="n">
        <f aca="false">CW17-CX17</f>
        <v>0</v>
      </c>
      <c r="CZ17" s="84" t="n">
        <f aca="false">IF($H17=1,MIN(CR17-CU17-CX17,MAX(0,$F17/(1-$F17)*(CN17+CX17)-CO17)),0)</f>
        <v>0</v>
      </c>
      <c r="DA17" s="84" t="n">
        <f aca="false">CR17-CU17-CX17-CZ17</f>
        <v>0</v>
      </c>
      <c r="DB17" s="84" t="n">
        <f aca="false">CU17+CX17+(1-$F17)*DA17</f>
        <v>0</v>
      </c>
      <c r="DC17" s="84" t="n">
        <f aca="false">CZ17+$F17*DA17</f>
        <v>0</v>
      </c>
      <c r="DD17" s="84" t="n">
        <f aca="false">CN17+CX17+(1-$F17)*DA17</f>
        <v>0</v>
      </c>
      <c r="DE17" s="84" t="n">
        <f aca="false">CO17+DC17</f>
        <v>0</v>
      </c>
      <c r="DF17" s="133" t="n">
        <f aca="false">CS17+$D17*Inputs!$G$13-$D17*$E17</f>
        <v>27533.92</v>
      </c>
      <c r="DG17" s="84" t="n">
        <f aca="false">DF17*(1+$I17)</f>
        <v>33040.704</v>
      </c>
      <c r="DH17" s="133" t="n">
        <f aca="false">DG17*Inputs!$G$14</f>
        <v>6608.1408</v>
      </c>
      <c r="DI17" s="84" t="n">
        <f aca="false">DG17-DH17</f>
        <v>26432.5632</v>
      </c>
      <c r="DJ17" s="133" t="n">
        <f aca="false">CV17+$D17*Inputs!$G$13</f>
        <v>20000</v>
      </c>
      <c r="DK17" s="84" t="n">
        <f aca="false">MIN(DH17,DJ17)</f>
        <v>6608.1408</v>
      </c>
      <c r="DL17" s="84" t="n">
        <f aca="false">DJ17-DK17</f>
        <v>13391.8592</v>
      </c>
      <c r="DM17" s="84" t="n">
        <f aca="false">CY17+$G17*(DJ17+CY17)</f>
        <v>0</v>
      </c>
      <c r="DN17" s="84" t="n">
        <f aca="false">MIN(DH17-DK17,DM17)</f>
        <v>0</v>
      </c>
      <c r="DO17" s="84" t="n">
        <f aca="false">DM17-DN17</f>
        <v>0</v>
      </c>
      <c r="DP17" s="84" t="n">
        <f aca="false">IF($H17=1,MIN(DH17-DK17-DN17,MAX(0,$F17/(1-$F17)*(DD17+DN17)-DE17)),0)</f>
        <v>0</v>
      </c>
      <c r="DQ17" s="84" t="n">
        <f aca="false">DH17-DK17-DN17-DP17</f>
        <v>0</v>
      </c>
      <c r="DR17" s="84" t="n">
        <f aca="false">DK17+DN17+(1-$F17)*DQ17</f>
        <v>6608.1408</v>
      </c>
      <c r="DS17" s="84" t="n">
        <f aca="false">DP17+$F17*DQ17</f>
        <v>0</v>
      </c>
      <c r="DT17" s="84" t="n">
        <f aca="false">DD17+DN17+(1-$F17)*DQ17</f>
        <v>0</v>
      </c>
      <c r="DU17" s="84" t="n">
        <f aca="false">DE17+DS17</f>
        <v>0</v>
      </c>
      <c r="DV17" s="133" t="n">
        <f aca="false">DI17+$D17*Inputs!$H$13-$D17*$E17</f>
        <v>26132.5632</v>
      </c>
      <c r="DW17" s="84" t="n">
        <f aca="false">DV17*(1+$I17)</f>
        <v>31359.07584</v>
      </c>
      <c r="DX17" s="133" t="n">
        <f aca="false">DW17*Inputs!$H$14</f>
        <v>6271.815168</v>
      </c>
      <c r="DY17" s="84" t="n">
        <f aca="false">DW17-DX17</f>
        <v>25087.260672</v>
      </c>
      <c r="DZ17" s="133" t="n">
        <f aca="false">DL17+$D17*Inputs!$H$13</f>
        <v>13391.8592</v>
      </c>
      <c r="EA17" s="84" t="n">
        <f aca="false">MIN(DX17,DZ17)</f>
        <v>6271.815168</v>
      </c>
      <c r="EB17" s="84" t="n">
        <f aca="false">DZ17-EA17</f>
        <v>7120.044032</v>
      </c>
      <c r="EC17" s="84" t="n">
        <f aca="false">DO17+$G17*(DZ17+DO17)</f>
        <v>0</v>
      </c>
      <c r="ED17" s="84" t="n">
        <f aca="false">MIN(DX17-EA17,EC17)</f>
        <v>0</v>
      </c>
      <c r="EE17" s="84" t="n">
        <f aca="false">EC17-ED17</f>
        <v>0</v>
      </c>
      <c r="EF17" s="84" t="n">
        <f aca="false">IF($H17=1,MIN(DX17-EA17-ED17,MAX(0,$F17/(1-$F17)*(DT17+ED17)-DU17)),0)</f>
        <v>0</v>
      </c>
      <c r="EG17" s="84" t="n">
        <f aca="false">DX17-EA17-ED17-EF17</f>
        <v>0</v>
      </c>
      <c r="EH17" s="84" t="n">
        <f aca="false">EA17+ED17+(1-$F17)*EG17</f>
        <v>6271.815168</v>
      </c>
      <c r="EI17" s="84" t="n">
        <f aca="false">EF17+$F17*EG17</f>
        <v>0</v>
      </c>
      <c r="EJ17" s="84" t="n">
        <f aca="false">DT17+ED17+(1-$F17)*EG17</f>
        <v>0</v>
      </c>
      <c r="EK17" s="84" t="n">
        <f aca="false">DU17+EI17</f>
        <v>0</v>
      </c>
      <c r="EL17" s="133" t="n">
        <f aca="false">DY17+$D17*Inputs!$I$13-$D17*$E17</f>
        <v>24787.260672</v>
      </c>
      <c r="EM17" s="84" t="n">
        <f aca="false">EL17*(1+$I17)</f>
        <v>29744.7128064</v>
      </c>
      <c r="EN17" s="133" t="n">
        <f aca="false">EM17*Inputs!$I$14</f>
        <v>5948.94256128</v>
      </c>
      <c r="EO17" s="84" t="n">
        <f aca="false">EM17-EN17</f>
        <v>23795.77024512</v>
      </c>
      <c r="EP17" s="133" t="n">
        <f aca="false">EB17+$D17*Inputs!$I$13</f>
        <v>7120.044032</v>
      </c>
      <c r="EQ17" s="84" t="n">
        <f aca="false">MIN(EN17,EP17)</f>
        <v>5948.94256128</v>
      </c>
      <c r="ER17" s="84" t="n">
        <f aca="false">EP17-EQ17</f>
        <v>1171.10147072</v>
      </c>
      <c r="ES17" s="84" t="n">
        <f aca="false">EE17+$G17*(EP17+EE17)</f>
        <v>0</v>
      </c>
      <c r="ET17" s="84" t="n">
        <f aca="false">MIN(EN17-EQ17,ES17)</f>
        <v>0</v>
      </c>
      <c r="EU17" s="84" t="n">
        <f aca="false">ES17-ET17</f>
        <v>0</v>
      </c>
      <c r="EV17" s="84" t="n">
        <f aca="false">IF($H17=1,MIN(EN17-EQ17-ET17,MAX(0,$F17/(1-$F17)*(EJ17+ET17)-EK17)),0)</f>
        <v>0</v>
      </c>
      <c r="EW17" s="84" t="n">
        <f aca="false">EN17-EQ17-ET17-EV17</f>
        <v>0</v>
      </c>
      <c r="EX17" s="84" t="n">
        <f aca="false">EQ17+ET17+(1-$F17)*EW17</f>
        <v>5948.94256128</v>
      </c>
      <c r="EY17" s="84" t="n">
        <f aca="false">EV17+$F17*EW17</f>
        <v>0</v>
      </c>
      <c r="EZ17" s="84" t="n">
        <f aca="false">EJ17+ET17+(1-$F17)*EW17</f>
        <v>0</v>
      </c>
      <c r="FA17" s="84" t="n">
        <f aca="false">EK17+EY17</f>
        <v>0</v>
      </c>
      <c r="FB17" s="133" t="n">
        <f aca="false">EO17+$D17*Inputs!$J$13-$D17*$E17</f>
        <v>23495.77024512</v>
      </c>
      <c r="FC17" s="84" t="n">
        <f aca="false">FB17*(1+$I17)</f>
        <v>28194.924294144</v>
      </c>
      <c r="FD17" s="133" t="n">
        <f aca="false">FC17*Inputs!$J$14</f>
        <v>5638.9848588288</v>
      </c>
      <c r="FE17" s="84" t="n">
        <f aca="false">FC17-FD17</f>
        <v>22555.9394353152</v>
      </c>
      <c r="FF17" s="133" t="n">
        <f aca="false">ER17+$D17*Inputs!$J$13</f>
        <v>1171.10147072</v>
      </c>
      <c r="FG17" s="84" t="n">
        <f aca="false">MIN(FD17,FF17)</f>
        <v>1171.10147072</v>
      </c>
      <c r="FH17" s="84" t="n">
        <f aca="false">FF17-FG17</f>
        <v>0</v>
      </c>
      <c r="FI17" s="84" t="n">
        <f aca="false">EU17+$G17*(FF17+EU17)</f>
        <v>0</v>
      </c>
      <c r="FJ17" s="84" t="n">
        <f aca="false">MIN(FD17-FG17,FI17)</f>
        <v>0</v>
      </c>
      <c r="FK17" s="84" t="n">
        <f aca="false">FI17-FJ17</f>
        <v>0</v>
      </c>
      <c r="FL17" s="84" t="n">
        <f aca="false">IF($H17=1,MIN(FD17-FG17-FJ17,MAX(0,$F17/(1-$F17)*(EZ17+FJ17)-FA17)),0)</f>
        <v>0</v>
      </c>
      <c r="FM17" s="84" t="n">
        <f aca="false">FD17-FG17-FJ17-FL17</f>
        <v>4467.8833881088</v>
      </c>
      <c r="FN17" s="84" t="n">
        <f aca="false">FG17+FJ17+(1-$F17)*FM17</f>
        <v>5638.9848588288</v>
      </c>
      <c r="FO17" s="84" t="n">
        <f aca="false">FL17+$F17*FM17</f>
        <v>0</v>
      </c>
      <c r="FP17" s="84" t="n">
        <f aca="false">EZ17+FJ17+(1-$F17)*FM17</f>
        <v>4467.8833881088</v>
      </c>
      <c r="FQ17" s="84" t="n">
        <f aca="false">FA17+FO17</f>
        <v>0</v>
      </c>
      <c r="FR17" s="133" t="n">
        <f aca="false">FE17+$D17*Inputs!$K$13-$D17*$E17</f>
        <v>22255.9394353152</v>
      </c>
      <c r="FS17" s="84" t="n">
        <f aca="false">FR17*(1+$I17)</f>
        <v>26707.1273223782</v>
      </c>
      <c r="FT17" s="133" t="n">
        <f aca="false">FS17*Inputs!$K$14</f>
        <v>5341.42546447565</v>
      </c>
      <c r="FU17" s="84" t="n">
        <f aca="false">FS17-FT17</f>
        <v>21365.7018579026</v>
      </c>
      <c r="FV17" s="133" t="n">
        <f aca="false">FH17+$D17*Inputs!$K$13</f>
        <v>0</v>
      </c>
      <c r="FW17" s="84" t="n">
        <f aca="false">MIN(FT17,FV17)</f>
        <v>0</v>
      </c>
      <c r="FX17" s="84" t="n">
        <f aca="false">FV17-FW17</f>
        <v>0</v>
      </c>
      <c r="FY17" s="84" t="n">
        <f aca="false">FK17+$G17*(FV17+FK17)</f>
        <v>0</v>
      </c>
      <c r="FZ17" s="84" t="n">
        <f aca="false">MIN(FT17-FW17,FY17)</f>
        <v>0</v>
      </c>
      <c r="GA17" s="84" t="n">
        <f aca="false">FY17-FZ17</f>
        <v>0</v>
      </c>
      <c r="GB17" s="84" t="n">
        <f aca="false">IF($H17=1,MIN(FT17-FW17-FZ17,MAX(0,$F17/(1-$F17)*(FP17+FZ17)-FQ17)),0)</f>
        <v>0</v>
      </c>
      <c r="GC17" s="84" t="n">
        <f aca="false">FT17-FW17-FZ17-GB17</f>
        <v>5341.42546447565</v>
      </c>
      <c r="GD17" s="84" t="n">
        <f aca="false">FW17+FZ17+(1-$F17)*GC17</f>
        <v>5341.42546447565</v>
      </c>
      <c r="GE17" s="84" t="n">
        <f aca="false">GB17+$F17*GC17</f>
        <v>0</v>
      </c>
      <c r="GF17" s="84" t="n">
        <f aca="false">FP17+FZ17+(1-$F17)*GC17</f>
        <v>9809.30885258445</v>
      </c>
      <c r="GG17" s="84" t="n">
        <f aca="false">FQ17+GE17</f>
        <v>0</v>
      </c>
      <c r="GH17" s="133" t="n">
        <f aca="false">FU17+$D17*Inputs!$L$13-$D17*$E17</f>
        <v>21065.7018579026</v>
      </c>
      <c r="GI17" s="84" t="n">
        <f aca="false">GH17*(1+$I17)</f>
        <v>25278.8422294831</v>
      </c>
      <c r="GJ17" s="133" t="n">
        <f aca="false">GI17*Inputs!$L$14</f>
        <v>25278.8422294831</v>
      </c>
      <c r="GK17" s="84" t="n">
        <f aca="false">GI17-GJ17</f>
        <v>0</v>
      </c>
      <c r="GL17" s="133" t="n">
        <f aca="false">FX17+$D17*Inputs!$L$13</f>
        <v>0</v>
      </c>
      <c r="GM17" s="84" t="n">
        <f aca="false">MIN(GJ17,GL17)</f>
        <v>0</v>
      </c>
      <c r="GN17" s="84" t="n">
        <f aca="false">GL17-GM17</f>
        <v>0</v>
      </c>
      <c r="GO17" s="84" t="n">
        <f aca="false">GA17+$G17*(GL17+GA17)</f>
        <v>0</v>
      </c>
      <c r="GP17" s="84" t="n">
        <f aca="false">MIN(GJ17-GM17,GO17)</f>
        <v>0</v>
      </c>
      <c r="GQ17" s="84" t="n">
        <f aca="false">GO17-GP17</f>
        <v>0</v>
      </c>
      <c r="GR17" s="84" t="n">
        <f aca="false">IF($H17=1,MIN(GJ17-GM17-GP17,MAX(0,$F17/(1-$F17)*(GF17+GP17)-GG17)),0)</f>
        <v>0</v>
      </c>
      <c r="GS17" s="84" t="n">
        <f aca="false">GJ17-GM17-GP17-GR17</f>
        <v>25278.8422294831</v>
      </c>
      <c r="GT17" s="84" t="n">
        <f aca="false">GM17+GP17+(1-$F17)*GS17</f>
        <v>25278.8422294831</v>
      </c>
      <c r="GU17" s="84" t="n">
        <f aca="false">GR17+$F17*GS17</f>
        <v>0</v>
      </c>
      <c r="GV17" s="84" t="n">
        <f aca="false">GF17+GP17+(1-$F17)*GS17</f>
        <v>35088.1510820676</v>
      </c>
      <c r="GW17" s="84" t="n">
        <f aca="false">GG17+GU17</f>
        <v>0</v>
      </c>
    </row>
    <row r="18" customFormat="false" ht="15" hidden="false" customHeight="false" outlineLevel="0" collapsed="false">
      <c r="A18" s="5" t="s">
        <v>632</v>
      </c>
      <c r="B18" s="5" t="s">
        <v>633</v>
      </c>
      <c r="D18" s="47" t="n">
        <f aca="false">Inputs!$C$6</f>
        <v>20000</v>
      </c>
      <c r="E18" s="35" t="n">
        <f aca="false">Inputs!$C$19</f>
        <v>0.0135</v>
      </c>
      <c r="F18" s="30" t="n">
        <v>0</v>
      </c>
      <c r="G18" s="30" t="n">
        <v>0</v>
      </c>
      <c r="H18" s="27" t="n">
        <v>0</v>
      </c>
      <c r="I18" s="132" t="n">
        <f aca="false">Inputs!$C$8</f>
        <v>0.2</v>
      </c>
      <c r="J18" s="36" t="n">
        <f aca="false">Inputs!$C$9</f>
        <v>0.15</v>
      </c>
      <c r="K18" s="89" t="n">
        <f aca="false">IRR(W18:AG18,0.1)</f>
        <v>0.180349642375779</v>
      </c>
      <c r="L18" s="45" t="n">
        <f aca="false">W18+NPV($J18,X18:AG18)</f>
        <v>2637.55890480066</v>
      </c>
      <c r="M18" s="45" t="n">
        <f aca="false">SUM(BF18,BV18,CL18,DB18,DR18,EH18,EX18,FN18,GD18,GT18)</f>
        <v>55789.2352382573</v>
      </c>
      <c r="N18" s="43" t="n">
        <f aca="false">IF($D18*SUM(Inputs!$C$13:$L$13)=0,0,M18/($D18*SUM(Inputs!$C$13:$L$13)))</f>
        <v>2.78946176191286</v>
      </c>
      <c r="O18" s="42" t="n">
        <f aca="false">$D18*$E18*COLUMNS(Inputs!$C$13:$L$13)</f>
        <v>2700</v>
      </c>
      <c r="P18" s="45" t="n">
        <f aca="false">SUM(BG18,BW18,CM18,DC18,DS18,EI18,EY18,FO18,GE18,GU18)</f>
        <v>0</v>
      </c>
      <c r="Q18" s="42" t="n">
        <f aca="false">PV($J18,COLUMNS(Inputs!$C$13:$L$13),-$D18*$E18,0,1)</f>
        <v>1558.32765832774</v>
      </c>
      <c r="R18" s="45" t="n">
        <f aca="false">NPV($J18,BG18,BW18,CM18,DC18,DS18,EI18,EY18,FO18,GE18,GU18)</f>
        <v>0</v>
      </c>
      <c r="S18" s="45" t="n">
        <f aca="false">Q18+R18</f>
        <v>1558.32765832774</v>
      </c>
      <c r="T18" s="32" t="n">
        <f aca="false">IF(S18=0,0,Q18/S18)</f>
        <v>1</v>
      </c>
      <c r="U18" s="45" t="n">
        <f aca="false">ROUND(ABS(GK18)+ABS(SUM(AV18,BL18,CB18,CR18,DH18,DX18,EN18,FD18,FT18,GJ18)-M18-P18)+ABS(S18-(AH18+NPV($J18,AI18:AR18))),6)</f>
        <v>0</v>
      </c>
      <c r="W18" s="133" t="n">
        <f aca="false">-$D18*Inputs!$C$13</f>
        <v>-4000</v>
      </c>
      <c r="X18" s="133" t="n">
        <f aca="false">BF18-$D18*Inputs!$D$13</f>
        <v>-4000</v>
      </c>
      <c r="Y18" s="133" t="n">
        <f aca="false">BV18-$D18*Inputs!$E$13</f>
        <v>-4000</v>
      </c>
      <c r="Z18" s="133" t="n">
        <f aca="false">CL18-$D18*Inputs!$F$13</f>
        <v>-4000</v>
      </c>
      <c r="AA18" s="133" t="n">
        <f aca="false">DB18-$D18*Inputs!$G$13</f>
        <v>-4000</v>
      </c>
      <c r="AB18" s="133" t="n">
        <f aca="false">DR18-$D18*Inputs!$H$13</f>
        <v>6661.72032</v>
      </c>
      <c r="AC18" s="133" t="n">
        <f aca="false">EH18-$D18*Inputs!$I$13</f>
        <v>6330.4515072</v>
      </c>
      <c r="AD18" s="133" t="n">
        <f aca="false">EX18-$D18*Inputs!$J$13</f>
        <v>6012.433446912</v>
      </c>
      <c r="AE18" s="133" t="n">
        <f aca="false">FN18-$D18*Inputs!$K$13</f>
        <v>5707.13610903552</v>
      </c>
      <c r="AF18" s="133" t="n">
        <f aca="false">GD18-$D18*Inputs!$L$13</f>
        <v>5414.0506646741</v>
      </c>
      <c r="AG18" s="84" t="n">
        <f aca="false">GT18</f>
        <v>25663.4431904357</v>
      </c>
      <c r="AH18" s="84" t="n">
        <f aca="false">$D18*$E18</f>
        <v>270</v>
      </c>
      <c r="AI18" s="84" t="n">
        <f aca="false">BG18+$D18*$E18</f>
        <v>270</v>
      </c>
      <c r="AJ18" s="84" t="n">
        <f aca="false">BW18+$D18*$E18</f>
        <v>270</v>
      </c>
      <c r="AK18" s="84" t="n">
        <f aca="false">CM18+$D18*$E18</f>
        <v>270</v>
      </c>
      <c r="AL18" s="84" t="n">
        <f aca="false">DC18+$D18*$E18</f>
        <v>270</v>
      </c>
      <c r="AM18" s="84" t="n">
        <f aca="false">DS18+$D18*$E18</f>
        <v>270</v>
      </c>
      <c r="AN18" s="84" t="n">
        <f aca="false">EI18+$D18*$E18</f>
        <v>270</v>
      </c>
      <c r="AO18" s="84" t="n">
        <f aca="false">EY18+$D18*$E18</f>
        <v>270</v>
      </c>
      <c r="AP18" s="84" t="n">
        <f aca="false">FO18+$D18*$E18</f>
        <v>270</v>
      </c>
      <c r="AQ18" s="84" t="n">
        <f aca="false">GE18+$D18*$E18</f>
        <v>270</v>
      </c>
      <c r="AR18" s="84" t="n">
        <f aca="false">GU18</f>
        <v>0</v>
      </c>
      <c r="AT18" s="133" t="n">
        <f aca="false">$D18*Inputs!$C$13-$D18*$E18</f>
        <v>3730</v>
      </c>
      <c r="AU18" s="84" t="n">
        <f aca="false">AT18*(1+$I18)</f>
        <v>4476</v>
      </c>
      <c r="AV18" s="133" t="n">
        <f aca="false">AU18*Inputs!$C$14</f>
        <v>0</v>
      </c>
      <c r="AW18" s="84" t="n">
        <f aca="false">AU18-AV18</f>
        <v>4476</v>
      </c>
      <c r="AX18" s="133" t="n">
        <f aca="false">$D18*Inputs!$C$13</f>
        <v>4000</v>
      </c>
      <c r="AY18" s="84" t="n">
        <f aca="false">MIN(AV18,AX18)</f>
        <v>0</v>
      </c>
      <c r="AZ18" s="84" t="n">
        <f aca="false">AX18-AY18</f>
        <v>4000</v>
      </c>
      <c r="BA18" s="84" t="n">
        <f aca="false">$G18*AX18</f>
        <v>0</v>
      </c>
      <c r="BB18" s="84" t="n">
        <f aca="false">MIN(AV18-AY18,BA18)</f>
        <v>0</v>
      </c>
      <c r="BC18" s="84" t="n">
        <f aca="false">BA18-BB18</f>
        <v>0</v>
      </c>
      <c r="BD18" s="84" t="n">
        <f aca="false">IF($H18=1,MIN(AV18-AY18-BB18,MAX(0,$F18/(1-$F18)*BB18)),0)</f>
        <v>0</v>
      </c>
      <c r="BE18" s="84" t="n">
        <f aca="false">AV18-AY18-BB18-BD18</f>
        <v>0</v>
      </c>
      <c r="BF18" s="84" t="n">
        <f aca="false">AY18+BB18+(1-$F18)*BE18</f>
        <v>0</v>
      </c>
      <c r="BG18" s="84" t="n">
        <f aca="false">BD18+$F18*BE18</f>
        <v>0</v>
      </c>
      <c r="BH18" s="84" t="n">
        <f aca="false">BB18+(1-$F18)*BE18</f>
        <v>0</v>
      </c>
      <c r="BI18" s="84" t="n">
        <f aca="false">BG18</f>
        <v>0</v>
      </c>
      <c r="BJ18" s="133" t="n">
        <f aca="false">AW18+$D18*Inputs!$D$13-$D18*$E18</f>
        <v>8206</v>
      </c>
      <c r="BK18" s="84" t="n">
        <f aca="false">BJ18*(1+$I18)</f>
        <v>9847.2</v>
      </c>
      <c r="BL18" s="133" t="n">
        <f aca="false">BK18*Inputs!$D$14</f>
        <v>0</v>
      </c>
      <c r="BM18" s="84" t="n">
        <f aca="false">BK18-BL18</f>
        <v>9847.2</v>
      </c>
      <c r="BN18" s="133" t="n">
        <f aca="false">AZ18+$D18*Inputs!$D$13</f>
        <v>8000</v>
      </c>
      <c r="BO18" s="84" t="n">
        <f aca="false">MIN(BL18,BN18)</f>
        <v>0</v>
      </c>
      <c r="BP18" s="84" t="n">
        <f aca="false">BN18-BO18</f>
        <v>8000</v>
      </c>
      <c r="BQ18" s="84" t="n">
        <f aca="false">BC18+$G18*(BN18+BC18)</f>
        <v>0</v>
      </c>
      <c r="BR18" s="84" t="n">
        <f aca="false">MIN(BL18-BO18,BQ18)</f>
        <v>0</v>
      </c>
      <c r="BS18" s="84" t="n">
        <f aca="false">BQ18-BR18</f>
        <v>0</v>
      </c>
      <c r="BT18" s="84" t="n">
        <f aca="false">IF($H18=1,MIN(BL18-BO18-BR18,MAX(0,$F18/(1-$F18)*(BH18+BR18)-BI18)),0)</f>
        <v>0</v>
      </c>
      <c r="BU18" s="84" t="n">
        <f aca="false">BL18-BO18-BR18-BT18</f>
        <v>0</v>
      </c>
      <c r="BV18" s="84" t="n">
        <f aca="false">BO18+BR18+(1-$F18)*BU18</f>
        <v>0</v>
      </c>
      <c r="BW18" s="84" t="n">
        <f aca="false">BT18+$F18*BU18</f>
        <v>0</v>
      </c>
      <c r="BX18" s="84" t="n">
        <f aca="false">BH18+BR18+(1-$F18)*BU18</f>
        <v>0</v>
      </c>
      <c r="BY18" s="84" t="n">
        <f aca="false">BI18+BW18</f>
        <v>0</v>
      </c>
      <c r="BZ18" s="133" t="n">
        <f aca="false">BM18+$D18*Inputs!$E$13-$D18*$E18</f>
        <v>13577.2</v>
      </c>
      <c r="CA18" s="84" t="n">
        <f aca="false">BZ18*(1+$I18)</f>
        <v>16292.64</v>
      </c>
      <c r="CB18" s="133" t="n">
        <f aca="false">CA18*Inputs!$E$14</f>
        <v>0</v>
      </c>
      <c r="CC18" s="84" t="n">
        <f aca="false">CA18-CB18</f>
        <v>16292.64</v>
      </c>
      <c r="CD18" s="133" t="n">
        <f aca="false">BP18+$D18*Inputs!$E$13</f>
        <v>12000</v>
      </c>
      <c r="CE18" s="84" t="n">
        <f aca="false">MIN(CB18,CD18)</f>
        <v>0</v>
      </c>
      <c r="CF18" s="84" t="n">
        <f aca="false">CD18-CE18</f>
        <v>12000</v>
      </c>
      <c r="CG18" s="84" t="n">
        <f aca="false">BS18+$G18*(CD18+BS18)</f>
        <v>0</v>
      </c>
      <c r="CH18" s="84" t="n">
        <f aca="false">MIN(CB18-CE18,CG18)</f>
        <v>0</v>
      </c>
      <c r="CI18" s="84" t="n">
        <f aca="false">CG18-CH18</f>
        <v>0</v>
      </c>
      <c r="CJ18" s="84" t="n">
        <f aca="false">IF($H18=1,MIN(CB18-CE18-CH18,MAX(0,$F18/(1-$F18)*(BX18+CH18)-BY18)),0)</f>
        <v>0</v>
      </c>
      <c r="CK18" s="84" t="n">
        <f aca="false">CB18-CE18-CH18-CJ18</f>
        <v>0</v>
      </c>
      <c r="CL18" s="84" t="n">
        <f aca="false">CE18+CH18+(1-$F18)*CK18</f>
        <v>0</v>
      </c>
      <c r="CM18" s="84" t="n">
        <f aca="false">CJ18+$F18*CK18</f>
        <v>0</v>
      </c>
      <c r="CN18" s="84" t="n">
        <f aca="false">BX18+CH18+(1-$F18)*CK18</f>
        <v>0</v>
      </c>
      <c r="CO18" s="84" t="n">
        <f aca="false">BY18+CM18</f>
        <v>0</v>
      </c>
      <c r="CP18" s="133" t="n">
        <f aca="false">CC18+$D18*Inputs!$F$13-$D18*$E18</f>
        <v>20022.64</v>
      </c>
      <c r="CQ18" s="84" t="n">
        <f aca="false">CP18*(1+$I18)</f>
        <v>24027.168</v>
      </c>
      <c r="CR18" s="133" t="n">
        <f aca="false">CQ18*Inputs!$F$14</f>
        <v>0</v>
      </c>
      <c r="CS18" s="84" t="n">
        <f aca="false">CQ18-CR18</f>
        <v>24027.168</v>
      </c>
      <c r="CT18" s="133" t="n">
        <f aca="false">CF18+$D18*Inputs!$F$13</f>
        <v>16000</v>
      </c>
      <c r="CU18" s="84" t="n">
        <f aca="false">MIN(CR18,CT18)</f>
        <v>0</v>
      </c>
      <c r="CV18" s="84" t="n">
        <f aca="false">CT18-CU18</f>
        <v>16000</v>
      </c>
      <c r="CW18" s="84" t="n">
        <f aca="false">CI18+$G18*(CT18+CI18)</f>
        <v>0</v>
      </c>
      <c r="CX18" s="84" t="n">
        <f aca="false">MIN(CR18-CU18,CW18)</f>
        <v>0</v>
      </c>
      <c r="CY18" s="84" t="n">
        <f aca="false">CW18-CX18</f>
        <v>0</v>
      </c>
      <c r="CZ18" s="84" t="n">
        <f aca="false">IF($H18=1,MIN(CR18-CU18-CX18,MAX(0,$F18/(1-$F18)*(CN18+CX18)-CO18)),0)</f>
        <v>0</v>
      </c>
      <c r="DA18" s="84" t="n">
        <f aca="false">CR18-CU18-CX18-CZ18</f>
        <v>0</v>
      </c>
      <c r="DB18" s="84" t="n">
        <f aca="false">CU18+CX18+(1-$F18)*DA18</f>
        <v>0</v>
      </c>
      <c r="DC18" s="84" t="n">
        <f aca="false">CZ18+$F18*DA18</f>
        <v>0</v>
      </c>
      <c r="DD18" s="84" t="n">
        <f aca="false">CN18+CX18+(1-$F18)*DA18</f>
        <v>0</v>
      </c>
      <c r="DE18" s="84" t="n">
        <f aca="false">CO18+DC18</f>
        <v>0</v>
      </c>
      <c r="DF18" s="133" t="n">
        <f aca="false">CS18+$D18*Inputs!$G$13-$D18*$E18</f>
        <v>27757.168</v>
      </c>
      <c r="DG18" s="84" t="n">
        <f aca="false">DF18*(1+$I18)</f>
        <v>33308.6016</v>
      </c>
      <c r="DH18" s="133" t="n">
        <f aca="false">DG18*Inputs!$G$14</f>
        <v>6661.72032</v>
      </c>
      <c r="DI18" s="84" t="n">
        <f aca="false">DG18-DH18</f>
        <v>26646.88128</v>
      </c>
      <c r="DJ18" s="133" t="n">
        <f aca="false">CV18+$D18*Inputs!$G$13</f>
        <v>20000</v>
      </c>
      <c r="DK18" s="84" t="n">
        <f aca="false">MIN(DH18,DJ18)</f>
        <v>6661.72032</v>
      </c>
      <c r="DL18" s="84" t="n">
        <f aca="false">DJ18-DK18</f>
        <v>13338.27968</v>
      </c>
      <c r="DM18" s="84" t="n">
        <f aca="false">CY18+$G18*(DJ18+CY18)</f>
        <v>0</v>
      </c>
      <c r="DN18" s="84" t="n">
        <f aca="false">MIN(DH18-DK18,DM18)</f>
        <v>0</v>
      </c>
      <c r="DO18" s="84" t="n">
        <f aca="false">DM18-DN18</f>
        <v>0</v>
      </c>
      <c r="DP18" s="84" t="n">
        <f aca="false">IF($H18=1,MIN(DH18-DK18-DN18,MAX(0,$F18/(1-$F18)*(DD18+DN18)-DE18)),0)</f>
        <v>0</v>
      </c>
      <c r="DQ18" s="84" t="n">
        <f aca="false">DH18-DK18-DN18-DP18</f>
        <v>0</v>
      </c>
      <c r="DR18" s="84" t="n">
        <f aca="false">DK18+DN18+(1-$F18)*DQ18</f>
        <v>6661.72032</v>
      </c>
      <c r="DS18" s="84" t="n">
        <f aca="false">DP18+$F18*DQ18</f>
        <v>0</v>
      </c>
      <c r="DT18" s="84" t="n">
        <f aca="false">DD18+DN18+(1-$F18)*DQ18</f>
        <v>0</v>
      </c>
      <c r="DU18" s="84" t="n">
        <f aca="false">DE18+DS18</f>
        <v>0</v>
      </c>
      <c r="DV18" s="133" t="n">
        <f aca="false">DI18+$D18*Inputs!$H$13-$D18*$E18</f>
        <v>26376.88128</v>
      </c>
      <c r="DW18" s="84" t="n">
        <f aca="false">DV18*(1+$I18)</f>
        <v>31652.257536</v>
      </c>
      <c r="DX18" s="133" t="n">
        <f aca="false">DW18*Inputs!$H$14</f>
        <v>6330.4515072</v>
      </c>
      <c r="DY18" s="84" t="n">
        <f aca="false">DW18-DX18</f>
        <v>25321.8060288</v>
      </c>
      <c r="DZ18" s="133" t="n">
        <f aca="false">DL18+$D18*Inputs!$H$13</f>
        <v>13338.27968</v>
      </c>
      <c r="EA18" s="84" t="n">
        <f aca="false">MIN(DX18,DZ18)</f>
        <v>6330.4515072</v>
      </c>
      <c r="EB18" s="84" t="n">
        <f aca="false">DZ18-EA18</f>
        <v>7007.8281728</v>
      </c>
      <c r="EC18" s="84" t="n">
        <f aca="false">DO18+$G18*(DZ18+DO18)</f>
        <v>0</v>
      </c>
      <c r="ED18" s="84" t="n">
        <f aca="false">MIN(DX18-EA18,EC18)</f>
        <v>0</v>
      </c>
      <c r="EE18" s="84" t="n">
        <f aca="false">EC18-ED18</f>
        <v>0</v>
      </c>
      <c r="EF18" s="84" t="n">
        <f aca="false">IF($H18=1,MIN(DX18-EA18-ED18,MAX(0,$F18/(1-$F18)*(DT18+ED18)-DU18)),0)</f>
        <v>0</v>
      </c>
      <c r="EG18" s="84" t="n">
        <f aca="false">DX18-EA18-ED18-EF18</f>
        <v>0</v>
      </c>
      <c r="EH18" s="84" t="n">
        <f aca="false">EA18+ED18+(1-$F18)*EG18</f>
        <v>6330.4515072</v>
      </c>
      <c r="EI18" s="84" t="n">
        <f aca="false">EF18+$F18*EG18</f>
        <v>0</v>
      </c>
      <c r="EJ18" s="84" t="n">
        <f aca="false">DT18+ED18+(1-$F18)*EG18</f>
        <v>0</v>
      </c>
      <c r="EK18" s="84" t="n">
        <f aca="false">DU18+EI18</f>
        <v>0</v>
      </c>
      <c r="EL18" s="133" t="n">
        <f aca="false">DY18+$D18*Inputs!$I$13-$D18*$E18</f>
        <v>25051.8060288</v>
      </c>
      <c r="EM18" s="84" t="n">
        <f aca="false">EL18*(1+$I18)</f>
        <v>30062.16723456</v>
      </c>
      <c r="EN18" s="133" t="n">
        <f aca="false">EM18*Inputs!$I$14</f>
        <v>6012.433446912</v>
      </c>
      <c r="EO18" s="84" t="n">
        <f aca="false">EM18-EN18</f>
        <v>24049.733787648</v>
      </c>
      <c r="EP18" s="133" t="n">
        <f aca="false">EB18+$D18*Inputs!$I$13</f>
        <v>7007.8281728</v>
      </c>
      <c r="EQ18" s="84" t="n">
        <f aca="false">MIN(EN18,EP18)</f>
        <v>6012.433446912</v>
      </c>
      <c r="ER18" s="84" t="n">
        <f aca="false">EP18-EQ18</f>
        <v>995.394725888003</v>
      </c>
      <c r="ES18" s="84" t="n">
        <f aca="false">EE18+$G18*(EP18+EE18)</f>
        <v>0</v>
      </c>
      <c r="ET18" s="84" t="n">
        <f aca="false">MIN(EN18-EQ18,ES18)</f>
        <v>0</v>
      </c>
      <c r="EU18" s="84" t="n">
        <f aca="false">ES18-ET18</f>
        <v>0</v>
      </c>
      <c r="EV18" s="84" t="n">
        <f aca="false">IF($H18=1,MIN(EN18-EQ18-ET18,MAX(0,$F18/(1-$F18)*(EJ18+ET18)-EK18)),0)</f>
        <v>0</v>
      </c>
      <c r="EW18" s="84" t="n">
        <f aca="false">EN18-EQ18-ET18-EV18</f>
        <v>0</v>
      </c>
      <c r="EX18" s="84" t="n">
        <f aca="false">EQ18+ET18+(1-$F18)*EW18</f>
        <v>6012.433446912</v>
      </c>
      <c r="EY18" s="84" t="n">
        <f aca="false">EV18+$F18*EW18</f>
        <v>0</v>
      </c>
      <c r="EZ18" s="84" t="n">
        <f aca="false">EJ18+ET18+(1-$F18)*EW18</f>
        <v>0</v>
      </c>
      <c r="FA18" s="84" t="n">
        <f aca="false">EK18+EY18</f>
        <v>0</v>
      </c>
      <c r="FB18" s="133" t="n">
        <f aca="false">EO18+$D18*Inputs!$J$13-$D18*$E18</f>
        <v>23779.733787648</v>
      </c>
      <c r="FC18" s="84" t="n">
        <f aca="false">FB18*(1+$I18)</f>
        <v>28535.6805451776</v>
      </c>
      <c r="FD18" s="133" t="n">
        <f aca="false">FC18*Inputs!$J$14</f>
        <v>5707.13610903552</v>
      </c>
      <c r="FE18" s="84" t="n">
        <f aca="false">FC18-FD18</f>
        <v>22828.5444361421</v>
      </c>
      <c r="FF18" s="133" t="n">
        <f aca="false">ER18+$D18*Inputs!$J$13</f>
        <v>995.394725888003</v>
      </c>
      <c r="FG18" s="84" t="n">
        <f aca="false">MIN(FD18,FF18)</f>
        <v>995.394725888003</v>
      </c>
      <c r="FH18" s="84" t="n">
        <f aca="false">FF18-FG18</f>
        <v>0</v>
      </c>
      <c r="FI18" s="84" t="n">
        <f aca="false">EU18+$G18*(FF18+EU18)</f>
        <v>0</v>
      </c>
      <c r="FJ18" s="84" t="n">
        <f aca="false">MIN(FD18-FG18,FI18)</f>
        <v>0</v>
      </c>
      <c r="FK18" s="84" t="n">
        <f aca="false">FI18-FJ18</f>
        <v>0</v>
      </c>
      <c r="FL18" s="84" t="n">
        <f aca="false">IF($H18=1,MIN(FD18-FG18-FJ18,MAX(0,$F18/(1-$F18)*(EZ18+FJ18)-FA18)),0)</f>
        <v>0</v>
      </c>
      <c r="FM18" s="84" t="n">
        <f aca="false">FD18-FG18-FJ18-FL18</f>
        <v>4711.74138314751</v>
      </c>
      <c r="FN18" s="84" t="n">
        <f aca="false">FG18+FJ18+(1-$F18)*FM18</f>
        <v>5707.13610903552</v>
      </c>
      <c r="FO18" s="84" t="n">
        <f aca="false">FL18+$F18*FM18</f>
        <v>0</v>
      </c>
      <c r="FP18" s="84" t="n">
        <f aca="false">EZ18+FJ18+(1-$F18)*FM18</f>
        <v>4711.74138314751</v>
      </c>
      <c r="FQ18" s="84" t="n">
        <f aca="false">FA18+FO18</f>
        <v>0</v>
      </c>
      <c r="FR18" s="133" t="n">
        <f aca="false">FE18+$D18*Inputs!$K$13-$D18*$E18</f>
        <v>22558.5444361421</v>
      </c>
      <c r="FS18" s="84" t="n">
        <f aca="false">FR18*(1+$I18)</f>
        <v>27070.2533233705</v>
      </c>
      <c r="FT18" s="133" t="n">
        <f aca="false">FS18*Inputs!$K$14</f>
        <v>5414.0506646741</v>
      </c>
      <c r="FU18" s="84" t="n">
        <f aca="false">FS18-FT18</f>
        <v>21656.2026586964</v>
      </c>
      <c r="FV18" s="133" t="n">
        <f aca="false">FH18+$D18*Inputs!$K$13</f>
        <v>0</v>
      </c>
      <c r="FW18" s="84" t="n">
        <f aca="false">MIN(FT18,FV18)</f>
        <v>0</v>
      </c>
      <c r="FX18" s="84" t="n">
        <f aca="false">FV18-FW18</f>
        <v>0</v>
      </c>
      <c r="FY18" s="84" t="n">
        <f aca="false">FK18+$G18*(FV18+FK18)</f>
        <v>0</v>
      </c>
      <c r="FZ18" s="84" t="n">
        <f aca="false">MIN(FT18-FW18,FY18)</f>
        <v>0</v>
      </c>
      <c r="GA18" s="84" t="n">
        <f aca="false">FY18-FZ18</f>
        <v>0</v>
      </c>
      <c r="GB18" s="84" t="n">
        <f aca="false">IF($H18=1,MIN(FT18-FW18-FZ18,MAX(0,$F18/(1-$F18)*(FP18+FZ18)-FQ18)),0)</f>
        <v>0</v>
      </c>
      <c r="GC18" s="84" t="n">
        <f aca="false">FT18-FW18-FZ18-GB18</f>
        <v>5414.0506646741</v>
      </c>
      <c r="GD18" s="84" t="n">
        <f aca="false">FW18+FZ18+(1-$F18)*GC18</f>
        <v>5414.0506646741</v>
      </c>
      <c r="GE18" s="84" t="n">
        <f aca="false">GB18+$F18*GC18</f>
        <v>0</v>
      </c>
      <c r="GF18" s="84" t="n">
        <f aca="false">FP18+FZ18+(1-$F18)*GC18</f>
        <v>10125.7920478216</v>
      </c>
      <c r="GG18" s="84" t="n">
        <f aca="false">FQ18+GE18</f>
        <v>0</v>
      </c>
      <c r="GH18" s="133" t="n">
        <f aca="false">FU18+$D18*Inputs!$L$13-$D18*$E18</f>
        <v>21386.2026586964</v>
      </c>
      <c r="GI18" s="84" t="n">
        <f aca="false">GH18*(1+$I18)</f>
        <v>25663.4431904357</v>
      </c>
      <c r="GJ18" s="133" t="n">
        <f aca="false">GI18*Inputs!$L$14</f>
        <v>25663.4431904357</v>
      </c>
      <c r="GK18" s="84" t="n">
        <f aca="false">GI18-GJ18</f>
        <v>0</v>
      </c>
      <c r="GL18" s="133" t="n">
        <f aca="false">FX18+$D18*Inputs!$L$13</f>
        <v>0</v>
      </c>
      <c r="GM18" s="84" t="n">
        <f aca="false">MIN(GJ18,GL18)</f>
        <v>0</v>
      </c>
      <c r="GN18" s="84" t="n">
        <f aca="false">GL18-GM18</f>
        <v>0</v>
      </c>
      <c r="GO18" s="84" t="n">
        <f aca="false">GA18+$G18*(GL18+GA18)</f>
        <v>0</v>
      </c>
      <c r="GP18" s="84" t="n">
        <f aca="false">MIN(GJ18-GM18,GO18)</f>
        <v>0</v>
      </c>
      <c r="GQ18" s="84" t="n">
        <f aca="false">GO18-GP18</f>
        <v>0</v>
      </c>
      <c r="GR18" s="84" t="n">
        <f aca="false">IF($H18=1,MIN(GJ18-GM18-GP18,MAX(0,$F18/(1-$F18)*(GF18+GP18)-GG18)),0)</f>
        <v>0</v>
      </c>
      <c r="GS18" s="84" t="n">
        <f aca="false">GJ18-GM18-GP18-GR18</f>
        <v>25663.4431904357</v>
      </c>
      <c r="GT18" s="84" t="n">
        <f aca="false">GM18+GP18+(1-$F18)*GS18</f>
        <v>25663.4431904357</v>
      </c>
      <c r="GU18" s="84" t="n">
        <f aca="false">GR18+$F18*GS18</f>
        <v>0</v>
      </c>
      <c r="GV18" s="84" t="n">
        <f aca="false">GF18+GP18+(1-$F18)*GS18</f>
        <v>35789.2352382573</v>
      </c>
      <c r="GW18" s="84" t="n">
        <f aca="false">GG18+GU18</f>
        <v>0</v>
      </c>
    </row>
    <row r="20" customFormat="false" ht="15" hidden="false" customHeight="false" outlineLevel="0" collapsed="false">
      <c r="A20" s="3" t="s">
        <v>634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customFormat="false" ht="15" hidden="false" customHeight="false" outlineLevel="0" collapsed="false">
      <c r="A21" s="5" t="s">
        <v>635</v>
      </c>
      <c r="B21" s="5" t="s">
        <v>636</v>
      </c>
      <c r="C21" s="135" t="n">
        <v>0</v>
      </c>
      <c r="D21" s="47" t="n">
        <f aca="false">Inputs!$C$6</f>
        <v>20000</v>
      </c>
      <c r="E21" s="35" t="n">
        <f aca="false">Inputs!$C$18</f>
        <v>0.015</v>
      </c>
      <c r="F21" s="36" t="n">
        <f aca="false">Inputs!$C$20</f>
        <v>0.2</v>
      </c>
      <c r="G21" s="30" t="n">
        <v>0</v>
      </c>
      <c r="H21" s="27" t="n">
        <v>0</v>
      </c>
      <c r="I21" s="132" t="n">
        <f aca="false">Inputs!$C$38+$C21*Inputs!$C$39</f>
        <v>0</v>
      </c>
      <c r="J21" s="36" t="n">
        <f aca="false">Inputs!$C$9</f>
        <v>0.15</v>
      </c>
      <c r="K21" s="89" t="n">
        <f aca="false">IRR(W21:AG21,0.1)</f>
        <v>-0.0287406320352517</v>
      </c>
      <c r="L21" s="45" t="n">
        <f aca="false">W21+NPV($J21,X21:AG21)</f>
        <v>-9275.93804806398</v>
      </c>
      <c r="M21" s="45" t="n">
        <f aca="false">SUM(BF21,BV21,CL21,DB21,DR21,EH21,EX21,FN21,GD21,GT21)</f>
        <v>17000</v>
      </c>
      <c r="N21" s="43" t="n">
        <f aca="false">IF($D21*SUM(Inputs!$C$13:$L$13)=0,0,M21/($D21*SUM(Inputs!$C$13:$L$13)))</f>
        <v>0.85</v>
      </c>
      <c r="O21" s="42" t="n">
        <f aca="false">$D21*$E21*COLUMNS(Inputs!$C$13:$L$13)</f>
        <v>3000</v>
      </c>
      <c r="P21" s="45" t="n">
        <f aca="false">SUM(BG21,BW21,CM21,DC21,DS21,EI21,EY21,FO21,GE21,GU21)</f>
        <v>0</v>
      </c>
      <c r="Q21" s="42" t="n">
        <f aca="false">PV($J21,COLUMNS(Inputs!$C$13:$L$13),-$D21*$E21,0,1)</f>
        <v>1731.47517591971</v>
      </c>
      <c r="R21" s="45" t="n">
        <f aca="false">NPV($J21,BG21,BW21,CM21,DC21,DS21,EI21,EY21,FO21,GE21,GU21)</f>
        <v>0</v>
      </c>
      <c r="S21" s="45" t="n">
        <f aca="false">Q21+R21</f>
        <v>1731.47517591971</v>
      </c>
      <c r="T21" s="32" t="n">
        <f aca="false">IF(S21=0,0,Q21/S21)</f>
        <v>1</v>
      </c>
      <c r="U21" s="45" t="n">
        <f aca="false">ROUND(ABS(GK21)+ABS(SUM(AV21,BL21,CB21,CR21,DH21,DX21,EN21,FD21,FT21,GJ21)-M21-P21)+ABS(S21-(AH21+NPV($J21,AI21:AR21))),6)</f>
        <v>0</v>
      </c>
      <c r="W21" s="133" t="n">
        <f aca="false">-$D21*Inputs!$C$13</f>
        <v>-4000</v>
      </c>
      <c r="X21" s="133" t="n">
        <f aca="false">BF21-$D21*Inputs!$D$13</f>
        <v>-4000</v>
      </c>
      <c r="Y21" s="133" t="n">
        <f aca="false">BV21-$D21*Inputs!$E$13</f>
        <v>-4000</v>
      </c>
      <c r="Z21" s="133" t="n">
        <f aca="false">CL21-$D21*Inputs!$F$13</f>
        <v>-4000</v>
      </c>
      <c r="AA21" s="133" t="n">
        <f aca="false">DB21-$D21*Inputs!$G$13</f>
        <v>-4000</v>
      </c>
      <c r="AB21" s="133" t="n">
        <f aca="false">DR21-$D21*Inputs!$H$13</f>
        <v>3700</v>
      </c>
      <c r="AC21" s="133" t="n">
        <f aca="false">EH21-$D21*Inputs!$I$13</f>
        <v>2900</v>
      </c>
      <c r="AD21" s="133" t="n">
        <f aca="false">EX21-$D21*Inputs!$J$13</f>
        <v>2260</v>
      </c>
      <c r="AE21" s="133" t="n">
        <f aca="false">FN21-$D21*Inputs!$K$13</f>
        <v>1748</v>
      </c>
      <c r="AF21" s="133" t="n">
        <f aca="false">GD21-$D21*Inputs!$L$13</f>
        <v>1338.4</v>
      </c>
      <c r="AG21" s="84" t="n">
        <f aca="false">GT21</f>
        <v>5053.6</v>
      </c>
      <c r="AH21" s="84" t="n">
        <f aca="false">$D21*$E21</f>
        <v>300</v>
      </c>
      <c r="AI21" s="84" t="n">
        <f aca="false">BG21+$D21*$E21</f>
        <v>300</v>
      </c>
      <c r="AJ21" s="84" t="n">
        <f aca="false">BW21+$D21*$E21</f>
        <v>300</v>
      </c>
      <c r="AK21" s="84" t="n">
        <f aca="false">CM21+$D21*$E21</f>
        <v>300</v>
      </c>
      <c r="AL21" s="84" t="n">
        <f aca="false">DC21+$D21*$E21</f>
        <v>300</v>
      </c>
      <c r="AM21" s="84" t="n">
        <f aca="false">DS21+$D21*$E21</f>
        <v>300</v>
      </c>
      <c r="AN21" s="84" t="n">
        <f aca="false">EI21+$D21*$E21</f>
        <v>300</v>
      </c>
      <c r="AO21" s="84" t="n">
        <f aca="false">EY21+$D21*$E21</f>
        <v>300</v>
      </c>
      <c r="AP21" s="84" t="n">
        <f aca="false">FO21+$D21*$E21</f>
        <v>300</v>
      </c>
      <c r="AQ21" s="84" t="n">
        <f aca="false">GE21+$D21*$E21</f>
        <v>300</v>
      </c>
      <c r="AR21" s="84" t="n">
        <f aca="false">GU21</f>
        <v>0</v>
      </c>
      <c r="AT21" s="133" t="n">
        <f aca="false">$D21*Inputs!$C$13-$D21*$E21</f>
        <v>3700</v>
      </c>
      <c r="AU21" s="84" t="n">
        <f aca="false">AT21*(1+$I21)</f>
        <v>3700</v>
      </c>
      <c r="AV21" s="133" t="n">
        <f aca="false">AU21*Inputs!$C$14</f>
        <v>0</v>
      </c>
      <c r="AW21" s="84" t="n">
        <f aca="false">AU21-AV21</f>
        <v>3700</v>
      </c>
      <c r="AX21" s="133" t="n">
        <f aca="false">$D21*Inputs!$C$13</f>
        <v>4000</v>
      </c>
      <c r="AY21" s="84" t="n">
        <f aca="false">MIN(AV21,AX21)</f>
        <v>0</v>
      </c>
      <c r="AZ21" s="84" t="n">
        <f aca="false">AX21-AY21</f>
        <v>4000</v>
      </c>
      <c r="BA21" s="84" t="n">
        <f aca="false">$G21*AX21</f>
        <v>0</v>
      </c>
      <c r="BB21" s="84" t="n">
        <f aca="false">MIN(AV21-AY21,BA21)</f>
        <v>0</v>
      </c>
      <c r="BC21" s="84" t="n">
        <f aca="false">BA21-BB21</f>
        <v>0</v>
      </c>
      <c r="BD21" s="84" t="n">
        <f aca="false">IF($H21=1,MIN(AV21-AY21-BB21,MAX(0,$F21/(1-$F21)*BB21)),0)</f>
        <v>0</v>
      </c>
      <c r="BE21" s="84" t="n">
        <f aca="false">AV21-AY21-BB21-BD21</f>
        <v>0</v>
      </c>
      <c r="BF21" s="84" t="n">
        <f aca="false">AY21+BB21+(1-$F21)*BE21</f>
        <v>0</v>
      </c>
      <c r="BG21" s="84" t="n">
        <f aca="false">BD21+$F21*BE21</f>
        <v>0</v>
      </c>
      <c r="BH21" s="84" t="n">
        <f aca="false">BB21+(1-$F21)*BE21</f>
        <v>0</v>
      </c>
      <c r="BI21" s="84" t="n">
        <f aca="false">BG21</f>
        <v>0</v>
      </c>
      <c r="BJ21" s="133" t="n">
        <f aca="false">AW21+$D21*Inputs!$D$13-$D21*$E21</f>
        <v>7400</v>
      </c>
      <c r="BK21" s="84" t="n">
        <f aca="false">BJ21*(1+$I21)</f>
        <v>7400</v>
      </c>
      <c r="BL21" s="133" t="n">
        <f aca="false">BK21*Inputs!$D$14</f>
        <v>0</v>
      </c>
      <c r="BM21" s="84" t="n">
        <f aca="false">BK21-BL21</f>
        <v>7400</v>
      </c>
      <c r="BN21" s="133" t="n">
        <f aca="false">AZ21+$D21*Inputs!$D$13</f>
        <v>8000</v>
      </c>
      <c r="BO21" s="84" t="n">
        <f aca="false">MIN(BL21,BN21)</f>
        <v>0</v>
      </c>
      <c r="BP21" s="84" t="n">
        <f aca="false">BN21-BO21</f>
        <v>8000</v>
      </c>
      <c r="BQ21" s="84" t="n">
        <f aca="false">BC21+$G21*(BN21+BC21)</f>
        <v>0</v>
      </c>
      <c r="BR21" s="84" t="n">
        <f aca="false">MIN(BL21-BO21,BQ21)</f>
        <v>0</v>
      </c>
      <c r="BS21" s="84" t="n">
        <f aca="false">BQ21-BR21</f>
        <v>0</v>
      </c>
      <c r="BT21" s="84" t="n">
        <f aca="false">IF($H21=1,MIN(BL21-BO21-BR21,MAX(0,$F21/(1-$F21)*(BH21+BR21)-BI21)),0)</f>
        <v>0</v>
      </c>
      <c r="BU21" s="84" t="n">
        <f aca="false">BL21-BO21-BR21-BT21</f>
        <v>0</v>
      </c>
      <c r="BV21" s="84" t="n">
        <f aca="false">BO21+BR21+(1-$F21)*BU21</f>
        <v>0</v>
      </c>
      <c r="BW21" s="84" t="n">
        <f aca="false">BT21+$F21*BU21</f>
        <v>0</v>
      </c>
      <c r="BX21" s="84" t="n">
        <f aca="false">BH21+BR21+(1-$F21)*BU21</f>
        <v>0</v>
      </c>
      <c r="BY21" s="84" t="n">
        <f aca="false">BI21+BW21</f>
        <v>0</v>
      </c>
      <c r="BZ21" s="133" t="n">
        <f aca="false">BM21+$D21*Inputs!$E$13-$D21*$E21</f>
        <v>11100</v>
      </c>
      <c r="CA21" s="84" t="n">
        <f aca="false">BZ21*(1+$I21)</f>
        <v>11100</v>
      </c>
      <c r="CB21" s="133" t="n">
        <f aca="false">CA21*Inputs!$E$14</f>
        <v>0</v>
      </c>
      <c r="CC21" s="84" t="n">
        <f aca="false">CA21-CB21</f>
        <v>11100</v>
      </c>
      <c r="CD21" s="133" t="n">
        <f aca="false">BP21+$D21*Inputs!$E$13</f>
        <v>12000</v>
      </c>
      <c r="CE21" s="84" t="n">
        <f aca="false">MIN(CB21,CD21)</f>
        <v>0</v>
      </c>
      <c r="CF21" s="84" t="n">
        <f aca="false">CD21-CE21</f>
        <v>12000</v>
      </c>
      <c r="CG21" s="84" t="n">
        <f aca="false">BS21+$G21*(CD21+BS21)</f>
        <v>0</v>
      </c>
      <c r="CH21" s="84" t="n">
        <f aca="false">MIN(CB21-CE21,CG21)</f>
        <v>0</v>
      </c>
      <c r="CI21" s="84" t="n">
        <f aca="false">CG21-CH21</f>
        <v>0</v>
      </c>
      <c r="CJ21" s="84" t="n">
        <f aca="false">IF($H21=1,MIN(CB21-CE21-CH21,MAX(0,$F21/(1-$F21)*(BX21+CH21)-BY21)),0)</f>
        <v>0</v>
      </c>
      <c r="CK21" s="84" t="n">
        <f aca="false">CB21-CE21-CH21-CJ21</f>
        <v>0</v>
      </c>
      <c r="CL21" s="84" t="n">
        <f aca="false">CE21+CH21+(1-$F21)*CK21</f>
        <v>0</v>
      </c>
      <c r="CM21" s="84" t="n">
        <f aca="false">CJ21+$F21*CK21</f>
        <v>0</v>
      </c>
      <c r="CN21" s="84" t="n">
        <f aca="false">BX21+CH21+(1-$F21)*CK21</f>
        <v>0</v>
      </c>
      <c r="CO21" s="84" t="n">
        <f aca="false">BY21+CM21</f>
        <v>0</v>
      </c>
      <c r="CP21" s="133" t="n">
        <f aca="false">CC21+$D21*Inputs!$F$13-$D21*$E21</f>
        <v>14800</v>
      </c>
      <c r="CQ21" s="84" t="n">
        <f aca="false">CP21*(1+$I21)</f>
        <v>14800</v>
      </c>
      <c r="CR21" s="133" t="n">
        <f aca="false">CQ21*Inputs!$F$14</f>
        <v>0</v>
      </c>
      <c r="CS21" s="84" t="n">
        <f aca="false">CQ21-CR21</f>
        <v>14800</v>
      </c>
      <c r="CT21" s="133" t="n">
        <f aca="false">CF21+$D21*Inputs!$F$13</f>
        <v>16000</v>
      </c>
      <c r="CU21" s="84" t="n">
        <f aca="false">MIN(CR21,CT21)</f>
        <v>0</v>
      </c>
      <c r="CV21" s="84" t="n">
        <f aca="false">CT21-CU21</f>
        <v>16000</v>
      </c>
      <c r="CW21" s="84" t="n">
        <f aca="false">CI21+$G21*(CT21+CI21)</f>
        <v>0</v>
      </c>
      <c r="CX21" s="84" t="n">
        <f aca="false">MIN(CR21-CU21,CW21)</f>
        <v>0</v>
      </c>
      <c r="CY21" s="84" t="n">
        <f aca="false">CW21-CX21</f>
        <v>0</v>
      </c>
      <c r="CZ21" s="84" t="n">
        <f aca="false">IF($H21=1,MIN(CR21-CU21-CX21,MAX(0,$F21/(1-$F21)*(CN21+CX21)-CO21)),0)</f>
        <v>0</v>
      </c>
      <c r="DA21" s="84" t="n">
        <f aca="false">CR21-CU21-CX21-CZ21</f>
        <v>0</v>
      </c>
      <c r="DB21" s="84" t="n">
        <f aca="false">CU21+CX21+(1-$F21)*DA21</f>
        <v>0</v>
      </c>
      <c r="DC21" s="84" t="n">
        <f aca="false">CZ21+$F21*DA21</f>
        <v>0</v>
      </c>
      <c r="DD21" s="84" t="n">
        <f aca="false">CN21+CX21+(1-$F21)*DA21</f>
        <v>0</v>
      </c>
      <c r="DE21" s="84" t="n">
        <f aca="false">CO21+DC21</f>
        <v>0</v>
      </c>
      <c r="DF21" s="133" t="n">
        <f aca="false">CS21+$D21*Inputs!$G$13-$D21*$E21</f>
        <v>18500</v>
      </c>
      <c r="DG21" s="84" t="n">
        <f aca="false">DF21*(1+$I21)</f>
        <v>18500</v>
      </c>
      <c r="DH21" s="133" t="n">
        <f aca="false">DG21*Inputs!$G$14</f>
        <v>3700</v>
      </c>
      <c r="DI21" s="84" t="n">
        <f aca="false">DG21-DH21</f>
        <v>14800</v>
      </c>
      <c r="DJ21" s="133" t="n">
        <f aca="false">CV21+$D21*Inputs!$G$13</f>
        <v>20000</v>
      </c>
      <c r="DK21" s="84" t="n">
        <f aca="false">MIN(DH21,DJ21)</f>
        <v>3700</v>
      </c>
      <c r="DL21" s="84" t="n">
        <f aca="false">DJ21-DK21</f>
        <v>16300</v>
      </c>
      <c r="DM21" s="84" t="n">
        <f aca="false">CY21+$G21*(DJ21+CY21)</f>
        <v>0</v>
      </c>
      <c r="DN21" s="84" t="n">
        <f aca="false">MIN(DH21-DK21,DM21)</f>
        <v>0</v>
      </c>
      <c r="DO21" s="84" t="n">
        <f aca="false">DM21-DN21</f>
        <v>0</v>
      </c>
      <c r="DP21" s="84" t="n">
        <f aca="false">IF($H21=1,MIN(DH21-DK21-DN21,MAX(0,$F21/(1-$F21)*(DD21+DN21)-DE21)),0)</f>
        <v>0</v>
      </c>
      <c r="DQ21" s="84" t="n">
        <f aca="false">DH21-DK21-DN21-DP21</f>
        <v>0</v>
      </c>
      <c r="DR21" s="84" t="n">
        <f aca="false">DK21+DN21+(1-$F21)*DQ21</f>
        <v>3700</v>
      </c>
      <c r="DS21" s="84" t="n">
        <f aca="false">DP21+$F21*DQ21</f>
        <v>0</v>
      </c>
      <c r="DT21" s="84" t="n">
        <f aca="false">DD21+DN21+(1-$F21)*DQ21</f>
        <v>0</v>
      </c>
      <c r="DU21" s="84" t="n">
        <f aca="false">DE21+DS21</f>
        <v>0</v>
      </c>
      <c r="DV21" s="133" t="n">
        <f aca="false">DI21+$D21*Inputs!$H$13-$D21*$E21</f>
        <v>14500</v>
      </c>
      <c r="DW21" s="84" t="n">
        <f aca="false">DV21*(1+$I21)</f>
        <v>14500</v>
      </c>
      <c r="DX21" s="133" t="n">
        <f aca="false">DW21*Inputs!$H$14</f>
        <v>2900</v>
      </c>
      <c r="DY21" s="84" t="n">
        <f aca="false">DW21-DX21</f>
        <v>11600</v>
      </c>
      <c r="DZ21" s="133" t="n">
        <f aca="false">DL21+$D21*Inputs!$H$13</f>
        <v>16300</v>
      </c>
      <c r="EA21" s="84" t="n">
        <f aca="false">MIN(DX21,DZ21)</f>
        <v>2900</v>
      </c>
      <c r="EB21" s="84" t="n">
        <f aca="false">DZ21-EA21</f>
        <v>13400</v>
      </c>
      <c r="EC21" s="84" t="n">
        <f aca="false">DO21+$G21*(DZ21+DO21)</f>
        <v>0</v>
      </c>
      <c r="ED21" s="84" t="n">
        <f aca="false">MIN(DX21-EA21,EC21)</f>
        <v>0</v>
      </c>
      <c r="EE21" s="84" t="n">
        <f aca="false">EC21-ED21</f>
        <v>0</v>
      </c>
      <c r="EF21" s="84" t="n">
        <f aca="false">IF($H21=1,MIN(DX21-EA21-ED21,MAX(0,$F21/(1-$F21)*(DT21+ED21)-DU21)),0)</f>
        <v>0</v>
      </c>
      <c r="EG21" s="84" t="n">
        <f aca="false">DX21-EA21-ED21-EF21</f>
        <v>0</v>
      </c>
      <c r="EH21" s="84" t="n">
        <f aca="false">EA21+ED21+(1-$F21)*EG21</f>
        <v>2900</v>
      </c>
      <c r="EI21" s="84" t="n">
        <f aca="false">EF21+$F21*EG21</f>
        <v>0</v>
      </c>
      <c r="EJ21" s="84" t="n">
        <f aca="false">DT21+ED21+(1-$F21)*EG21</f>
        <v>0</v>
      </c>
      <c r="EK21" s="84" t="n">
        <f aca="false">DU21+EI21</f>
        <v>0</v>
      </c>
      <c r="EL21" s="133" t="n">
        <f aca="false">DY21+$D21*Inputs!$I$13-$D21*$E21</f>
        <v>11300</v>
      </c>
      <c r="EM21" s="84" t="n">
        <f aca="false">EL21*(1+$I21)</f>
        <v>11300</v>
      </c>
      <c r="EN21" s="133" t="n">
        <f aca="false">EM21*Inputs!$I$14</f>
        <v>2260</v>
      </c>
      <c r="EO21" s="84" t="n">
        <f aca="false">EM21-EN21</f>
        <v>9040</v>
      </c>
      <c r="EP21" s="133" t="n">
        <f aca="false">EB21+$D21*Inputs!$I$13</f>
        <v>13400</v>
      </c>
      <c r="EQ21" s="84" t="n">
        <f aca="false">MIN(EN21,EP21)</f>
        <v>2260</v>
      </c>
      <c r="ER21" s="84" t="n">
        <f aca="false">EP21-EQ21</f>
        <v>11140</v>
      </c>
      <c r="ES21" s="84" t="n">
        <f aca="false">EE21+$G21*(EP21+EE21)</f>
        <v>0</v>
      </c>
      <c r="ET21" s="84" t="n">
        <f aca="false">MIN(EN21-EQ21,ES21)</f>
        <v>0</v>
      </c>
      <c r="EU21" s="84" t="n">
        <f aca="false">ES21-ET21</f>
        <v>0</v>
      </c>
      <c r="EV21" s="84" t="n">
        <f aca="false">IF($H21=1,MIN(EN21-EQ21-ET21,MAX(0,$F21/(1-$F21)*(EJ21+ET21)-EK21)),0)</f>
        <v>0</v>
      </c>
      <c r="EW21" s="84" t="n">
        <f aca="false">EN21-EQ21-ET21-EV21</f>
        <v>0</v>
      </c>
      <c r="EX21" s="84" t="n">
        <f aca="false">EQ21+ET21+(1-$F21)*EW21</f>
        <v>2260</v>
      </c>
      <c r="EY21" s="84" t="n">
        <f aca="false">EV21+$F21*EW21</f>
        <v>0</v>
      </c>
      <c r="EZ21" s="84" t="n">
        <f aca="false">EJ21+ET21+(1-$F21)*EW21</f>
        <v>0</v>
      </c>
      <c r="FA21" s="84" t="n">
        <f aca="false">EK21+EY21</f>
        <v>0</v>
      </c>
      <c r="FB21" s="133" t="n">
        <f aca="false">EO21+$D21*Inputs!$J$13-$D21*$E21</f>
        <v>8740</v>
      </c>
      <c r="FC21" s="84" t="n">
        <f aca="false">FB21*(1+$I21)</f>
        <v>8740</v>
      </c>
      <c r="FD21" s="133" t="n">
        <f aca="false">FC21*Inputs!$J$14</f>
        <v>1748</v>
      </c>
      <c r="FE21" s="84" t="n">
        <f aca="false">FC21-FD21</f>
        <v>6992</v>
      </c>
      <c r="FF21" s="133" t="n">
        <f aca="false">ER21+$D21*Inputs!$J$13</f>
        <v>11140</v>
      </c>
      <c r="FG21" s="84" t="n">
        <f aca="false">MIN(FD21,FF21)</f>
        <v>1748</v>
      </c>
      <c r="FH21" s="84" t="n">
        <f aca="false">FF21-FG21</f>
        <v>9392</v>
      </c>
      <c r="FI21" s="84" t="n">
        <f aca="false">EU21+$G21*(FF21+EU21)</f>
        <v>0</v>
      </c>
      <c r="FJ21" s="84" t="n">
        <f aca="false">MIN(FD21-FG21,FI21)</f>
        <v>0</v>
      </c>
      <c r="FK21" s="84" t="n">
        <f aca="false">FI21-FJ21</f>
        <v>0</v>
      </c>
      <c r="FL21" s="84" t="n">
        <f aca="false">IF($H21=1,MIN(FD21-FG21-FJ21,MAX(0,$F21/(1-$F21)*(EZ21+FJ21)-FA21)),0)</f>
        <v>0</v>
      </c>
      <c r="FM21" s="84" t="n">
        <f aca="false">FD21-FG21-FJ21-FL21</f>
        <v>0</v>
      </c>
      <c r="FN21" s="84" t="n">
        <f aca="false">FG21+FJ21+(1-$F21)*FM21</f>
        <v>1748</v>
      </c>
      <c r="FO21" s="84" t="n">
        <f aca="false">FL21+$F21*FM21</f>
        <v>0</v>
      </c>
      <c r="FP21" s="84" t="n">
        <f aca="false">EZ21+FJ21+(1-$F21)*FM21</f>
        <v>0</v>
      </c>
      <c r="FQ21" s="84" t="n">
        <f aca="false">FA21+FO21</f>
        <v>0</v>
      </c>
      <c r="FR21" s="133" t="n">
        <f aca="false">FE21+$D21*Inputs!$K$13-$D21*$E21</f>
        <v>6692</v>
      </c>
      <c r="FS21" s="84" t="n">
        <f aca="false">FR21*(1+$I21)</f>
        <v>6692</v>
      </c>
      <c r="FT21" s="133" t="n">
        <f aca="false">FS21*Inputs!$K$14</f>
        <v>1338.4</v>
      </c>
      <c r="FU21" s="84" t="n">
        <f aca="false">FS21-FT21</f>
        <v>5353.6</v>
      </c>
      <c r="FV21" s="133" t="n">
        <f aca="false">FH21+$D21*Inputs!$K$13</f>
        <v>9392</v>
      </c>
      <c r="FW21" s="84" t="n">
        <f aca="false">MIN(FT21,FV21)</f>
        <v>1338.4</v>
      </c>
      <c r="FX21" s="84" t="n">
        <f aca="false">FV21-FW21</f>
        <v>8053.6</v>
      </c>
      <c r="FY21" s="84" t="n">
        <f aca="false">FK21+$G21*(FV21+FK21)</f>
        <v>0</v>
      </c>
      <c r="FZ21" s="84" t="n">
        <f aca="false">MIN(FT21-FW21,FY21)</f>
        <v>0</v>
      </c>
      <c r="GA21" s="84" t="n">
        <f aca="false">FY21-FZ21</f>
        <v>0</v>
      </c>
      <c r="GB21" s="84" t="n">
        <f aca="false">IF($H21=1,MIN(FT21-FW21-FZ21,MAX(0,$F21/(1-$F21)*(FP21+FZ21)-FQ21)),0)</f>
        <v>0</v>
      </c>
      <c r="GC21" s="84" t="n">
        <f aca="false">FT21-FW21-FZ21-GB21</f>
        <v>0</v>
      </c>
      <c r="GD21" s="84" t="n">
        <f aca="false">FW21+FZ21+(1-$F21)*GC21</f>
        <v>1338.4</v>
      </c>
      <c r="GE21" s="84" t="n">
        <f aca="false">GB21+$F21*GC21</f>
        <v>0</v>
      </c>
      <c r="GF21" s="84" t="n">
        <f aca="false">FP21+FZ21+(1-$F21)*GC21</f>
        <v>0</v>
      </c>
      <c r="GG21" s="84" t="n">
        <f aca="false">FQ21+GE21</f>
        <v>0</v>
      </c>
      <c r="GH21" s="133" t="n">
        <f aca="false">FU21+$D21*Inputs!$L$13-$D21*$E21</f>
        <v>5053.6</v>
      </c>
      <c r="GI21" s="84" t="n">
        <f aca="false">GH21*(1+$I21)</f>
        <v>5053.6</v>
      </c>
      <c r="GJ21" s="133" t="n">
        <f aca="false">GI21*Inputs!$L$14</f>
        <v>5053.6</v>
      </c>
      <c r="GK21" s="84" t="n">
        <f aca="false">GI21-GJ21</f>
        <v>0</v>
      </c>
      <c r="GL21" s="133" t="n">
        <f aca="false">FX21+$D21*Inputs!$L$13</f>
        <v>8053.6</v>
      </c>
      <c r="GM21" s="84" t="n">
        <f aca="false">MIN(GJ21,GL21)</f>
        <v>5053.6</v>
      </c>
      <c r="GN21" s="84" t="n">
        <f aca="false">GL21-GM21</f>
        <v>3000</v>
      </c>
      <c r="GO21" s="84" t="n">
        <f aca="false">GA21+$G21*(GL21+GA21)</f>
        <v>0</v>
      </c>
      <c r="GP21" s="84" t="n">
        <f aca="false">MIN(GJ21-GM21,GO21)</f>
        <v>0</v>
      </c>
      <c r="GQ21" s="84" t="n">
        <f aca="false">GO21-GP21</f>
        <v>0</v>
      </c>
      <c r="GR21" s="84" t="n">
        <f aca="false">IF($H21=1,MIN(GJ21-GM21-GP21,MAX(0,$F21/(1-$F21)*(GF21+GP21)-GG21)),0)</f>
        <v>0</v>
      </c>
      <c r="GS21" s="84" t="n">
        <f aca="false">GJ21-GM21-GP21-GR21</f>
        <v>0</v>
      </c>
      <c r="GT21" s="84" t="n">
        <f aca="false">GM21+GP21+(1-$F21)*GS21</f>
        <v>5053.6</v>
      </c>
      <c r="GU21" s="84" t="n">
        <f aca="false">GR21+$F21*GS21</f>
        <v>0</v>
      </c>
      <c r="GV21" s="84" t="n">
        <f aca="false">GF21+GP21+(1-$F21)*GS21</f>
        <v>0</v>
      </c>
      <c r="GW21" s="84" t="n">
        <f aca="false">GG21+GU21</f>
        <v>0</v>
      </c>
    </row>
    <row r="22" customFormat="false" ht="15" hidden="false" customHeight="false" outlineLevel="0" collapsed="false">
      <c r="A22" s="5" t="s">
        <v>635</v>
      </c>
      <c r="B22" s="5" t="s">
        <v>636</v>
      </c>
      <c r="C22" s="135" t="n">
        <v>1</v>
      </c>
      <c r="D22" s="47" t="n">
        <f aca="false">Inputs!$C$6</f>
        <v>20000</v>
      </c>
      <c r="E22" s="35" t="n">
        <f aca="false">Inputs!$C$18</f>
        <v>0.015</v>
      </c>
      <c r="F22" s="36" t="n">
        <f aca="false">Inputs!$C$20</f>
        <v>0.2</v>
      </c>
      <c r="G22" s="30" t="n">
        <v>0</v>
      </c>
      <c r="H22" s="27" t="n">
        <v>0</v>
      </c>
      <c r="I22" s="132" t="n">
        <f aca="false">Inputs!$C$38+$C22*Inputs!$C$39</f>
        <v>0.01</v>
      </c>
      <c r="J22" s="36" t="n">
        <f aca="false">Inputs!$C$9</f>
        <v>0.15</v>
      </c>
      <c r="K22" s="89" t="n">
        <f aca="false">IRR(W22:AG22,0.1)</f>
        <v>-0.0181395582862501</v>
      </c>
      <c r="L22" s="45" t="n">
        <f aca="false">W22+NPV($J22,X22:AG22)</f>
        <v>-8938.14465192184</v>
      </c>
      <c r="M22" s="45" t="n">
        <f aca="false">SUM(BF22,BV22,CL22,DB22,DR22,EH22,EX22,FN22,GD22,GT22)</f>
        <v>18048.1669089246</v>
      </c>
      <c r="N22" s="43" t="n">
        <f aca="false">IF($D22*SUM(Inputs!$C$13:$L$13)=0,0,M22/($D22*SUM(Inputs!$C$13:$L$13)))</f>
        <v>0.902408345446231</v>
      </c>
      <c r="O22" s="42" t="n">
        <f aca="false">$D22*$E22*COLUMNS(Inputs!$C$13:$L$13)</f>
        <v>3000</v>
      </c>
      <c r="P22" s="45" t="n">
        <f aca="false">SUM(BG22,BW22,CM22,DC22,DS22,EI22,EY22,FO22,GE22,GU22)</f>
        <v>0</v>
      </c>
      <c r="Q22" s="42" t="n">
        <f aca="false">PV($J22,COLUMNS(Inputs!$C$13:$L$13),-$D22*$E22,0,1)</f>
        <v>1731.47517591971</v>
      </c>
      <c r="R22" s="45" t="n">
        <f aca="false">NPV($J22,BG22,BW22,CM22,DC22,DS22,EI22,EY22,FO22,GE22,GU22)</f>
        <v>0</v>
      </c>
      <c r="S22" s="45" t="n">
        <f aca="false">Q22+R22</f>
        <v>1731.47517591971</v>
      </c>
      <c r="T22" s="32" t="n">
        <f aca="false">IF(S22=0,0,Q22/S22)</f>
        <v>1</v>
      </c>
      <c r="U22" s="45" t="n">
        <f aca="false">ROUND(ABS(GK22)+ABS(SUM(AV22,BL22,CB22,CR22,DH22,DX22,EN22,FD22,FT22,GJ22)-M22-P22)+ABS(S22-(AH22+NPV($J22,AI22:AR22))),6)</f>
        <v>0</v>
      </c>
      <c r="W22" s="133" t="n">
        <f aca="false">-$D22*Inputs!$C$13</f>
        <v>-4000</v>
      </c>
      <c r="X22" s="133" t="n">
        <f aca="false">BF22-$D22*Inputs!$D$13</f>
        <v>-4000</v>
      </c>
      <c r="Y22" s="133" t="n">
        <f aca="false">BV22-$D22*Inputs!$E$13</f>
        <v>-4000</v>
      </c>
      <c r="Z22" s="133" t="n">
        <f aca="false">CL22-$D22*Inputs!$F$13</f>
        <v>-4000</v>
      </c>
      <c r="AA22" s="133" t="n">
        <f aca="false">DB22-$D22*Inputs!$G$13</f>
        <v>-4000</v>
      </c>
      <c r="AB22" s="133" t="n">
        <f aca="false">DR22-$D22*Inputs!$H$13</f>
        <v>3812.491144474</v>
      </c>
      <c r="AC22" s="133" t="n">
        <f aca="false">EH22-$D22*Inputs!$I$13</f>
        <v>3019.89284473499</v>
      </c>
      <c r="AD22" s="133" t="n">
        <f aca="false">EX22-$D22*Inputs!$J$13</f>
        <v>2379.47341854587</v>
      </c>
      <c r="AE22" s="133" t="n">
        <f aca="false">FN22-$D22*Inputs!$K$13</f>
        <v>1862.01452218507</v>
      </c>
      <c r="AF22" s="133" t="n">
        <f aca="false">GD22-$D22*Inputs!$L$13</f>
        <v>1443.90773392553</v>
      </c>
      <c r="AG22" s="84" t="n">
        <f aca="false">GT22</f>
        <v>5530.38724505915</v>
      </c>
      <c r="AH22" s="84" t="n">
        <f aca="false">$D22*$E22</f>
        <v>300</v>
      </c>
      <c r="AI22" s="84" t="n">
        <f aca="false">BG22+$D22*$E22</f>
        <v>300</v>
      </c>
      <c r="AJ22" s="84" t="n">
        <f aca="false">BW22+$D22*$E22</f>
        <v>300</v>
      </c>
      <c r="AK22" s="84" t="n">
        <f aca="false">CM22+$D22*$E22</f>
        <v>300</v>
      </c>
      <c r="AL22" s="84" t="n">
        <f aca="false">DC22+$D22*$E22</f>
        <v>300</v>
      </c>
      <c r="AM22" s="84" t="n">
        <f aca="false">DS22+$D22*$E22</f>
        <v>300</v>
      </c>
      <c r="AN22" s="84" t="n">
        <f aca="false">EI22+$D22*$E22</f>
        <v>300</v>
      </c>
      <c r="AO22" s="84" t="n">
        <f aca="false">EY22+$D22*$E22</f>
        <v>300</v>
      </c>
      <c r="AP22" s="84" t="n">
        <f aca="false">FO22+$D22*$E22</f>
        <v>300</v>
      </c>
      <c r="AQ22" s="84" t="n">
        <f aca="false">GE22+$D22*$E22</f>
        <v>300</v>
      </c>
      <c r="AR22" s="84" t="n">
        <f aca="false">GU22</f>
        <v>0</v>
      </c>
      <c r="AT22" s="133" t="n">
        <f aca="false">$D22*Inputs!$C$13-$D22*$E22</f>
        <v>3700</v>
      </c>
      <c r="AU22" s="84" t="n">
        <f aca="false">AT22*(1+$I22)</f>
        <v>3737</v>
      </c>
      <c r="AV22" s="133" t="n">
        <f aca="false">AU22*Inputs!$C$14</f>
        <v>0</v>
      </c>
      <c r="AW22" s="84" t="n">
        <f aca="false">AU22-AV22</f>
        <v>3737</v>
      </c>
      <c r="AX22" s="133" t="n">
        <f aca="false">$D22*Inputs!$C$13</f>
        <v>4000</v>
      </c>
      <c r="AY22" s="84" t="n">
        <f aca="false">MIN(AV22,AX22)</f>
        <v>0</v>
      </c>
      <c r="AZ22" s="84" t="n">
        <f aca="false">AX22-AY22</f>
        <v>4000</v>
      </c>
      <c r="BA22" s="84" t="n">
        <f aca="false">$G22*AX22</f>
        <v>0</v>
      </c>
      <c r="BB22" s="84" t="n">
        <f aca="false">MIN(AV22-AY22,BA22)</f>
        <v>0</v>
      </c>
      <c r="BC22" s="84" t="n">
        <f aca="false">BA22-BB22</f>
        <v>0</v>
      </c>
      <c r="BD22" s="84" t="n">
        <f aca="false">IF($H22=1,MIN(AV22-AY22-BB22,MAX(0,$F22/(1-$F22)*BB22)),0)</f>
        <v>0</v>
      </c>
      <c r="BE22" s="84" t="n">
        <f aca="false">AV22-AY22-BB22-BD22</f>
        <v>0</v>
      </c>
      <c r="BF22" s="84" t="n">
        <f aca="false">AY22+BB22+(1-$F22)*BE22</f>
        <v>0</v>
      </c>
      <c r="BG22" s="84" t="n">
        <f aca="false">BD22+$F22*BE22</f>
        <v>0</v>
      </c>
      <c r="BH22" s="84" t="n">
        <f aca="false">BB22+(1-$F22)*BE22</f>
        <v>0</v>
      </c>
      <c r="BI22" s="84" t="n">
        <f aca="false">BG22</f>
        <v>0</v>
      </c>
      <c r="BJ22" s="133" t="n">
        <f aca="false">AW22+$D22*Inputs!$D$13-$D22*$E22</f>
        <v>7437</v>
      </c>
      <c r="BK22" s="84" t="n">
        <f aca="false">BJ22*(1+$I22)</f>
        <v>7511.37</v>
      </c>
      <c r="BL22" s="133" t="n">
        <f aca="false">BK22*Inputs!$D$14</f>
        <v>0</v>
      </c>
      <c r="BM22" s="84" t="n">
        <f aca="false">BK22-BL22</f>
        <v>7511.37</v>
      </c>
      <c r="BN22" s="133" t="n">
        <f aca="false">AZ22+$D22*Inputs!$D$13</f>
        <v>8000</v>
      </c>
      <c r="BO22" s="84" t="n">
        <f aca="false">MIN(BL22,BN22)</f>
        <v>0</v>
      </c>
      <c r="BP22" s="84" t="n">
        <f aca="false">BN22-BO22</f>
        <v>8000</v>
      </c>
      <c r="BQ22" s="84" t="n">
        <f aca="false">BC22+$G22*(BN22+BC22)</f>
        <v>0</v>
      </c>
      <c r="BR22" s="84" t="n">
        <f aca="false">MIN(BL22-BO22,BQ22)</f>
        <v>0</v>
      </c>
      <c r="BS22" s="84" t="n">
        <f aca="false">BQ22-BR22</f>
        <v>0</v>
      </c>
      <c r="BT22" s="84" t="n">
        <f aca="false">IF($H22=1,MIN(BL22-BO22-BR22,MAX(0,$F22/(1-$F22)*(BH22+BR22)-BI22)),0)</f>
        <v>0</v>
      </c>
      <c r="BU22" s="84" t="n">
        <f aca="false">BL22-BO22-BR22-BT22</f>
        <v>0</v>
      </c>
      <c r="BV22" s="84" t="n">
        <f aca="false">BO22+BR22+(1-$F22)*BU22</f>
        <v>0</v>
      </c>
      <c r="BW22" s="84" t="n">
        <f aca="false">BT22+$F22*BU22</f>
        <v>0</v>
      </c>
      <c r="BX22" s="84" t="n">
        <f aca="false">BH22+BR22+(1-$F22)*BU22</f>
        <v>0</v>
      </c>
      <c r="BY22" s="84" t="n">
        <f aca="false">BI22+BW22</f>
        <v>0</v>
      </c>
      <c r="BZ22" s="133" t="n">
        <f aca="false">BM22+$D22*Inputs!$E$13-$D22*$E22</f>
        <v>11211.37</v>
      </c>
      <c r="CA22" s="84" t="n">
        <f aca="false">BZ22*(1+$I22)</f>
        <v>11323.4837</v>
      </c>
      <c r="CB22" s="133" t="n">
        <f aca="false">CA22*Inputs!$E$14</f>
        <v>0</v>
      </c>
      <c r="CC22" s="84" t="n">
        <f aca="false">CA22-CB22</f>
        <v>11323.4837</v>
      </c>
      <c r="CD22" s="133" t="n">
        <f aca="false">BP22+$D22*Inputs!$E$13</f>
        <v>12000</v>
      </c>
      <c r="CE22" s="84" t="n">
        <f aca="false">MIN(CB22,CD22)</f>
        <v>0</v>
      </c>
      <c r="CF22" s="84" t="n">
        <f aca="false">CD22-CE22</f>
        <v>12000</v>
      </c>
      <c r="CG22" s="84" t="n">
        <f aca="false">BS22+$G22*(CD22+BS22)</f>
        <v>0</v>
      </c>
      <c r="CH22" s="84" t="n">
        <f aca="false">MIN(CB22-CE22,CG22)</f>
        <v>0</v>
      </c>
      <c r="CI22" s="84" t="n">
        <f aca="false">CG22-CH22</f>
        <v>0</v>
      </c>
      <c r="CJ22" s="84" t="n">
        <f aca="false">IF($H22=1,MIN(CB22-CE22-CH22,MAX(0,$F22/(1-$F22)*(BX22+CH22)-BY22)),0)</f>
        <v>0</v>
      </c>
      <c r="CK22" s="84" t="n">
        <f aca="false">CB22-CE22-CH22-CJ22</f>
        <v>0</v>
      </c>
      <c r="CL22" s="84" t="n">
        <f aca="false">CE22+CH22+(1-$F22)*CK22</f>
        <v>0</v>
      </c>
      <c r="CM22" s="84" t="n">
        <f aca="false">CJ22+$F22*CK22</f>
        <v>0</v>
      </c>
      <c r="CN22" s="84" t="n">
        <f aca="false">BX22+CH22+(1-$F22)*CK22</f>
        <v>0</v>
      </c>
      <c r="CO22" s="84" t="n">
        <f aca="false">BY22+CM22</f>
        <v>0</v>
      </c>
      <c r="CP22" s="133" t="n">
        <f aca="false">CC22+$D22*Inputs!$F$13-$D22*$E22</f>
        <v>15023.4837</v>
      </c>
      <c r="CQ22" s="84" t="n">
        <f aca="false">CP22*(1+$I22)</f>
        <v>15173.718537</v>
      </c>
      <c r="CR22" s="133" t="n">
        <f aca="false">CQ22*Inputs!$F$14</f>
        <v>0</v>
      </c>
      <c r="CS22" s="84" t="n">
        <f aca="false">CQ22-CR22</f>
        <v>15173.718537</v>
      </c>
      <c r="CT22" s="133" t="n">
        <f aca="false">CF22+$D22*Inputs!$F$13</f>
        <v>16000</v>
      </c>
      <c r="CU22" s="84" t="n">
        <f aca="false">MIN(CR22,CT22)</f>
        <v>0</v>
      </c>
      <c r="CV22" s="84" t="n">
        <f aca="false">CT22-CU22</f>
        <v>16000</v>
      </c>
      <c r="CW22" s="84" t="n">
        <f aca="false">CI22+$G22*(CT22+CI22)</f>
        <v>0</v>
      </c>
      <c r="CX22" s="84" t="n">
        <f aca="false">MIN(CR22-CU22,CW22)</f>
        <v>0</v>
      </c>
      <c r="CY22" s="84" t="n">
        <f aca="false">CW22-CX22</f>
        <v>0</v>
      </c>
      <c r="CZ22" s="84" t="n">
        <f aca="false">IF($H22=1,MIN(CR22-CU22-CX22,MAX(0,$F22/(1-$F22)*(CN22+CX22)-CO22)),0)</f>
        <v>0</v>
      </c>
      <c r="DA22" s="84" t="n">
        <f aca="false">CR22-CU22-CX22-CZ22</f>
        <v>0</v>
      </c>
      <c r="DB22" s="84" t="n">
        <f aca="false">CU22+CX22+(1-$F22)*DA22</f>
        <v>0</v>
      </c>
      <c r="DC22" s="84" t="n">
        <f aca="false">CZ22+$F22*DA22</f>
        <v>0</v>
      </c>
      <c r="DD22" s="84" t="n">
        <f aca="false">CN22+CX22+(1-$F22)*DA22</f>
        <v>0</v>
      </c>
      <c r="DE22" s="84" t="n">
        <f aca="false">CO22+DC22</f>
        <v>0</v>
      </c>
      <c r="DF22" s="133" t="n">
        <f aca="false">CS22+$D22*Inputs!$G$13-$D22*$E22</f>
        <v>18873.718537</v>
      </c>
      <c r="DG22" s="84" t="n">
        <f aca="false">DF22*(1+$I22)</f>
        <v>19062.45572237</v>
      </c>
      <c r="DH22" s="133" t="n">
        <f aca="false">DG22*Inputs!$G$14</f>
        <v>3812.491144474</v>
      </c>
      <c r="DI22" s="84" t="n">
        <f aca="false">DG22-DH22</f>
        <v>15249.964577896</v>
      </c>
      <c r="DJ22" s="133" t="n">
        <f aca="false">CV22+$D22*Inputs!$G$13</f>
        <v>20000</v>
      </c>
      <c r="DK22" s="84" t="n">
        <f aca="false">MIN(DH22,DJ22)</f>
        <v>3812.491144474</v>
      </c>
      <c r="DL22" s="84" t="n">
        <f aca="false">DJ22-DK22</f>
        <v>16187.508855526</v>
      </c>
      <c r="DM22" s="84" t="n">
        <f aca="false">CY22+$G22*(DJ22+CY22)</f>
        <v>0</v>
      </c>
      <c r="DN22" s="84" t="n">
        <f aca="false">MIN(DH22-DK22,DM22)</f>
        <v>0</v>
      </c>
      <c r="DO22" s="84" t="n">
        <f aca="false">DM22-DN22</f>
        <v>0</v>
      </c>
      <c r="DP22" s="84" t="n">
        <f aca="false">IF($H22=1,MIN(DH22-DK22-DN22,MAX(0,$F22/(1-$F22)*(DD22+DN22)-DE22)),0)</f>
        <v>0</v>
      </c>
      <c r="DQ22" s="84" t="n">
        <f aca="false">DH22-DK22-DN22-DP22</f>
        <v>0</v>
      </c>
      <c r="DR22" s="84" t="n">
        <f aca="false">DK22+DN22+(1-$F22)*DQ22</f>
        <v>3812.491144474</v>
      </c>
      <c r="DS22" s="84" t="n">
        <f aca="false">DP22+$F22*DQ22</f>
        <v>0</v>
      </c>
      <c r="DT22" s="84" t="n">
        <f aca="false">DD22+DN22+(1-$F22)*DQ22</f>
        <v>0</v>
      </c>
      <c r="DU22" s="84" t="n">
        <f aca="false">DE22+DS22</f>
        <v>0</v>
      </c>
      <c r="DV22" s="133" t="n">
        <f aca="false">DI22+$D22*Inputs!$H$13-$D22*$E22</f>
        <v>14949.964577896</v>
      </c>
      <c r="DW22" s="84" t="n">
        <f aca="false">DV22*(1+$I22)</f>
        <v>15099.464223675</v>
      </c>
      <c r="DX22" s="133" t="n">
        <f aca="false">DW22*Inputs!$H$14</f>
        <v>3019.89284473499</v>
      </c>
      <c r="DY22" s="84" t="n">
        <f aca="false">DW22-DX22</f>
        <v>12079.57137894</v>
      </c>
      <c r="DZ22" s="133" t="n">
        <f aca="false">DL22+$D22*Inputs!$H$13</f>
        <v>16187.508855526</v>
      </c>
      <c r="EA22" s="84" t="n">
        <f aca="false">MIN(DX22,DZ22)</f>
        <v>3019.89284473499</v>
      </c>
      <c r="EB22" s="84" t="n">
        <f aca="false">DZ22-EA22</f>
        <v>13167.616010791</v>
      </c>
      <c r="EC22" s="84" t="n">
        <f aca="false">DO22+$G22*(DZ22+DO22)</f>
        <v>0</v>
      </c>
      <c r="ED22" s="84" t="n">
        <f aca="false">MIN(DX22-EA22,EC22)</f>
        <v>0</v>
      </c>
      <c r="EE22" s="84" t="n">
        <f aca="false">EC22-ED22</f>
        <v>0</v>
      </c>
      <c r="EF22" s="84" t="n">
        <f aca="false">IF($H22=1,MIN(DX22-EA22-ED22,MAX(0,$F22/(1-$F22)*(DT22+ED22)-DU22)),0)</f>
        <v>0</v>
      </c>
      <c r="EG22" s="84" t="n">
        <f aca="false">DX22-EA22-ED22-EF22</f>
        <v>0</v>
      </c>
      <c r="EH22" s="84" t="n">
        <f aca="false">EA22+ED22+(1-$F22)*EG22</f>
        <v>3019.89284473499</v>
      </c>
      <c r="EI22" s="84" t="n">
        <f aca="false">EF22+$F22*EG22</f>
        <v>0</v>
      </c>
      <c r="EJ22" s="84" t="n">
        <f aca="false">DT22+ED22+(1-$F22)*EG22</f>
        <v>0</v>
      </c>
      <c r="EK22" s="84" t="n">
        <f aca="false">DU22+EI22</f>
        <v>0</v>
      </c>
      <c r="EL22" s="133" t="n">
        <f aca="false">DY22+$D22*Inputs!$I$13-$D22*$E22</f>
        <v>11779.57137894</v>
      </c>
      <c r="EM22" s="84" t="n">
        <f aca="false">EL22*(1+$I22)</f>
        <v>11897.3670927294</v>
      </c>
      <c r="EN22" s="133" t="n">
        <f aca="false">EM22*Inputs!$I$14</f>
        <v>2379.47341854587</v>
      </c>
      <c r="EO22" s="84" t="n">
        <f aca="false">EM22-EN22</f>
        <v>9517.8936741835</v>
      </c>
      <c r="EP22" s="133" t="n">
        <f aca="false">EB22+$D22*Inputs!$I$13</f>
        <v>13167.616010791</v>
      </c>
      <c r="EQ22" s="84" t="n">
        <f aca="false">MIN(EN22,EP22)</f>
        <v>2379.47341854587</v>
      </c>
      <c r="ER22" s="84" t="n">
        <f aca="false">EP22-EQ22</f>
        <v>10788.1425922451</v>
      </c>
      <c r="ES22" s="84" t="n">
        <f aca="false">EE22+$G22*(EP22+EE22)</f>
        <v>0</v>
      </c>
      <c r="ET22" s="84" t="n">
        <f aca="false">MIN(EN22-EQ22,ES22)</f>
        <v>0</v>
      </c>
      <c r="EU22" s="84" t="n">
        <f aca="false">ES22-ET22</f>
        <v>0</v>
      </c>
      <c r="EV22" s="84" t="n">
        <f aca="false">IF($H22=1,MIN(EN22-EQ22-ET22,MAX(0,$F22/(1-$F22)*(EJ22+ET22)-EK22)),0)</f>
        <v>0</v>
      </c>
      <c r="EW22" s="84" t="n">
        <f aca="false">EN22-EQ22-ET22-EV22</f>
        <v>0</v>
      </c>
      <c r="EX22" s="84" t="n">
        <f aca="false">EQ22+ET22+(1-$F22)*EW22</f>
        <v>2379.47341854587</v>
      </c>
      <c r="EY22" s="84" t="n">
        <f aca="false">EV22+$F22*EW22</f>
        <v>0</v>
      </c>
      <c r="EZ22" s="84" t="n">
        <f aca="false">EJ22+ET22+(1-$F22)*EW22</f>
        <v>0</v>
      </c>
      <c r="FA22" s="84" t="n">
        <f aca="false">EK22+EY22</f>
        <v>0</v>
      </c>
      <c r="FB22" s="133" t="n">
        <f aca="false">EO22+$D22*Inputs!$J$13-$D22*$E22</f>
        <v>9217.8936741835</v>
      </c>
      <c r="FC22" s="84" t="n">
        <f aca="false">FB22*(1+$I22)</f>
        <v>9310.07261092533</v>
      </c>
      <c r="FD22" s="133" t="n">
        <f aca="false">FC22*Inputs!$J$14</f>
        <v>1862.01452218507</v>
      </c>
      <c r="FE22" s="84" t="n">
        <f aca="false">FC22-FD22</f>
        <v>7448.05808874026</v>
      </c>
      <c r="FF22" s="133" t="n">
        <f aca="false">ER22+$D22*Inputs!$J$13</f>
        <v>10788.1425922451</v>
      </c>
      <c r="FG22" s="84" t="n">
        <f aca="false">MIN(FD22,FF22)</f>
        <v>1862.01452218507</v>
      </c>
      <c r="FH22" s="84" t="n">
        <f aca="false">FF22-FG22</f>
        <v>8926.12807006007</v>
      </c>
      <c r="FI22" s="84" t="n">
        <f aca="false">EU22+$G22*(FF22+EU22)</f>
        <v>0</v>
      </c>
      <c r="FJ22" s="84" t="n">
        <f aca="false">MIN(FD22-FG22,FI22)</f>
        <v>0</v>
      </c>
      <c r="FK22" s="84" t="n">
        <f aca="false">FI22-FJ22</f>
        <v>0</v>
      </c>
      <c r="FL22" s="84" t="n">
        <f aca="false">IF($H22=1,MIN(FD22-FG22-FJ22,MAX(0,$F22/(1-$F22)*(EZ22+FJ22)-FA22)),0)</f>
        <v>0</v>
      </c>
      <c r="FM22" s="84" t="n">
        <f aca="false">FD22-FG22-FJ22-FL22</f>
        <v>0</v>
      </c>
      <c r="FN22" s="84" t="n">
        <f aca="false">FG22+FJ22+(1-$F22)*FM22</f>
        <v>1862.01452218507</v>
      </c>
      <c r="FO22" s="84" t="n">
        <f aca="false">FL22+$F22*FM22</f>
        <v>0</v>
      </c>
      <c r="FP22" s="84" t="n">
        <f aca="false">EZ22+FJ22+(1-$F22)*FM22</f>
        <v>0</v>
      </c>
      <c r="FQ22" s="84" t="n">
        <f aca="false">FA22+FO22</f>
        <v>0</v>
      </c>
      <c r="FR22" s="133" t="n">
        <f aca="false">FE22+$D22*Inputs!$K$13-$D22*$E22</f>
        <v>7148.05808874026</v>
      </c>
      <c r="FS22" s="84" t="n">
        <f aca="false">FR22*(1+$I22)</f>
        <v>7219.53866962767</v>
      </c>
      <c r="FT22" s="133" t="n">
        <f aca="false">FS22*Inputs!$K$14</f>
        <v>1443.90773392553</v>
      </c>
      <c r="FU22" s="84" t="n">
        <f aca="false">FS22-FT22</f>
        <v>5775.63093570213</v>
      </c>
      <c r="FV22" s="133" t="n">
        <f aca="false">FH22+$D22*Inputs!$K$13</f>
        <v>8926.12807006007</v>
      </c>
      <c r="FW22" s="84" t="n">
        <f aca="false">MIN(FT22,FV22)</f>
        <v>1443.90773392553</v>
      </c>
      <c r="FX22" s="84" t="n">
        <f aca="false">FV22-FW22</f>
        <v>7482.22033613454</v>
      </c>
      <c r="FY22" s="84" t="n">
        <f aca="false">FK22+$G22*(FV22+FK22)</f>
        <v>0</v>
      </c>
      <c r="FZ22" s="84" t="n">
        <f aca="false">MIN(FT22-FW22,FY22)</f>
        <v>0</v>
      </c>
      <c r="GA22" s="84" t="n">
        <f aca="false">FY22-FZ22</f>
        <v>0</v>
      </c>
      <c r="GB22" s="84" t="n">
        <f aca="false">IF($H22=1,MIN(FT22-FW22-FZ22,MAX(0,$F22/(1-$F22)*(FP22+FZ22)-FQ22)),0)</f>
        <v>0</v>
      </c>
      <c r="GC22" s="84" t="n">
        <f aca="false">FT22-FW22-FZ22-GB22</f>
        <v>0</v>
      </c>
      <c r="GD22" s="84" t="n">
        <f aca="false">FW22+FZ22+(1-$F22)*GC22</f>
        <v>1443.90773392553</v>
      </c>
      <c r="GE22" s="84" t="n">
        <f aca="false">GB22+$F22*GC22</f>
        <v>0</v>
      </c>
      <c r="GF22" s="84" t="n">
        <f aca="false">FP22+FZ22+(1-$F22)*GC22</f>
        <v>0</v>
      </c>
      <c r="GG22" s="84" t="n">
        <f aca="false">FQ22+GE22</f>
        <v>0</v>
      </c>
      <c r="GH22" s="133" t="n">
        <f aca="false">FU22+$D22*Inputs!$L$13-$D22*$E22</f>
        <v>5475.63093570213</v>
      </c>
      <c r="GI22" s="84" t="n">
        <f aca="false">GH22*(1+$I22)</f>
        <v>5530.38724505915</v>
      </c>
      <c r="GJ22" s="133" t="n">
        <f aca="false">GI22*Inputs!$L$14</f>
        <v>5530.38724505915</v>
      </c>
      <c r="GK22" s="84" t="n">
        <f aca="false">GI22-GJ22</f>
        <v>0</v>
      </c>
      <c r="GL22" s="133" t="n">
        <f aca="false">FX22+$D22*Inputs!$L$13</f>
        <v>7482.22033613454</v>
      </c>
      <c r="GM22" s="84" t="n">
        <f aca="false">MIN(GJ22,GL22)</f>
        <v>5530.38724505915</v>
      </c>
      <c r="GN22" s="84" t="n">
        <f aca="false">GL22-GM22</f>
        <v>1951.83309107538</v>
      </c>
      <c r="GO22" s="84" t="n">
        <f aca="false">GA22+$G22*(GL22+GA22)</f>
        <v>0</v>
      </c>
      <c r="GP22" s="84" t="n">
        <f aca="false">MIN(GJ22-GM22,GO22)</f>
        <v>0</v>
      </c>
      <c r="GQ22" s="84" t="n">
        <f aca="false">GO22-GP22</f>
        <v>0</v>
      </c>
      <c r="GR22" s="84" t="n">
        <f aca="false">IF($H22=1,MIN(GJ22-GM22-GP22,MAX(0,$F22/(1-$F22)*(GF22+GP22)-GG22)),0)</f>
        <v>0</v>
      </c>
      <c r="GS22" s="84" t="n">
        <f aca="false">GJ22-GM22-GP22-GR22</f>
        <v>0</v>
      </c>
      <c r="GT22" s="84" t="n">
        <f aca="false">GM22+GP22+(1-$F22)*GS22</f>
        <v>5530.38724505915</v>
      </c>
      <c r="GU22" s="84" t="n">
        <f aca="false">GR22+$F22*GS22</f>
        <v>0</v>
      </c>
      <c r="GV22" s="84" t="n">
        <f aca="false">GF22+GP22+(1-$F22)*GS22</f>
        <v>0</v>
      </c>
      <c r="GW22" s="84" t="n">
        <f aca="false">GG22+GU22</f>
        <v>0</v>
      </c>
    </row>
    <row r="23" customFormat="false" ht="15" hidden="false" customHeight="false" outlineLevel="0" collapsed="false">
      <c r="A23" s="5" t="s">
        <v>635</v>
      </c>
      <c r="B23" s="5" t="s">
        <v>636</v>
      </c>
      <c r="C23" s="135" t="n">
        <v>2</v>
      </c>
      <c r="D23" s="47" t="n">
        <f aca="false">Inputs!$C$6</f>
        <v>20000</v>
      </c>
      <c r="E23" s="35" t="n">
        <f aca="false">Inputs!$C$18</f>
        <v>0.015</v>
      </c>
      <c r="F23" s="36" t="n">
        <f aca="false">Inputs!$C$20</f>
        <v>0.2</v>
      </c>
      <c r="G23" s="30" t="n">
        <v>0</v>
      </c>
      <c r="H23" s="27" t="n">
        <v>0</v>
      </c>
      <c r="I23" s="132" t="n">
        <f aca="false">Inputs!$C$38+$C23*Inputs!$C$39</f>
        <v>0.02</v>
      </c>
      <c r="J23" s="36" t="n">
        <f aca="false">Inputs!$C$9</f>
        <v>0.15</v>
      </c>
      <c r="K23" s="89" t="n">
        <f aca="false">IRR(W23:AG23,0.1)</f>
        <v>-0.00757866492576283</v>
      </c>
      <c r="L23" s="45" t="n">
        <f aca="false">W23+NPV($J23,X23:AG23)</f>
        <v>-8581.79111591629</v>
      </c>
      <c r="M23" s="45" t="n">
        <f aca="false">SUM(BF23,BV23,CL23,DB23,DR23,EH23,EX23,FN23,GD23,GT23)</f>
        <v>19159.2604368923</v>
      </c>
      <c r="N23" s="43" t="n">
        <f aca="false">IF($D23*SUM(Inputs!$C$13:$L$13)=0,0,M23/($D23*SUM(Inputs!$C$13:$L$13)))</f>
        <v>0.957963021844617</v>
      </c>
      <c r="O23" s="42" t="n">
        <f aca="false">$D23*$E23*COLUMNS(Inputs!$C$13:$L$13)</f>
        <v>3000</v>
      </c>
      <c r="P23" s="45" t="n">
        <f aca="false">SUM(BG23,BW23,CM23,DC23,DS23,EI23,EY23,FO23,GE23,GU23)</f>
        <v>0</v>
      </c>
      <c r="Q23" s="42" t="n">
        <f aca="false">PV($J23,COLUMNS(Inputs!$C$13:$L$13),-$D23*$E23,0,1)</f>
        <v>1731.47517591971</v>
      </c>
      <c r="R23" s="45" t="n">
        <f aca="false">NPV($J23,BG23,BW23,CM23,DC23,DS23,EI23,EY23,FO23,GE23,GU23)</f>
        <v>0</v>
      </c>
      <c r="S23" s="45" t="n">
        <f aca="false">Q23+R23</f>
        <v>1731.47517591971</v>
      </c>
      <c r="T23" s="32" t="n">
        <f aca="false">IF(S23=0,0,Q23/S23)</f>
        <v>1</v>
      </c>
      <c r="U23" s="45" t="n">
        <f aca="false">ROUND(ABS(GK23)+ABS(SUM(AV23,BL23,CB23,CR23,DH23,DX23,EN23,FD23,FT23,GJ23)-M23-P23)+ABS(S23-(AH23+NPV($J23,AI23:AR23))),6)</f>
        <v>0</v>
      </c>
      <c r="W23" s="133" t="n">
        <f aca="false">-$D23*Inputs!$C$13</f>
        <v>-4000</v>
      </c>
      <c r="X23" s="133" t="n">
        <f aca="false">BF23-$D23*Inputs!$D$13</f>
        <v>-4000</v>
      </c>
      <c r="Y23" s="133" t="n">
        <f aca="false">BV23-$D23*Inputs!$E$13</f>
        <v>-4000</v>
      </c>
      <c r="Z23" s="133" t="n">
        <f aca="false">CL23-$D23*Inputs!$F$13</f>
        <v>-4000</v>
      </c>
      <c r="AA23" s="133" t="n">
        <f aca="false">DB23-$D23*Inputs!$G$13</f>
        <v>-4000</v>
      </c>
      <c r="AB23" s="133" t="n">
        <f aca="false">DR23-$D23*Inputs!$H$13</f>
        <v>3928.009512768</v>
      </c>
      <c r="AC23" s="133" t="n">
        <f aca="false">EH23-$D23*Inputs!$I$13</f>
        <v>3144.05576241869</v>
      </c>
      <c r="AD23" s="133" t="n">
        <f aca="false">EX23-$D23*Inputs!$J$13</f>
        <v>2504.34950213365</v>
      </c>
      <c r="AE23" s="133" t="n">
        <f aca="false">FN23-$D23*Inputs!$K$13</f>
        <v>1982.34919374106</v>
      </c>
      <c r="AF23" s="133" t="n">
        <f aca="false">GD23-$D23*Inputs!$L$13</f>
        <v>1556.3969420927</v>
      </c>
      <c r="AG23" s="84" t="n">
        <f aca="false">GT23</f>
        <v>6044.09952373823</v>
      </c>
      <c r="AH23" s="84" t="n">
        <f aca="false">$D23*$E23</f>
        <v>300</v>
      </c>
      <c r="AI23" s="84" t="n">
        <f aca="false">BG23+$D23*$E23</f>
        <v>300</v>
      </c>
      <c r="AJ23" s="84" t="n">
        <f aca="false">BW23+$D23*$E23</f>
        <v>300</v>
      </c>
      <c r="AK23" s="84" t="n">
        <f aca="false">CM23+$D23*$E23</f>
        <v>300</v>
      </c>
      <c r="AL23" s="84" t="n">
        <f aca="false">DC23+$D23*$E23</f>
        <v>300</v>
      </c>
      <c r="AM23" s="84" t="n">
        <f aca="false">DS23+$D23*$E23</f>
        <v>300</v>
      </c>
      <c r="AN23" s="84" t="n">
        <f aca="false">EI23+$D23*$E23</f>
        <v>300</v>
      </c>
      <c r="AO23" s="84" t="n">
        <f aca="false">EY23+$D23*$E23</f>
        <v>300</v>
      </c>
      <c r="AP23" s="84" t="n">
        <f aca="false">FO23+$D23*$E23</f>
        <v>300</v>
      </c>
      <c r="AQ23" s="84" t="n">
        <f aca="false">GE23+$D23*$E23</f>
        <v>300</v>
      </c>
      <c r="AR23" s="84" t="n">
        <f aca="false">GU23</f>
        <v>0</v>
      </c>
      <c r="AT23" s="133" t="n">
        <f aca="false">$D23*Inputs!$C$13-$D23*$E23</f>
        <v>3700</v>
      </c>
      <c r="AU23" s="84" t="n">
        <f aca="false">AT23*(1+$I23)</f>
        <v>3774</v>
      </c>
      <c r="AV23" s="133" t="n">
        <f aca="false">AU23*Inputs!$C$14</f>
        <v>0</v>
      </c>
      <c r="AW23" s="84" t="n">
        <f aca="false">AU23-AV23</f>
        <v>3774</v>
      </c>
      <c r="AX23" s="133" t="n">
        <f aca="false">$D23*Inputs!$C$13</f>
        <v>4000</v>
      </c>
      <c r="AY23" s="84" t="n">
        <f aca="false">MIN(AV23,AX23)</f>
        <v>0</v>
      </c>
      <c r="AZ23" s="84" t="n">
        <f aca="false">AX23-AY23</f>
        <v>4000</v>
      </c>
      <c r="BA23" s="84" t="n">
        <f aca="false">$G23*AX23</f>
        <v>0</v>
      </c>
      <c r="BB23" s="84" t="n">
        <f aca="false">MIN(AV23-AY23,BA23)</f>
        <v>0</v>
      </c>
      <c r="BC23" s="84" t="n">
        <f aca="false">BA23-BB23</f>
        <v>0</v>
      </c>
      <c r="BD23" s="84" t="n">
        <f aca="false">IF($H23=1,MIN(AV23-AY23-BB23,MAX(0,$F23/(1-$F23)*BB23)),0)</f>
        <v>0</v>
      </c>
      <c r="BE23" s="84" t="n">
        <f aca="false">AV23-AY23-BB23-BD23</f>
        <v>0</v>
      </c>
      <c r="BF23" s="84" t="n">
        <f aca="false">AY23+BB23+(1-$F23)*BE23</f>
        <v>0</v>
      </c>
      <c r="BG23" s="84" t="n">
        <f aca="false">BD23+$F23*BE23</f>
        <v>0</v>
      </c>
      <c r="BH23" s="84" t="n">
        <f aca="false">BB23+(1-$F23)*BE23</f>
        <v>0</v>
      </c>
      <c r="BI23" s="84" t="n">
        <f aca="false">BG23</f>
        <v>0</v>
      </c>
      <c r="BJ23" s="133" t="n">
        <f aca="false">AW23+$D23*Inputs!$D$13-$D23*$E23</f>
        <v>7474</v>
      </c>
      <c r="BK23" s="84" t="n">
        <f aca="false">BJ23*(1+$I23)</f>
        <v>7623.48</v>
      </c>
      <c r="BL23" s="133" t="n">
        <f aca="false">BK23*Inputs!$D$14</f>
        <v>0</v>
      </c>
      <c r="BM23" s="84" t="n">
        <f aca="false">BK23-BL23</f>
        <v>7623.48</v>
      </c>
      <c r="BN23" s="133" t="n">
        <f aca="false">AZ23+$D23*Inputs!$D$13</f>
        <v>8000</v>
      </c>
      <c r="BO23" s="84" t="n">
        <f aca="false">MIN(BL23,BN23)</f>
        <v>0</v>
      </c>
      <c r="BP23" s="84" t="n">
        <f aca="false">BN23-BO23</f>
        <v>8000</v>
      </c>
      <c r="BQ23" s="84" t="n">
        <f aca="false">BC23+$G23*(BN23+BC23)</f>
        <v>0</v>
      </c>
      <c r="BR23" s="84" t="n">
        <f aca="false">MIN(BL23-BO23,BQ23)</f>
        <v>0</v>
      </c>
      <c r="BS23" s="84" t="n">
        <f aca="false">BQ23-BR23</f>
        <v>0</v>
      </c>
      <c r="BT23" s="84" t="n">
        <f aca="false">IF($H23=1,MIN(BL23-BO23-BR23,MAX(0,$F23/(1-$F23)*(BH23+BR23)-BI23)),0)</f>
        <v>0</v>
      </c>
      <c r="BU23" s="84" t="n">
        <f aca="false">BL23-BO23-BR23-BT23</f>
        <v>0</v>
      </c>
      <c r="BV23" s="84" t="n">
        <f aca="false">BO23+BR23+(1-$F23)*BU23</f>
        <v>0</v>
      </c>
      <c r="BW23" s="84" t="n">
        <f aca="false">BT23+$F23*BU23</f>
        <v>0</v>
      </c>
      <c r="BX23" s="84" t="n">
        <f aca="false">BH23+BR23+(1-$F23)*BU23</f>
        <v>0</v>
      </c>
      <c r="BY23" s="84" t="n">
        <f aca="false">BI23+BW23</f>
        <v>0</v>
      </c>
      <c r="BZ23" s="133" t="n">
        <f aca="false">BM23+$D23*Inputs!$E$13-$D23*$E23</f>
        <v>11323.48</v>
      </c>
      <c r="CA23" s="84" t="n">
        <f aca="false">BZ23*(1+$I23)</f>
        <v>11549.9496</v>
      </c>
      <c r="CB23" s="133" t="n">
        <f aca="false">CA23*Inputs!$E$14</f>
        <v>0</v>
      </c>
      <c r="CC23" s="84" t="n">
        <f aca="false">CA23-CB23</f>
        <v>11549.9496</v>
      </c>
      <c r="CD23" s="133" t="n">
        <f aca="false">BP23+$D23*Inputs!$E$13</f>
        <v>12000</v>
      </c>
      <c r="CE23" s="84" t="n">
        <f aca="false">MIN(CB23,CD23)</f>
        <v>0</v>
      </c>
      <c r="CF23" s="84" t="n">
        <f aca="false">CD23-CE23</f>
        <v>12000</v>
      </c>
      <c r="CG23" s="84" t="n">
        <f aca="false">BS23+$G23*(CD23+BS23)</f>
        <v>0</v>
      </c>
      <c r="CH23" s="84" t="n">
        <f aca="false">MIN(CB23-CE23,CG23)</f>
        <v>0</v>
      </c>
      <c r="CI23" s="84" t="n">
        <f aca="false">CG23-CH23</f>
        <v>0</v>
      </c>
      <c r="CJ23" s="84" t="n">
        <f aca="false">IF($H23=1,MIN(CB23-CE23-CH23,MAX(0,$F23/(1-$F23)*(BX23+CH23)-BY23)),0)</f>
        <v>0</v>
      </c>
      <c r="CK23" s="84" t="n">
        <f aca="false">CB23-CE23-CH23-CJ23</f>
        <v>0</v>
      </c>
      <c r="CL23" s="84" t="n">
        <f aca="false">CE23+CH23+(1-$F23)*CK23</f>
        <v>0</v>
      </c>
      <c r="CM23" s="84" t="n">
        <f aca="false">CJ23+$F23*CK23</f>
        <v>0</v>
      </c>
      <c r="CN23" s="84" t="n">
        <f aca="false">BX23+CH23+(1-$F23)*CK23</f>
        <v>0</v>
      </c>
      <c r="CO23" s="84" t="n">
        <f aca="false">BY23+CM23</f>
        <v>0</v>
      </c>
      <c r="CP23" s="133" t="n">
        <f aca="false">CC23+$D23*Inputs!$F$13-$D23*$E23</f>
        <v>15249.9496</v>
      </c>
      <c r="CQ23" s="84" t="n">
        <f aca="false">CP23*(1+$I23)</f>
        <v>15554.948592</v>
      </c>
      <c r="CR23" s="133" t="n">
        <f aca="false">CQ23*Inputs!$F$14</f>
        <v>0</v>
      </c>
      <c r="CS23" s="84" t="n">
        <f aca="false">CQ23-CR23</f>
        <v>15554.948592</v>
      </c>
      <c r="CT23" s="133" t="n">
        <f aca="false">CF23+$D23*Inputs!$F$13</f>
        <v>16000</v>
      </c>
      <c r="CU23" s="84" t="n">
        <f aca="false">MIN(CR23,CT23)</f>
        <v>0</v>
      </c>
      <c r="CV23" s="84" t="n">
        <f aca="false">CT23-CU23</f>
        <v>16000</v>
      </c>
      <c r="CW23" s="84" t="n">
        <f aca="false">CI23+$G23*(CT23+CI23)</f>
        <v>0</v>
      </c>
      <c r="CX23" s="84" t="n">
        <f aca="false">MIN(CR23-CU23,CW23)</f>
        <v>0</v>
      </c>
      <c r="CY23" s="84" t="n">
        <f aca="false">CW23-CX23</f>
        <v>0</v>
      </c>
      <c r="CZ23" s="84" t="n">
        <f aca="false">IF($H23=1,MIN(CR23-CU23-CX23,MAX(0,$F23/(1-$F23)*(CN23+CX23)-CO23)),0)</f>
        <v>0</v>
      </c>
      <c r="DA23" s="84" t="n">
        <f aca="false">CR23-CU23-CX23-CZ23</f>
        <v>0</v>
      </c>
      <c r="DB23" s="84" t="n">
        <f aca="false">CU23+CX23+(1-$F23)*DA23</f>
        <v>0</v>
      </c>
      <c r="DC23" s="84" t="n">
        <f aca="false">CZ23+$F23*DA23</f>
        <v>0</v>
      </c>
      <c r="DD23" s="84" t="n">
        <f aca="false">CN23+CX23+(1-$F23)*DA23</f>
        <v>0</v>
      </c>
      <c r="DE23" s="84" t="n">
        <f aca="false">CO23+DC23</f>
        <v>0</v>
      </c>
      <c r="DF23" s="133" t="n">
        <f aca="false">CS23+$D23*Inputs!$G$13-$D23*$E23</f>
        <v>19254.948592</v>
      </c>
      <c r="DG23" s="84" t="n">
        <f aca="false">DF23*(1+$I23)</f>
        <v>19640.04756384</v>
      </c>
      <c r="DH23" s="133" t="n">
        <f aca="false">DG23*Inputs!$G$14</f>
        <v>3928.009512768</v>
      </c>
      <c r="DI23" s="84" t="n">
        <f aca="false">DG23-DH23</f>
        <v>15712.038051072</v>
      </c>
      <c r="DJ23" s="133" t="n">
        <f aca="false">CV23+$D23*Inputs!$G$13</f>
        <v>20000</v>
      </c>
      <c r="DK23" s="84" t="n">
        <f aca="false">MIN(DH23,DJ23)</f>
        <v>3928.009512768</v>
      </c>
      <c r="DL23" s="84" t="n">
        <f aca="false">DJ23-DK23</f>
        <v>16071.990487232</v>
      </c>
      <c r="DM23" s="84" t="n">
        <f aca="false">CY23+$G23*(DJ23+CY23)</f>
        <v>0</v>
      </c>
      <c r="DN23" s="84" t="n">
        <f aca="false">MIN(DH23-DK23,DM23)</f>
        <v>0</v>
      </c>
      <c r="DO23" s="84" t="n">
        <f aca="false">DM23-DN23</f>
        <v>0</v>
      </c>
      <c r="DP23" s="84" t="n">
        <f aca="false">IF($H23=1,MIN(DH23-DK23-DN23,MAX(0,$F23/(1-$F23)*(DD23+DN23)-DE23)),0)</f>
        <v>0</v>
      </c>
      <c r="DQ23" s="84" t="n">
        <f aca="false">DH23-DK23-DN23-DP23</f>
        <v>0</v>
      </c>
      <c r="DR23" s="84" t="n">
        <f aca="false">DK23+DN23+(1-$F23)*DQ23</f>
        <v>3928.009512768</v>
      </c>
      <c r="DS23" s="84" t="n">
        <f aca="false">DP23+$F23*DQ23</f>
        <v>0</v>
      </c>
      <c r="DT23" s="84" t="n">
        <f aca="false">DD23+DN23+(1-$F23)*DQ23</f>
        <v>0</v>
      </c>
      <c r="DU23" s="84" t="n">
        <f aca="false">DE23+DS23</f>
        <v>0</v>
      </c>
      <c r="DV23" s="133" t="n">
        <f aca="false">DI23+$D23*Inputs!$H$13-$D23*$E23</f>
        <v>15412.038051072</v>
      </c>
      <c r="DW23" s="84" t="n">
        <f aca="false">DV23*(1+$I23)</f>
        <v>15720.2788120934</v>
      </c>
      <c r="DX23" s="133" t="n">
        <f aca="false">DW23*Inputs!$H$14</f>
        <v>3144.05576241869</v>
      </c>
      <c r="DY23" s="84" t="n">
        <f aca="false">DW23-DX23</f>
        <v>12576.2230496748</v>
      </c>
      <c r="DZ23" s="133" t="n">
        <f aca="false">DL23+$D23*Inputs!$H$13</f>
        <v>16071.990487232</v>
      </c>
      <c r="EA23" s="84" t="n">
        <f aca="false">MIN(DX23,DZ23)</f>
        <v>3144.05576241869</v>
      </c>
      <c r="EB23" s="84" t="n">
        <f aca="false">DZ23-EA23</f>
        <v>12927.9347248133</v>
      </c>
      <c r="EC23" s="84" t="n">
        <f aca="false">DO23+$G23*(DZ23+DO23)</f>
        <v>0</v>
      </c>
      <c r="ED23" s="84" t="n">
        <f aca="false">MIN(DX23-EA23,EC23)</f>
        <v>0</v>
      </c>
      <c r="EE23" s="84" t="n">
        <f aca="false">EC23-ED23</f>
        <v>0</v>
      </c>
      <c r="EF23" s="84" t="n">
        <f aca="false">IF($H23=1,MIN(DX23-EA23-ED23,MAX(0,$F23/(1-$F23)*(DT23+ED23)-DU23)),0)</f>
        <v>0</v>
      </c>
      <c r="EG23" s="84" t="n">
        <f aca="false">DX23-EA23-ED23-EF23</f>
        <v>0</v>
      </c>
      <c r="EH23" s="84" t="n">
        <f aca="false">EA23+ED23+(1-$F23)*EG23</f>
        <v>3144.05576241869</v>
      </c>
      <c r="EI23" s="84" t="n">
        <f aca="false">EF23+$F23*EG23</f>
        <v>0</v>
      </c>
      <c r="EJ23" s="84" t="n">
        <f aca="false">DT23+ED23+(1-$F23)*EG23</f>
        <v>0</v>
      </c>
      <c r="EK23" s="84" t="n">
        <f aca="false">DU23+EI23</f>
        <v>0</v>
      </c>
      <c r="EL23" s="133" t="n">
        <f aca="false">DY23+$D23*Inputs!$I$13-$D23*$E23</f>
        <v>12276.2230496748</v>
      </c>
      <c r="EM23" s="84" t="n">
        <f aca="false">EL23*(1+$I23)</f>
        <v>12521.7475106683</v>
      </c>
      <c r="EN23" s="133" t="n">
        <f aca="false">EM23*Inputs!$I$14</f>
        <v>2504.34950213365</v>
      </c>
      <c r="EO23" s="84" t="n">
        <f aca="false">EM23-EN23</f>
        <v>10017.3980085346</v>
      </c>
      <c r="EP23" s="133" t="n">
        <f aca="false">EB23+$D23*Inputs!$I$13</f>
        <v>12927.9347248133</v>
      </c>
      <c r="EQ23" s="84" t="n">
        <f aca="false">MIN(EN23,EP23)</f>
        <v>2504.34950213365</v>
      </c>
      <c r="ER23" s="84" t="n">
        <f aca="false">EP23-EQ23</f>
        <v>10423.5852226797</v>
      </c>
      <c r="ES23" s="84" t="n">
        <f aca="false">EE23+$G23*(EP23+EE23)</f>
        <v>0</v>
      </c>
      <c r="ET23" s="84" t="n">
        <f aca="false">MIN(EN23-EQ23,ES23)</f>
        <v>0</v>
      </c>
      <c r="EU23" s="84" t="n">
        <f aca="false">ES23-ET23</f>
        <v>0</v>
      </c>
      <c r="EV23" s="84" t="n">
        <f aca="false">IF($H23=1,MIN(EN23-EQ23-ET23,MAX(0,$F23/(1-$F23)*(EJ23+ET23)-EK23)),0)</f>
        <v>0</v>
      </c>
      <c r="EW23" s="84" t="n">
        <f aca="false">EN23-EQ23-ET23-EV23</f>
        <v>0</v>
      </c>
      <c r="EX23" s="84" t="n">
        <f aca="false">EQ23+ET23+(1-$F23)*EW23</f>
        <v>2504.34950213365</v>
      </c>
      <c r="EY23" s="84" t="n">
        <f aca="false">EV23+$F23*EW23</f>
        <v>0</v>
      </c>
      <c r="EZ23" s="84" t="n">
        <f aca="false">EJ23+ET23+(1-$F23)*EW23</f>
        <v>0</v>
      </c>
      <c r="FA23" s="84" t="n">
        <f aca="false">EK23+EY23</f>
        <v>0</v>
      </c>
      <c r="FB23" s="133" t="n">
        <f aca="false">EO23+$D23*Inputs!$J$13-$D23*$E23</f>
        <v>9717.3980085346</v>
      </c>
      <c r="FC23" s="84" t="n">
        <f aca="false">FB23*(1+$I23)</f>
        <v>9911.74596870529</v>
      </c>
      <c r="FD23" s="133" t="n">
        <f aca="false">FC23*Inputs!$J$14</f>
        <v>1982.34919374106</v>
      </c>
      <c r="FE23" s="84" t="n">
        <f aca="false">FC23-FD23</f>
        <v>7929.39677496423</v>
      </c>
      <c r="FF23" s="133" t="n">
        <f aca="false">ER23+$D23*Inputs!$J$13</f>
        <v>10423.5852226797</v>
      </c>
      <c r="FG23" s="84" t="n">
        <f aca="false">MIN(FD23,FF23)</f>
        <v>1982.34919374106</v>
      </c>
      <c r="FH23" s="84" t="n">
        <f aca="false">FF23-FG23</f>
        <v>8441.23602893861</v>
      </c>
      <c r="FI23" s="84" t="n">
        <f aca="false">EU23+$G23*(FF23+EU23)</f>
        <v>0</v>
      </c>
      <c r="FJ23" s="84" t="n">
        <f aca="false">MIN(FD23-FG23,FI23)</f>
        <v>0</v>
      </c>
      <c r="FK23" s="84" t="n">
        <f aca="false">FI23-FJ23</f>
        <v>0</v>
      </c>
      <c r="FL23" s="84" t="n">
        <f aca="false">IF($H23=1,MIN(FD23-FG23-FJ23,MAX(0,$F23/(1-$F23)*(EZ23+FJ23)-FA23)),0)</f>
        <v>0</v>
      </c>
      <c r="FM23" s="84" t="n">
        <f aca="false">FD23-FG23-FJ23-FL23</f>
        <v>0</v>
      </c>
      <c r="FN23" s="84" t="n">
        <f aca="false">FG23+FJ23+(1-$F23)*FM23</f>
        <v>1982.34919374106</v>
      </c>
      <c r="FO23" s="84" t="n">
        <f aca="false">FL23+$F23*FM23</f>
        <v>0</v>
      </c>
      <c r="FP23" s="84" t="n">
        <f aca="false">EZ23+FJ23+(1-$F23)*FM23</f>
        <v>0</v>
      </c>
      <c r="FQ23" s="84" t="n">
        <f aca="false">FA23+FO23</f>
        <v>0</v>
      </c>
      <c r="FR23" s="133" t="n">
        <f aca="false">FE23+$D23*Inputs!$K$13-$D23*$E23</f>
        <v>7629.39677496423</v>
      </c>
      <c r="FS23" s="84" t="n">
        <f aca="false">FR23*(1+$I23)</f>
        <v>7781.98471046352</v>
      </c>
      <c r="FT23" s="133" t="n">
        <f aca="false">FS23*Inputs!$K$14</f>
        <v>1556.3969420927</v>
      </c>
      <c r="FU23" s="84" t="n">
        <f aca="false">FS23-FT23</f>
        <v>6225.58776837082</v>
      </c>
      <c r="FV23" s="133" t="n">
        <f aca="false">FH23+$D23*Inputs!$K$13</f>
        <v>8441.23602893861</v>
      </c>
      <c r="FW23" s="84" t="n">
        <f aca="false">MIN(FT23,FV23)</f>
        <v>1556.3969420927</v>
      </c>
      <c r="FX23" s="84" t="n">
        <f aca="false">FV23-FW23</f>
        <v>6884.8390868459</v>
      </c>
      <c r="FY23" s="84" t="n">
        <f aca="false">FK23+$G23*(FV23+FK23)</f>
        <v>0</v>
      </c>
      <c r="FZ23" s="84" t="n">
        <f aca="false">MIN(FT23-FW23,FY23)</f>
        <v>0</v>
      </c>
      <c r="GA23" s="84" t="n">
        <f aca="false">FY23-FZ23</f>
        <v>0</v>
      </c>
      <c r="GB23" s="84" t="n">
        <f aca="false">IF($H23=1,MIN(FT23-FW23-FZ23,MAX(0,$F23/(1-$F23)*(FP23+FZ23)-FQ23)),0)</f>
        <v>0</v>
      </c>
      <c r="GC23" s="84" t="n">
        <f aca="false">FT23-FW23-FZ23-GB23</f>
        <v>0</v>
      </c>
      <c r="GD23" s="84" t="n">
        <f aca="false">FW23+FZ23+(1-$F23)*GC23</f>
        <v>1556.3969420927</v>
      </c>
      <c r="GE23" s="84" t="n">
        <f aca="false">GB23+$F23*GC23</f>
        <v>0</v>
      </c>
      <c r="GF23" s="84" t="n">
        <f aca="false">FP23+FZ23+(1-$F23)*GC23</f>
        <v>0</v>
      </c>
      <c r="GG23" s="84" t="n">
        <f aca="false">FQ23+GE23</f>
        <v>0</v>
      </c>
      <c r="GH23" s="133" t="n">
        <f aca="false">FU23+$D23*Inputs!$L$13-$D23*$E23</f>
        <v>5925.58776837082</v>
      </c>
      <c r="GI23" s="84" t="n">
        <f aca="false">GH23*(1+$I23)</f>
        <v>6044.09952373823</v>
      </c>
      <c r="GJ23" s="133" t="n">
        <f aca="false">GI23*Inputs!$L$14</f>
        <v>6044.09952373823</v>
      </c>
      <c r="GK23" s="84" t="n">
        <f aca="false">GI23-GJ23</f>
        <v>0</v>
      </c>
      <c r="GL23" s="133" t="n">
        <f aca="false">FX23+$D23*Inputs!$L$13</f>
        <v>6884.8390868459</v>
      </c>
      <c r="GM23" s="84" t="n">
        <f aca="false">MIN(GJ23,GL23)</f>
        <v>6044.09952373823</v>
      </c>
      <c r="GN23" s="84" t="n">
        <f aca="false">GL23-GM23</f>
        <v>840.73956310767</v>
      </c>
      <c r="GO23" s="84" t="n">
        <f aca="false">GA23+$G23*(GL23+GA23)</f>
        <v>0</v>
      </c>
      <c r="GP23" s="84" t="n">
        <f aca="false">MIN(GJ23-GM23,GO23)</f>
        <v>0</v>
      </c>
      <c r="GQ23" s="84" t="n">
        <f aca="false">GO23-GP23</f>
        <v>0</v>
      </c>
      <c r="GR23" s="84" t="n">
        <f aca="false">IF($H23=1,MIN(GJ23-GM23-GP23,MAX(0,$F23/(1-$F23)*(GF23+GP23)-GG23)),0)</f>
        <v>0</v>
      </c>
      <c r="GS23" s="84" t="n">
        <f aca="false">GJ23-GM23-GP23-GR23</f>
        <v>0</v>
      </c>
      <c r="GT23" s="84" t="n">
        <f aca="false">GM23+GP23+(1-$F23)*GS23</f>
        <v>6044.09952373823</v>
      </c>
      <c r="GU23" s="84" t="n">
        <f aca="false">GR23+$F23*GS23</f>
        <v>0</v>
      </c>
      <c r="GV23" s="84" t="n">
        <f aca="false">GF23+GP23+(1-$F23)*GS23</f>
        <v>0</v>
      </c>
      <c r="GW23" s="84" t="n">
        <f aca="false">GG23+GU23</f>
        <v>0</v>
      </c>
    </row>
    <row r="24" customFormat="false" ht="15" hidden="false" customHeight="false" outlineLevel="0" collapsed="false">
      <c r="A24" s="5" t="s">
        <v>635</v>
      </c>
      <c r="B24" s="5" t="s">
        <v>636</v>
      </c>
      <c r="C24" s="135" t="n">
        <v>3</v>
      </c>
      <c r="D24" s="47" t="n">
        <f aca="false">Inputs!$C$6</f>
        <v>20000</v>
      </c>
      <c r="E24" s="35" t="n">
        <f aca="false">Inputs!$C$18</f>
        <v>0.015</v>
      </c>
      <c r="F24" s="36" t="n">
        <f aca="false">Inputs!$C$20</f>
        <v>0.2</v>
      </c>
      <c r="G24" s="30" t="n">
        <v>0</v>
      </c>
      <c r="H24" s="27" t="n">
        <v>0</v>
      </c>
      <c r="I24" s="132" t="n">
        <f aca="false">Inputs!$C$38+$C24*Inputs!$C$39</f>
        <v>0.03</v>
      </c>
      <c r="J24" s="36" t="n">
        <f aca="false">Inputs!$C$9</f>
        <v>0.15</v>
      </c>
      <c r="K24" s="89" t="n">
        <f aca="false">IRR(W24:AG24,0.1)</f>
        <v>0.00236220523875433</v>
      </c>
      <c r="L24" s="45" t="n">
        <f aca="false">W24+NPV($J24,X24:AG24)</f>
        <v>-8222.53642342691</v>
      </c>
      <c r="M24" s="45" t="n">
        <f aca="false">SUM(BF24,BV24,CL24,DB24,DR24,EH24,EX24,FN24,GD24,GT24)</f>
        <v>20269.4997802972</v>
      </c>
      <c r="N24" s="43" t="n">
        <f aca="false">IF($D24*SUM(Inputs!$C$13:$L$13)=0,0,M24/($D24*SUM(Inputs!$C$13:$L$13)))</f>
        <v>1.01347498901486</v>
      </c>
      <c r="O24" s="42" t="n">
        <f aca="false">$D24*$E24*COLUMNS(Inputs!$C$13:$L$13)</f>
        <v>3000</v>
      </c>
      <c r="P24" s="45" t="n">
        <f aca="false">SUM(BG24,BW24,CM24,DC24,DS24,EI24,EY24,FO24,GE24,GU24)</f>
        <v>67.3749450743044</v>
      </c>
      <c r="Q24" s="42" t="n">
        <f aca="false">PV($J24,COLUMNS(Inputs!$C$13:$L$13),-$D24*$E24,0,1)</f>
        <v>1731.47517591971</v>
      </c>
      <c r="R24" s="45" t="n">
        <f aca="false">NPV($J24,BG24,BW24,CM24,DC24,DS24,EI24,EY24,FO24,GE24,GU24)</f>
        <v>16.6540559981688</v>
      </c>
      <c r="S24" s="45" t="n">
        <f aca="false">Q24+R24</f>
        <v>1748.12923191788</v>
      </c>
      <c r="T24" s="32" t="n">
        <f aca="false">IF(S24=0,0,Q24/S24)</f>
        <v>0.990473212338027</v>
      </c>
      <c r="U24" s="45" t="n">
        <f aca="false">ROUND(ABS(GK24)+ABS(SUM(AV24,BL24,CB24,CR24,DH24,DX24,EN24,FD24,FT24,GJ24)-M24-P24)+ABS(S24-(AH24+NPV($J24,AI24:AR24))),6)</f>
        <v>0</v>
      </c>
      <c r="W24" s="133" t="n">
        <f aca="false">-$D24*Inputs!$C$13</f>
        <v>-4000</v>
      </c>
      <c r="X24" s="133" t="n">
        <f aca="false">BF24-$D24*Inputs!$D$13</f>
        <v>-4000</v>
      </c>
      <c r="Y24" s="133" t="n">
        <f aca="false">BV24-$D24*Inputs!$E$13</f>
        <v>-4000</v>
      </c>
      <c r="Z24" s="133" t="n">
        <f aca="false">CL24-$D24*Inputs!$F$13</f>
        <v>-4000</v>
      </c>
      <c r="AA24" s="133" t="n">
        <f aca="false">DB24-$D24*Inputs!$G$13</f>
        <v>-4000</v>
      </c>
      <c r="AB24" s="133" t="n">
        <f aca="false">DR24-$D24*Inputs!$H$13</f>
        <v>4046.623314382</v>
      </c>
      <c r="AC24" s="133" t="n">
        <f aca="false">EH24-$D24*Inputs!$I$13</f>
        <v>3272.61761105077</v>
      </c>
      <c r="AD24" s="133" t="n">
        <f aca="false">EX24-$D24*Inputs!$J$13</f>
        <v>2634.83691150583</v>
      </c>
      <c r="AE24" s="133" t="n">
        <f aca="false">FN24-$D24*Inputs!$K$13</f>
        <v>2109.30561508081</v>
      </c>
      <c r="AF24" s="133" t="n">
        <f aca="false">GD24-$D24*Inputs!$L$13</f>
        <v>1676.26782682658</v>
      </c>
      <c r="AG24" s="84" t="n">
        <f aca="false">GT24</f>
        <v>6529.84850145122</v>
      </c>
      <c r="AH24" s="84" t="n">
        <f aca="false">$D24*$E24</f>
        <v>300</v>
      </c>
      <c r="AI24" s="84" t="n">
        <f aca="false">BG24+$D24*$E24</f>
        <v>300</v>
      </c>
      <c r="AJ24" s="84" t="n">
        <f aca="false">BW24+$D24*$E24</f>
        <v>300</v>
      </c>
      <c r="AK24" s="84" t="n">
        <f aca="false">CM24+$D24*$E24</f>
        <v>300</v>
      </c>
      <c r="AL24" s="84" t="n">
        <f aca="false">DC24+$D24*$E24</f>
        <v>300</v>
      </c>
      <c r="AM24" s="84" t="n">
        <f aca="false">DS24+$D24*$E24</f>
        <v>300</v>
      </c>
      <c r="AN24" s="84" t="n">
        <f aca="false">EI24+$D24*$E24</f>
        <v>300</v>
      </c>
      <c r="AO24" s="84" t="n">
        <f aca="false">EY24+$D24*$E24</f>
        <v>300</v>
      </c>
      <c r="AP24" s="84" t="n">
        <f aca="false">FO24+$D24*$E24</f>
        <v>300</v>
      </c>
      <c r="AQ24" s="84" t="n">
        <f aca="false">GE24+$D24*$E24</f>
        <v>300</v>
      </c>
      <c r="AR24" s="84" t="n">
        <f aca="false">GU24</f>
        <v>67.3749450743044</v>
      </c>
      <c r="AT24" s="133" t="n">
        <f aca="false">$D24*Inputs!$C$13-$D24*$E24</f>
        <v>3700</v>
      </c>
      <c r="AU24" s="84" t="n">
        <f aca="false">AT24*(1+$I24)</f>
        <v>3811</v>
      </c>
      <c r="AV24" s="133" t="n">
        <f aca="false">AU24*Inputs!$C$14</f>
        <v>0</v>
      </c>
      <c r="AW24" s="84" t="n">
        <f aca="false">AU24-AV24</f>
        <v>3811</v>
      </c>
      <c r="AX24" s="133" t="n">
        <f aca="false">$D24*Inputs!$C$13</f>
        <v>4000</v>
      </c>
      <c r="AY24" s="84" t="n">
        <f aca="false">MIN(AV24,AX24)</f>
        <v>0</v>
      </c>
      <c r="AZ24" s="84" t="n">
        <f aca="false">AX24-AY24</f>
        <v>4000</v>
      </c>
      <c r="BA24" s="84" t="n">
        <f aca="false">$G24*AX24</f>
        <v>0</v>
      </c>
      <c r="BB24" s="84" t="n">
        <f aca="false">MIN(AV24-AY24,BA24)</f>
        <v>0</v>
      </c>
      <c r="BC24" s="84" t="n">
        <f aca="false">BA24-BB24</f>
        <v>0</v>
      </c>
      <c r="BD24" s="84" t="n">
        <f aca="false">IF($H24=1,MIN(AV24-AY24-BB24,MAX(0,$F24/(1-$F24)*BB24)),0)</f>
        <v>0</v>
      </c>
      <c r="BE24" s="84" t="n">
        <f aca="false">AV24-AY24-BB24-BD24</f>
        <v>0</v>
      </c>
      <c r="BF24" s="84" t="n">
        <f aca="false">AY24+BB24+(1-$F24)*BE24</f>
        <v>0</v>
      </c>
      <c r="BG24" s="84" t="n">
        <f aca="false">BD24+$F24*BE24</f>
        <v>0</v>
      </c>
      <c r="BH24" s="84" t="n">
        <f aca="false">BB24+(1-$F24)*BE24</f>
        <v>0</v>
      </c>
      <c r="BI24" s="84" t="n">
        <f aca="false">BG24</f>
        <v>0</v>
      </c>
      <c r="BJ24" s="133" t="n">
        <f aca="false">AW24+$D24*Inputs!$D$13-$D24*$E24</f>
        <v>7511</v>
      </c>
      <c r="BK24" s="84" t="n">
        <f aca="false">BJ24*(1+$I24)</f>
        <v>7736.33</v>
      </c>
      <c r="BL24" s="133" t="n">
        <f aca="false">BK24*Inputs!$D$14</f>
        <v>0</v>
      </c>
      <c r="BM24" s="84" t="n">
        <f aca="false">BK24-BL24</f>
        <v>7736.33</v>
      </c>
      <c r="BN24" s="133" t="n">
        <f aca="false">AZ24+$D24*Inputs!$D$13</f>
        <v>8000</v>
      </c>
      <c r="BO24" s="84" t="n">
        <f aca="false">MIN(BL24,BN24)</f>
        <v>0</v>
      </c>
      <c r="BP24" s="84" t="n">
        <f aca="false">BN24-BO24</f>
        <v>8000</v>
      </c>
      <c r="BQ24" s="84" t="n">
        <f aca="false">BC24+$G24*(BN24+BC24)</f>
        <v>0</v>
      </c>
      <c r="BR24" s="84" t="n">
        <f aca="false">MIN(BL24-BO24,BQ24)</f>
        <v>0</v>
      </c>
      <c r="BS24" s="84" t="n">
        <f aca="false">BQ24-BR24</f>
        <v>0</v>
      </c>
      <c r="BT24" s="84" t="n">
        <f aca="false">IF($H24=1,MIN(BL24-BO24-BR24,MAX(0,$F24/(1-$F24)*(BH24+BR24)-BI24)),0)</f>
        <v>0</v>
      </c>
      <c r="BU24" s="84" t="n">
        <f aca="false">BL24-BO24-BR24-BT24</f>
        <v>0</v>
      </c>
      <c r="BV24" s="84" t="n">
        <f aca="false">BO24+BR24+(1-$F24)*BU24</f>
        <v>0</v>
      </c>
      <c r="BW24" s="84" t="n">
        <f aca="false">BT24+$F24*BU24</f>
        <v>0</v>
      </c>
      <c r="BX24" s="84" t="n">
        <f aca="false">BH24+BR24+(1-$F24)*BU24</f>
        <v>0</v>
      </c>
      <c r="BY24" s="84" t="n">
        <f aca="false">BI24+BW24</f>
        <v>0</v>
      </c>
      <c r="BZ24" s="133" t="n">
        <f aca="false">BM24+$D24*Inputs!$E$13-$D24*$E24</f>
        <v>11436.33</v>
      </c>
      <c r="CA24" s="84" t="n">
        <f aca="false">BZ24*(1+$I24)</f>
        <v>11779.4199</v>
      </c>
      <c r="CB24" s="133" t="n">
        <f aca="false">CA24*Inputs!$E$14</f>
        <v>0</v>
      </c>
      <c r="CC24" s="84" t="n">
        <f aca="false">CA24-CB24</f>
        <v>11779.4199</v>
      </c>
      <c r="CD24" s="133" t="n">
        <f aca="false">BP24+$D24*Inputs!$E$13</f>
        <v>12000</v>
      </c>
      <c r="CE24" s="84" t="n">
        <f aca="false">MIN(CB24,CD24)</f>
        <v>0</v>
      </c>
      <c r="CF24" s="84" t="n">
        <f aca="false">CD24-CE24</f>
        <v>12000</v>
      </c>
      <c r="CG24" s="84" t="n">
        <f aca="false">BS24+$G24*(CD24+BS24)</f>
        <v>0</v>
      </c>
      <c r="CH24" s="84" t="n">
        <f aca="false">MIN(CB24-CE24,CG24)</f>
        <v>0</v>
      </c>
      <c r="CI24" s="84" t="n">
        <f aca="false">CG24-CH24</f>
        <v>0</v>
      </c>
      <c r="CJ24" s="84" t="n">
        <f aca="false">IF($H24=1,MIN(CB24-CE24-CH24,MAX(0,$F24/(1-$F24)*(BX24+CH24)-BY24)),0)</f>
        <v>0</v>
      </c>
      <c r="CK24" s="84" t="n">
        <f aca="false">CB24-CE24-CH24-CJ24</f>
        <v>0</v>
      </c>
      <c r="CL24" s="84" t="n">
        <f aca="false">CE24+CH24+(1-$F24)*CK24</f>
        <v>0</v>
      </c>
      <c r="CM24" s="84" t="n">
        <f aca="false">CJ24+$F24*CK24</f>
        <v>0</v>
      </c>
      <c r="CN24" s="84" t="n">
        <f aca="false">BX24+CH24+(1-$F24)*CK24</f>
        <v>0</v>
      </c>
      <c r="CO24" s="84" t="n">
        <f aca="false">BY24+CM24</f>
        <v>0</v>
      </c>
      <c r="CP24" s="133" t="n">
        <f aca="false">CC24+$D24*Inputs!$F$13-$D24*$E24</f>
        <v>15479.4199</v>
      </c>
      <c r="CQ24" s="84" t="n">
        <f aca="false">CP24*(1+$I24)</f>
        <v>15943.802497</v>
      </c>
      <c r="CR24" s="133" t="n">
        <f aca="false">CQ24*Inputs!$F$14</f>
        <v>0</v>
      </c>
      <c r="CS24" s="84" t="n">
        <f aca="false">CQ24-CR24</f>
        <v>15943.802497</v>
      </c>
      <c r="CT24" s="133" t="n">
        <f aca="false">CF24+$D24*Inputs!$F$13</f>
        <v>16000</v>
      </c>
      <c r="CU24" s="84" t="n">
        <f aca="false">MIN(CR24,CT24)</f>
        <v>0</v>
      </c>
      <c r="CV24" s="84" t="n">
        <f aca="false">CT24-CU24</f>
        <v>16000</v>
      </c>
      <c r="CW24" s="84" t="n">
        <f aca="false">CI24+$G24*(CT24+CI24)</f>
        <v>0</v>
      </c>
      <c r="CX24" s="84" t="n">
        <f aca="false">MIN(CR24-CU24,CW24)</f>
        <v>0</v>
      </c>
      <c r="CY24" s="84" t="n">
        <f aca="false">CW24-CX24</f>
        <v>0</v>
      </c>
      <c r="CZ24" s="84" t="n">
        <f aca="false">IF($H24=1,MIN(CR24-CU24-CX24,MAX(0,$F24/(1-$F24)*(CN24+CX24)-CO24)),0)</f>
        <v>0</v>
      </c>
      <c r="DA24" s="84" t="n">
        <f aca="false">CR24-CU24-CX24-CZ24</f>
        <v>0</v>
      </c>
      <c r="DB24" s="84" t="n">
        <f aca="false">CU24+CX24+(1-$F24)*DA24</f>
        <v>0</v>
      </c>
      <c r="DC24" s="84" t="n">
        <f aca="false">CZ24+$F24*DA24</f>
        <v>0</v>
      </c>
      <c r="DD24" s="84" t="n">
        <f aca="false">CN24+CX24+(1-$F24)*DA24</f>
        <v>0</v>
      </c>
      <c r="DE24" s="84" t="n">
        <f aca="false">CO24+DC24</f>
        <v>0</v>
      </c>
      <c r="DF24" s="133" t="n">
        <f aca="false">CS24+$D24*Inputs!$G$13-$D24*$E24</f>
        <v>19643.802497</v>
      </c>
      <c r="DG24" s="84" t="n">
        <f aca="false">DF24*(1+$I24)</f>
        <v>20233.11657191</v>
      </c>
      <c r="DH24" s="133" t="n">
        <f aca="false">DG24*Inputs!$G$14</f>
        <v>4046.623314382</v>
      </c>
      <c r="DI24" s="84" t="n">
        <f aca="false">DG24-DH24</f>
        <v>16186.493257528</v>
      </c>
      <c r="DJ24" s="133" t="n">
        <f aca="false">CV24+$D24*Inputs!$G$13</f>
        <v>20000</v>
      </c>
      <c r="DK24" s="84" t="n">
        <f aca="false">MIN(DH24,DJ24)</f>
        <v>4046.623314382</v>
      </c>
      <c r="DL24" s="84" t="n">
        <f aca="false">DJ24-DK24</f>
        <v>15953.376685618</v>
      </c>
      <c r="DM24" s="84" t="n">
        <f aca="false">CY24+$G24*(DJ24+CY24)</f>
        <v>0</v>
      </c>
      <c r="DN24" s="84" t="n">
        <f aca="false">MIN(DH24-DK24,DM24)</f>
        <v>0</v>
      </c>
      <c r="DO24" s="84" t="n">
        <f aca="false">DM24-DN24</f>
        <v>0</v>
      </c>
      <c r="DP24" s="84" t="n">
        <f aca="false">IF($H24=1,MIN(DH24-DK24-DN24,MAX(0,$F24/(1-$F24)*(DD24+DN24)-DE24)),0)</f>
        <v>0</v>
      </c>
      <c r="DQ24" s="84" t="n">
        <f aca="false">DH24-DK24-DN24-DP24</f>
        <v>0</v>
      </c>
      <c r="DR24" s="84" t="n">
        <f aca="false">DK24+DN24+(1-$F24)*DQ24</f>
        <v>4046.623314382</v>
      </c>
      <c r="DS24" s="84" t="n">
        <f aca="false">DP24+$F24*DQ24</f>
        <v>0</v>
      </c>
      <c r="DT24" s="84" t="n">
        <f aca="false">DD24+DN24+(1-$F24)*DQ24</f>
        <v>0</v>
      </c>
      <c r="DU24" s="84" t="n">
        <f aca="false">DE24+DS24</f>
        <v>0</v>
      </c>
      <c r="DV24" s="133" t="n">
        <f aca="false">DI24+$D24*Inputs!$H$13-$D24*$E24</f>
        <v>15886.493257528</v>
      </c>
      <c r="DW24" s="84" t="n">
        <f aca="false">DV24*(1+$I24)</f>
        <v>16363.0880552538</v>
      </c>
      <c r="DX24" s="133" t="n">
        <f aca="false">DW24*Inputs!$H$14</f>
        <v>3272.61761105077</v>
      </c>
      <c r="DY24" s="84" t="n">
        <f aca="false">DW24-DX24</f>
        <v>13090.4704442031</v>
      </c>
      <c r="DZ24" s="133" t="n">
        <f aca="false">DL24+$D24*Inputs!$H$13</f>
        <v>15953.376685618</v>
      </c>
      <c r="EA24" s="84" t="n">
        <f aca="false">MIN(DX24,DZ24)</f>
        <v>3272.61761105077</v>
      </c>
      <c r="EB24" s="84" t="n">
        <f aca="false">DZ24-EA24</f>
        <v>12680.7590745672</v>
      </c>
      <c r="EC24" s="84" t="n">
        <f aca="false">DO24+$G24*(DZ24+DO24)</f>
        <v>0</v>
      </c>
      <c r="ED24" s="84" t="n">
        <f aca="false">MIN(DX24-EA24,EC24)</f>
        <v>0</v>
      </c>
      <c r="EE24" s="84" t="n">
        <f aca="false">EC24-ED24</f>
        <v>0</v>
      </c>
      <c r="EF24" s="84" t="n">
        <f aca="false">IF($H24=1,MIN(DX24-EA24-ED24,MAX(0,$F24/(1-$F24)*(DT24+ED24)-DU24)),0)</f>
        <v>0</v>
      </c>
      <c r="EG24" s="84" t="n">
        <f aca="false">DX24-EA24-ED24-EF24</f>
        <v>0</v>
      </c>
      <c r="EH24" s="84" t="n">
        <f aca="false">EA24+ED24+(1-$F24)*EG24</f>
        <v>3272.61761105077</v>
      </c>
      <c r="EI24" s="84" t="n">
        <f aca="false">EF24+$F24*EG24</f>
        <v>0</v>
      </c>
      <c r="EJ24" s="84" t="n">
        <f aca="false">DT24+ED24+(1-$F24)*EG24</f>
        <v>0</v>
      </c>
      <c r="EK24" s="84" t="n">
        <f aca="false">DU24+EI24</f>
        <v>0</v>
      </c>
      <c r="EL24" s="133" t="n">
        <f aca="false">DY24+$D24*Inputs!$I$13-$D24*$E24</f>
        <v>12790.4704442031</v>
      </c>
      <c r="EM24" s="84" t="n">
        <f aca="false">EL24*(1+$I24)</f>
        <v>13174.1845575292</v>
      </c>
      <c r="EN24" s="133" t="n">
        <f aca="false">EM24*Inputs!$I$14</f>
        <v>2634.83691150583</v>
      </c>
      <c r="EO24" s="84" t="n">
        <f aca="false">EM24-EN24</f>
        <v>10539.3476460233</v>
      </c>
      <c r="EP24" s="133" t="n">
        <f aca="false">EB24+$D24*Inputs!$I$13</f>
        <v>12680.7590745672</v>
      </c>
      <c r="EQ24" s="84" t="n">
        <f aca="false">MIN(EN24,EP24)</f>
        <v>2634.83691150583</v>
      </c>
      <c r="ER24" s="84" t="n">
        <f aca="false">EP24-EQ24</f>
        <v>10045.9221630614</v>
      </c>
      <c r="ES24" s="84" t="n">
        <f aca="false">EE24+$G24*(EP24+EE24)</f>
        <v>0</v>
      </c>
      <c r="ET24" s="84" t="n">
        <f aca="false">MIN(EN24-EQ24,ES24)</f>
        <v>0</v>
      </c>
      <c r="EU24" s="84" t="n">
        <f aca="false">ES24-ET24</f>
        <v>0</v>
      </c>
      <c r="EV24" s="84" t="n">
        <f aca="false">IF($H24=1,MIN(EN24-EQ24-ET24,MAX(0,$F24/(1-$F24)*(EJ24+ET24)-EK24)),0)</f>
        <v>0</v>
      </c>
      <c r="EW24" s="84" t="n">
        <f aca="false">EN24-EQ24-ET24-EV24</f>
        <v>0</v>
      </c>
      <c r="EX24" s="84" t="n">
        <f aca="false">EQ24+ET24+(1-$F24)*EW24</f>
        <v>2634.83691150583</v>
      </c>
      <c r="EY24" s="84" t="n">
        <f aca="false">EV24+$F24*EW24</f>
        <v>0</v>
      </c>
      <c r="EZ24" s="84" t="n">
        <f aca="false">EJ24+ET24+(1-$F24)*EW24</f>
        <v>0</v>
      </c>
      <c r="FA24" s="84" t="n">
        <f aca="false">EK24+EY24</f>
        <v>0</v>
      </c>
      <c r="FB24" s="133" t="n">
        <f aca="false">EO24+$D24*Inputs!$J$13-$D24*$E24</f>
        <v>10239.3476460233</v>
      </c>
      <c r="FC24" s="84" t="n">
        <f aca="false">FB24*(1+$I24)</f>
        <v>10546.528075404</v>
      </c>
      <c r="FD24" s="133" t="n">
        <f aca="false">FC24*Inputs!$J$14</f>
        <v>2109.30561508081</v>
      </c>
      <c r="FE24" s="84" t="n">
        <f aca="false">FC24-FD24</f>
        <v>8437.22246032323</v>
      </c>
      <c r="FF24" s="133" t="n">
        <f aca="false">ER24+$D24*Inputs!$J$13</f>
        <v>10045.9221630614</v>
      </c>
      <c r="FG24" s="84" t="n">
        <f aca="false">MIN(FD24,FF24)</f>
        <v>2109.30561508081</v>
      </c>
      <c r="FH24" s="84" t="n">
        <f aca="false">FF24-FG24</f>
        <v>7936.61654798059</v>
      </c>
      <c r="FI24" s="84" t="n">
        <f aca="false">EU24+$G24*(FF24+EU24)</f>
        <v>0</v>
      </c>
      <c r="FJ24" s="84" t="n">
        <f aca="false">MIN(FD24-FG24,FI24)</f>
        <v>0</v>
      </c>
      <c r="FK24" s="84" t="n">
        <f aca="false">FI24-FJ24</f>
        <v>0</v>
      </c>
      <c r="FL24" s="84" t="n">
        <f aca="false">IF($H24=1,MIN(FD24-FG24-FJ24,MAX(0,$F24/(1-$F24)*(EZ24+FJ24)-FA24)),0)</f>
        <v>0</v>
      </c>
      <c r="FM24" s="84" t="n">
        <f aca="false">FD24-FG24-FJ24-FL24</f>
        <v>0</v>
      </c>
      <c r="FN24" s="84" t="n">
        <f aca="false">FG24+FJ24+(1-$F24)*FM24</f>
        <v>2109.30561508081</v>
      </c>
      <c r="FO24" s="84" t="n">
        <f aca="false">FL24+$F24*FM24</f>
        <v>0</v>
      </c>
      <c r="FP24" s="84" t="n">
        <f aca="false">EZ24+FJ24+(1-$F24)*FM24</f>
        <v>0</v>
      </c>
      <c r="FQ24" s="84" t="n">
        <f aca="false">FA24+FO24</f>
        <v>0</v>
      </c>
      <c r="FR24" s="133" t="n">
        <f aca="false">FE24+$D24*Inputs!$K$13-$D24*$E24</f>
        <v>8137.22246032323</v>
      </c>
      <c r="FS24" s="84" t="n">
        <f aca="false">FR24*(1+$I24)</f>
        <v>8381.33913413292</v>
      </c>
      <c r="FT24" s="133" t="n">
        <f aca="false">FS24*Inputs!$K$14</f>
        <v>1676.26782682658</v>
      </c>
      <c r="FU24" s="84" t="n">
        <f aca="false">FS24-FT24</f>
        <v>6705.07130730634</v>
      </c>
      <c r="FV24" s="133" t="n">
        <f aca="false">FH24+$D24*Inputs!$K$13</f>
        <v>7936.61654798059</v>
      </c>
      <c r="FW24" s="84" t="n">
        <f aca="false">MIN(FT24,FV24)</f>
        <v>1676.26782682658</v>
      </c>
      <c r="FX24" s="84" t="n">
        <f aca="false">FV24-FW24</f>
        <v>6260.34872115401</v>
      </c>
      <c r="FY24" s="84" t="n">
        <f aca="false">FK24+$G24*(FV24+FK24)</f>
        <v>0</v>
      </c>
      <c r="FZ24" s="84" t="n">
        <f aca="false">MIN(FT24-FW24,FY24)</f>
        <v>0</v>
      </c>
      <c r="GA24" s="84" t="n">
        <f aca="false">FY24-FZ24</f>
        <v>0</v>
      </c>
      <c r="GB24" s="84" t="n">
        <f aca="false">IF($H24=1,MIN(FT24-FW24-FZ24,MAX(0,$F24/(1-$F24)*(FP24+FZ24)-FQ24)),0)</f>
        <v>0</v>
      </c>
      <c r="GC24" s="84" t="n">
        <f aca="false">FT24-FW24-FZ24-GB24</f>
        <v>0</v>
      </c>
      <c r="GD24" s="84" t="n">
        <f aca="false">FW24+FZ24+(1-$F24)*GC24</f>
        <v>1676.26782682658</v>
      </c>
      <c r="GE24" s="84" t="n">
        <f aca="false">GB24+$F24*GC24</f>
        <v>0</v>
      </c>
      <c r="GF24" s="84" t="n">
        <f aca="false">FP24+FZ24+(1-$F24)*GC24</f>
        <v>0</v>
      </c>
      <c r="GG24" s="84" t="n">
        <f aca="false">FQ24+GE24</f>
        <v>0</v>
      </c>
      <c r="GH24" s="133" t="n">
        <f aca="false">FU24+$D24*Inputs!$L$13-$D24*$E24</f>
        <v>6405.07130730634</v>
      </c>
      <c r="GI24" s="84" t="n">
        <f aca="false">GH24*(1+$I24)</f>
        <v>6597.22344652553</v>
      </c>
      <c r="GJ24" s="133" t="n">
        <f aca="false">GI24*Inputs!$L$14</f>
        <v>6597.22344652553</v>
      </c>
      <c r="GK24" s="84" t="n">
        <f aca="false">GI24-GJ24</f>
        <v>0</v>
      </c>
      <c r="GL24" s="133" t="n">
        <f aca="false">FX24+$D24*Inputs!$L$13</f>
        <v>6260.34872115401</v>
      </c>
      <c r="GM24" s="84" t="n">
        <f aca="false">MIN(GJ24,GL24)</f>
        <v>6260.34872115401</v>
      </c>
      <c r="GN24" s="84" t="n">
        <f aca="false">GL24-GM24</f>
        <v>0</v>
      </c>
      <c r="GO24" s="84" t="n">
        <f aca="false">GA24+$G24*(GL24+GA24)</f>
        <v>0</v>
      </c>
      <c r="GP24" s="84" t="n">
        <f aca="false">MIN(GJ24-GM24,GO24)</f>
        <v>0</v>
      </c>
      <c r="GQ24" s="84" t="n">
        <f aca="false">GO24-GP24</f>
        <v>0</v>
      </c>
      <c r="GR24" s="84" t="n">
        <f aca="false">IF($H24=1,MIN(GJ24-GM24-GP24,MAX(0,$F24/(1-$F24)*(GF24+GP24)-GG24)),0)</f>
        <v>0</v>
      </c>
      <c r="GS24" s="84" t="n">
        <f aca="false">GJ24-GM24-GP24-GR24</f>
        <v>336.874725371522</v>
      </c>
      <c r="GT24" s="84" t="n">
        <f aca="false">GM24+GP24+(1-$F24)*GS24</f>
        <v>6529.84850145122</v>
      </c>
      <c r="GU24" s="84" t="n">
        <f aca="false">GR24+$F24*GS24</f>
        <v>67.3749450743044</v>
      </c>
      <c r="GV24" s="84" t="n">
        <f aca="false">GF24+GP24+(1-$F24)*GS24</f>
        <v>269.499780297218</v>
      </c>
      <c r="GW24" s="84" t="n">
        <f aca="false">GG24+GU24</f>
        <v>67.3749450743044</v>
      </c>
    </row>
    <row r="25" customFormat="false" ht="15" hidden="false" customHeight="false" outlineLevel="0" collapsed="false">
      <c r="A25" s="5" t="s">
        <v>635</v>
      </c>
      <c r="B25" s="5" t="s">
        <v>636</v>
      </c>
      <c r="C25" s="135" t="n">
        <v>4</v>
      </c>
      <c r="D25" s="47" t="n">
        <f aca="false">Inputs!$C$6</f>
        <v>20000</v>
      </c>
      <c r="E25" s="35" t="n">
        <f aca="false">Inputs!$C$18</f>
        <v>0.015</v>
      </c>
      <c r="F25" s="36" t="n">
        <f aca="false">Inputs!$C$20</f>
        <v>0.2</v>
      </c>
      <c r="G25" s="30" t="n">
        <v>0</v>
      </c>
      <c r="H25" s="27" t="n">
        <v>0</v>
      </c>
      <c r="I25" s="132" t="n">
        <f aca="false">Inputs!$C$38+$C25*Inputs!$C$39</f>
        <v>0.04</v>
      </c>
      <c r="J25" s="36" t="n">
        <f aca="false">Inputs!$C$9</f>
        <v>0.15</v>
      </c>
      <c r="K25" s="89" t="n">
        <f aca="false">IRR(W25:AG25,0.1)</f>
        <v>0.0108740667397131</v>
      </c>
      <c r="L25" s="45" t="n">
        <f aca="false">W25+NPV($J25,X25:AG25)</f>
        <v>-7887.72041837778</v>
      </c>
      <c r="M25" s="45" t="n">
        <f aca="false">SUM(BF25,BV25,CL25,DB25,DR25,EH25,EX25,FN25,GD25,GT25)</f>
        <v>21267.834725966</v>
      </c>
      <c r="N25" s="43" t="n">
        <f aca="false">IF($D25*SUM(Inputs!$C$13:$L$13)=0,0,M25/($D25*SUM(Inputs!$C$13:$L$13)))</f>
        <v>1.0633917362983</v>
      </c>
      <c r="O25" s="42" t="n">
        <f aca="false">$D25*$E25*COLUMNS(Inputs!$C$13:$L$13)</f>
        <v>3000</v>
      </c>
      <c r="P25" s="45" t="n">
        <f aca="false">SUM(BG25,BW25,CM25,DC25,DS25,EI25,EY25,FO25,GE25,GU25)</f>
        <v>316.958681491489</v>
      </c>
      <c r="Q25" s="42" t="n">
        <f aca="false">PV($J25,COLUMNS(Inputs!$C$13:$L$13),-$D25*$E25,0,1)</f>
        <v>1731.47517591971</v>
      </c>
      <c r="R25" s="45" t="n">
        <f aca="false">NPV($J25,BG25,BW25,CM25,DC25,DS25,EI25,EY25,FO25,GE25,GU25)</f>
        <v>78.3473385372478</v>
      </c>
      <c r="S25" s="45" t="n">
        <f aca="false">Q25+R25</f>
        <v>1809.82251445696</v>
      </c>
      <c r="T25" s="32" t="n">
        <f aca="false">IF(S25=0,0,Q25/S25)</f>
        <v>0.95670993265284</v>
      </c>
      <c r="U25" s="45" t="n">
        <f aca="false">ROUND(ABS(GK25)+ABS(SUM(AV25,BL25,CB25,CR25,DH25,DX25,EN25,FD25,FT25,GJ25)-M25-P25)+ABS(S25-(AH25+NPV($J25,AI25:AR25))),6)</f>
        <v>0</v>
      </c>
      <c r="W25" s="133" t="n">
        <f aca="false">-$D25*Inputs!$C$13</f>
        <v>-4000</v>
      </c>
      <c r="X25" s="133" t="n">
        <f aca="false">BF25-$D25*Inputs!$D$13</f>
        <v>-4000</v>
      </c>
      <c r="Y25" s="133" t="n">
        <f aca="false">BV25-$D25*Inputs!$E$13</f>
        <v>-4000</v>
      </c>
      <c r="Z25" s="133" t="n">
        <f aca="false">CL25-$D25*Inputs!$F$13</f>
        <v>-4000</v>
      </c>
      <c r="AA25" s="133" t="n">
        <f aca="false">DB25-$D25*Inputs!$G$13</f>
        <v>-4000</v>
      </c>
      <c r="AB25" s="133" t="n">
        <f aca="false">DR25-$D25*Inputs!$H$13</f>
        <v>4168.401842176</v>
      </c>
      <c r="AC25" s="133" t="n">
        <f aca="false">EH25-$D25*Inputs!$I$13</f>
        <v>3405.71033269043</v>
      </c>
      <c r="AD25" s="133" t="n">
        <f aca="false">EX25-$D25*Inputs!$J$13</f>
        <v>2771.15099679844</v>
      </c>
      <c r="AE25" s="133" t="n">
        <f aca="false">FN25-$D25*Inputs!$K$13</f>
        <v>2243.1976293363</v>
      </c>
      <c r="AF25" s="133" t="n">
        <f aca="false">GD25-$D25*Inputs!$L$13</f>
        <v>1803.9404276078</v>
      </c>
      <c r="AG25" s="84" t="n">
        <f aca="false">GT25</f>
        <v>6875.43349735698</v>
      </c>
      <c r="AH25" s="84" t="n">
        <f aca="false">$D25*$E25</f>
        <v>300</v>
      </c>
      <c r="AI25" s="84" t="n">
        <f aca="false">BG25+$D25*$E25</f>
        <v>300</v>
      </c>
      <c r="AJ25" s="84" t="n">
        <f aca="false">BW25+$D25*$E25</f>
        <v>300</v>
      </c>
      <c r="AK25" s="84" t="n">
        <f aca="false">CM25+$D25*$E25</f>
        <v>300</v>
      </c>
      <c r="AL25" s="84" t="n">
        <f aca="false">DC25+$D25*$E25</f>
        <v>300</v>
      </c>
      <c r="AM25" s="84" t="n">
        <f aca="false">DS25+$D25*$E25</f>
        <v>300</v>
      </c>
      <c r="AN25" s="84" t="n">
        <f aca="false">EI25+$D25*$E25</f>
        <v>300</v>
      </c>
      <c r="AO25" s="84" t="n">
        <f aca="false">EY25+$D25*$E25</f>
        <v>300</v>
      </c>
      <c r="AP25" s="84" t="n">
        <f aca="false">FO25+$D25*$E25</f>
        <v>300</v>
      </c>
      <c r="AQ25" s="84" t="n">
        <f aca="false">GE25+$D25*$E25</f>
        <v>300</v>
      </c>
      <c r="AR25" s="84" t="n">
        <f aca="false">GU25</f>
        <v>316.958681491489</v>
      </c>
      <c r="AT25" s="133" t="n">
        <f aca="false">$D25*Inputs!$C$13-$D25*$E25</f>
        <v>3700</v>
      </c>
      <c r="AU25" s="84" t="n">
        <f aca="false">AT25*(1+$I25)</f>
        <v>3848</v>
      </c>
      <c r="AV25" s="133" t="n">
        <f aca="false">AU25*Inputs!$C$14</f>
        <v>0</v>
      </c>
      <c r="AW25" s="84" t="n">
        <f aca="false">AU25-AV25</f>
        <v>3848</v>
      </c>
      <c r="AX25" s="133" t="n">
        <f aca="false">$D25*Inputs!$C$13</f>
        <v>4000</v>
      </c>
      <c r="AY25" s="84" t="n">
        <f aca="false">MIN(AV25,AX25)</f>
        <v>0</v>
      </c>
      <c r="AZ25" s="84" t="n">
        <f aca="false">AX25-AY25</f>
        <v>4000</v>
      </c>
      <c r="BA25" s="84" t="n">
        <f aca="false">$G25*AX25</f>
        <v>0</v>
      </c>
      <c r="BB25" s="84" t="n">
        <f aca="false">MIN(AV25-AY25,BA25)</f>
        <v>0</v>
      </c>
      <c r="BC25" s="84" t="n">
        <f aca="false">BA25-BB25</f>
        <v>0</v>
      </c>
      <c r="BD25" s="84" t="n">
        <f aca="false">IF($H25=1,MIN(AV25-AY25-BB25,MAX(0,$F25/(1-$F25)*BB25)),0)</f>
        <v>0</v>
      </c>
      <c r="BE25" s="84" t="n">
        <f aca="false">AV25-AY25-BB25-BD25</f>
        <v>0</v>
      </c>
      <c r="BF25" s="84" t="n">
        <f aca="false">AY25+BB25+(1-$F25)*BE25</f>
        <v>0</v>
      </c>
      <c r="BG25" s="84" t="n">
        <f aca="false">BD25+$F25*BE25</f>
        <v>0</v>
      </c>
      <c r="BH25" s="84" t="n">
        <f aca="false">BB25+(1-$F25)*BE25</f>
        <v>0</v>
      </c>
      <c r="BI25" s="84" t="n">
        <f aca="false">BG25</f>
        <v>0</v>
      </c>
      <c r="BJ25" s="133" t="n">
        <f aca="false">AW25+$D25*Inputs!$D$13-$D25*$E25</f>
        <v>7548</v>
      </c>
      <c r="BK25" s="84" t="n">
        <f aca="false">BJ25*(1+$I25)</f>
        <v>7849.92</v>
      </c>
      <c r="BL25" s="133" t="n">
        <f aca="false">BK25*Inputs!$D$14</f>
        <v>0</v>
      </c>
      <c r="BM25" s="84" t="n">
        <f aca="false">BK25-BL25</f>
        <v>7849.92</v>
      </c>
      <c r="BN25" s="133" t="n">
        <f aca="false">AZ25+$D25*Inputs!$D$13</f>
        <v>8000</v>
      </c>
      <c r="BO25" s="84" t="n">
        <f aca="false">MIN(BL25,BN25)</f>
        <v>0</v>
      </c>
      <c r="BP25" s="84" t="n">
        <f aca="false">BN25-BO25</f>
        <v>8000</v>
      </c>
      <c r="BQ25" s="84" t="n">
        <f aca="false">BC25+$G25*(BN25+BC25)</f>
        <v>0</v>
      </c>
      <c r="BR25" s="84" t="n">
        <f aca="false">MIN(BL25-BO25,BQ25)</f>
        <v>0</v>
      </c>
      <c r="BS25" s="84" t="n">
        <f aca="false">BQ25-BR25</f>
        <v>0</v>
      </c>
      <c r="BT25" s="84" t="n">
        <f aca="false">IF($H25=1,MIN(BL25-BO25-BR25,MAX(0,$F25/(1-$F25)*(BH25+BR25)-BI25)),0)</f>
        <v>0</v>
      </c>
      <c r="BU25" s="84" t="n">
        <f aca="false">BL25-BO25-BR25-BT25</f>
        <v>0</v>
      </c>
      <c r="BV25" s="84" t="n">
        <f aca="false">BO25+BR25+(1-$F25)*BU25</f>
        <v>0</v>
      </c>
      <c r="BW25" s="84" t="n">
        <f aca="false">BT25+$F25*BU25</f>
        <v>0</v>
      </c>
      <c r="BX25" s="84" t="n">
        <f aca="false">BH25+BR25+(1-$F25)*BU25</f>
        <v>0</v>
      </c>
      <c r="BY25" s="84" t="n">
        <f aca="false">BI25+BW25</f>
        <v>0</v>
      </c>
      <c r="BZ25" s="133" t="n">
        <f aca="false">BM25+$D25*Inputs!$E$13-$D25*$E25</f>
        <v>11549.92</v>
      </c>
      <c r="CA25" s="84" t="n">
        <f aca="false">BZ25*(1+$I25)</f>
        <v>12011.9168</v>
      </c>
      <c r="CB25" s="133" t="n">
        <f aca="false">CA25*Inputs!$E$14</f>
        <v>0</v>
      </c>
      <c r="CC25" s="84" t="n">
        <f aca="false">CA25-CB25</f>
        <v>12011.9168</v>
      </c>
      <c r="CD25" s="133" t="n">
        <f aca="false">BP25+$D25*Inputs!$E$13</f>
        <v>12000</v>
      </c>
      <c r="CE25" s="84" t="n">
        <f aca="false">MIN(CB25,CD25)</f>
        <v>0</v>
      </c>
      <c r="CF25" s="84" t="n">
        <f aca="false">CD25-CE25</f>
        <v>12000</v>
      </c>
      <c r="CG25" s="84" t="n">
        <f aca="false">BS25+$G25*(CD25+BS25)</f>
        <v>0</v>
      </c>
      <c r="CH25" s="84" t="n">
        <f aca="false">MIN(CB25-CE25,CG25)</f>
        <v>0</v>
      </c>
      <c r="CI25" s="84" t="n">
        <f aca="false">CG25-CH25</f>
        <v>0</v>
      </c>
      <c r="CJ25" s="84" t="n">
        <f aca="false">IF($H25=1,MIN(CB25-CE25-CH25,MAX(0,$F25/(1-$F25)*(BX25+CH25)-BY25)),0)</f>
        <v>0</v>
      </c>
      <c r="CK25" s="84" t="n">
        <f aca="false">CB25-CE25-CH25-CJ25</f>
        <v>0</v>
      </c>
      <c r="CL25" s="84" t="n">
        <f aca="false">CE25+CH25+(1-$F25)*CK25</f>
        <v>0</v>
      </c>
      <c r="CM25" s="84" t="n">
        <f aca="false">CJ25+$F25*CK25</f>
        <v>0</v>
      </c>
      <c r="CN25" s="84" t="n">
        <f aca="false">BX25+CH25+(1-$F25)*CK25</f>
        <v>0</v>
      </c>
      <c r="CO25" s="84" t="n">
        <f aca="false">BY25+CM25</f>
        <v>0</v>
      </c>
      <c r="CP25" s="133" t="n">
        <f aca="false">CC25+$D25*Inputs!$F$13-$D25*$E25</f>
        <v>15711.9168</v>
      </c>
      <c r="CQ25" s="84" t="n">
        <f aca="false">CP25*(1+$I25)</f>
        <v>16340.393472</v>
      </c>
      <c r="CR25" s="133" t="n">
        <f aca="false">CQ25*Inputs!$F$14</f>
        <v>0</v>
      </c>
      <c r="CS25" s="84" t="n">
        <f aca="false">CQ25-CR25</f>
        <v>16340.393472</v>
      </c>
      <c r="CT25" s="133" t="n">
        <f aca="false">CF25+$D25*Inputs!$F$13</f>
        <v>16000</v>
      </c>
      <c r="CU25" s="84" t="n">
        <f aca="false">MIN(CR25,CT25)</f>
        <v>0</v>
      </c>
      <c r="CV25" s="84" t="n">
        <f aca="false">CT25-CU25</f>
        <v>16000</v>
      </c>
      <c r="CW25" s="84" t="n">
        <f aca="false">CI25+$G25*(CT25+CI25)</f>
        <v>0</v>
      </c>
      <c r="CX25" s="84" t="n">
        <f aca="false">MIN(CR25-CU25,CW25)</f>
        <v>0</v>
      </c>
      <c r="CY25" s="84" t="n">
        <f aca="false">CW25-CX25</f>
        <v>0</v>
      </c>
      <c r="CZ25" s="84" t="n">
        <f aca="false">IF($H25=1,MIN(CR25-CU25-CX25,MAX(0,$F25/(1-$F25)*(CN25+CX25)-CO25)),0)</f>
        <v>0</v>
      </c>
      <c r="DA25" s="84" t="n">
        <f aca="false">CR25-CU25-CX25-CZ25</f>
        <v>0</v>
      </c>
      <c r="DB25" s="84" t="n">
        <f aca="false">CU25+CX25+(1-$F25)*DA25</f>
        <v>0</v>
      </c>
      <c r="DC25" s="84" t="n">
        <f aca="false">CZ25+$F25*DA25</f>
        <v>0</v>
      </c>
      <c r="DD25" s="84" t="n">
        <f aca="false">CN25+CX25+(1-$F25)*DA25</f>
        <v>0</v>
      </c>
      <c r="DE25" s="84" t="n">
        <f aca="false">CO25+DC25</f>
        <v>0</v>
      </c>
      <c r="DF25" s="133" t="n">
        <f aca="false">CS25+$D25*Inputs!$G$13-$D25*$E25</f>
        <v>20040.393472</v>
      </c>
      <c r="DG25" s="84" t="n">
        <f aca="false">DF25*(1+$I25)</f>
        <v>20842.00921088</v>
      </c>
      <c r="DH25" s="133" t="n">
        <f aca="false">DG25*Inputs!$G$14</f>
        <v>4168.401842176</v>
      </c>
      <c r="DI25" s="84" t="n">
        <f aca="false">DG25-DH25</f>
        <v>16673.607368704</v>
      </c>
      <c r="DJ25" s="133" t="n">
        <f aca="false">CV25+$D25*Inputs!$G$13</f>
        <v>20000</v>
      </c>
      <c r="DK25" s="84" t="n">
        <f aca="false">MIN(DH25,DJ25)</f>
        <v>4168.401842176</v>
      </c>
      <c r="DL25" s="84" t="n">
        <f aca="false">DJ25-DK25</f>
        <v>15831.598157824</v>
      </c>
      <c r="DM25" s="84" t="n">
        <f aca="false">CY25+$G25*(DJ25+CY25)</f>
        <v>0</v>
      </c>
      <c r="DN25" s="84" t="n">
        <f aca="false">MIN(DH25-DK25,DM25)</f>
        <v>0</v>
      </c>
      <c r="DO25" s="84" t="n">
        <f aca="false">DM25-DN25</f>
        <v>0</v>
      </c>
      <c r="DP25" s="84" t="n">
        <f aca="false">IF($H25=1,MIN(DH25-DK25-DN25,MAX(0,$F25/(1-$F25)*(DD25+DN25)-DE25)),0)</f>
        <v>0</v>
      </c>
      <c r="DQ25" s="84" t="n">
        <f aca="false">DH25-DK25-DN25-DP25</f>
        <v>0</v>
      </c>
      <c r="DR25" s="84" t="n">
        <f aca="false">DK25+DN25+(1-$F25)*DQ25</f>
        <v>4168.401842176</v>
      </c>
      <c r="DS25" s="84" t="n">
        <f aca="false">DP25+$F25*DQ25</f>
        <v>0</v>
      </c>
      <c r="DT25" s="84" t="n">
        <f aca="false">DD25+DN25+(1-$F25)*DQ25</f>
        <v>0</v>
      </c>
      <c r="DU25" s="84" t="n">
        <f aca="false">DE25+DS25</f>
        <v>0</v>
      </c>
      <c r="DV25" s="133" t="n">
        <f aca="false">DI25+$D25*Inputs!$H$13-$D25*$E25</f>
        <v>16373.607368704</v>
      </c>
      <c r="DW25" s="84" t="n">
        <f aca="false">DV25*(1+$I25)</f>
        <v>17028.5516634522</v>
      </c>
      <c r="DX25" s="133" t="n">
        <f aca="false">DW25*Inputs!$H$14</f>
        <v>3405.71033269043</v>
      </c>
      <c r="DY25" s="84" t="n">
        <f aca="false">DW25-DX25</f>
        <v>13622.8413307617</v>
      </c>
      <c r="DZ25" s="133" t="n">
        <f aca="false">DL25+$D25*Inputs!$H$13</f>
        <v>15831.598157824</v>
      </c>
      <c r="EA25" s="84" t="n">
        <f aca="false">MIN(DX25,DZ25)</f>
        <v>3405.71033269043</v>
      </c>
      <c r="EB25" s="84" t="n">
        <f aca="false">DZ25-EA25</f>
        <v>12425.8878251336</v>
      </c>
      <c r="EC25" s="84" t="n">
        <f aca="false">DO25+$G25*(DZ25+DO25)</f>
        <v>0</v>
      </c>
      <c r="ED25" s="84" t="n">
        <f aca="false">MIN(DX25-EA25,EC25)</f>
        <v>0</v>
      </c>
      <c r="EE25" s="84" t="n">
        <f aca="false">EC25-ED25</f>
        <v>0</v>
      </c>
      <c r="EF25" s="84" t="n">
        <f aca="false">IF($H25=1,MIN(DX25-EA25-ED25,MAX(0,$F25/(1-$F25)*(DT25+ED25)-DU25)),0)</f>
        <v>0</v>
      </c>
      <c r="EG25" s="84" t="n">
        <f aca="false">DX25-EA25-ED25-EF25</f>
        <v>0</v>
      </c>
      <c r="EH25" s="84" t="n">
        <f aca="false">EA25+ED25+(1-$F25)*EG25</f>
        <v>3405.71033269043</v>
      </c>
      <c r="EI25" s="84" t="n">
        <f aca="false">EF25+$F25*EG25</f>
        <v>0</v>
      </c>
      <c r="EJ25" s="84" t="n">
        <f aca="false">DT25+ED25+(1-$F25)*EG25</f>
        <v>0</v>
      </c>
      <c r="EK25" s="84" t="n">
        <f aca="false">DU25+EI25</f>
        <v>0</v>
      </c>
      <c r="EL25" s="133" t="n">
        <f aca="false">DY25+$D25*Inputs!$I$13-$D25*$E25</f>
        <v>13322.8413307617</v>
      </c>
      <c r="EM25" s="84" t="n">
        <f aca="false">EL25*(1+$I25)</f>
        <v>13855.7549839922</v>
      </c>
      <c r="EN25" s="133" t="n">
        <f aca="false">EM25*Inputs!$I$14</f>
        <v>2771.15099679844</v>
      </c>
      <c r="EO25" s="84" t="n">
        <f aca="false">EM25-EN25</f>
        <v>11084.6039871938</v>
      </c>
      <c r="EP25" s="133" t="n">
        <f aca="false">EB25+$D25*Inputs!$I$13</f>
        <v>12425.8878251336</v>
      </c>
      <c r="EQ25" s="84" t="n">
        <f aca="false">MIN(EN25,EP25)</f>
        <v>2771.15099679844</v>
      </c>
      <c r="ER25" s="84" t="n">
        <f aca="false">EP25-EQ25</f>
        <v>9654.73682833513</v>
      </c>
      <c r="ES25" s="84" t="n">
        <f aca="false">EE25+$G25*(EP25+EE25)</f>
        <v>0</v>
      </c>
      <c r="ET25" s="84" t="n">
        <f aca="false">MIN(EN25-EQ25,ES25)</f>
        <v>0</v>
      </c>
      <c r="EU25" s="84" t="n">
        <f aca="false">ES25-ET25</f>
        <v>0</v>
      </c>
      <c r="EV25" s="84" t="n">
        <f aca="false">IF($H25=1,MIN(EN25-EQ25-ET25,MAX(0,$F25/(1-$F25)*(EJ25+ET25)-EK25)),0)</f>
        <v>0</v>
      </c>
      <c r="EW25" s="84" t="n">
        <f aca="false">EN25-EQ25-ET25-EV25</f>
        <v>0</v>
      </c>
      <c r="EX25" s="84" t="n">
        <f aca="false">EQ25+ET25+(1-$F25)*EW25</f>
        <v>2771.15099679844</v>
      </c>
      <c r="EY25" s="84" t="n">
        <f aca="false">EV25+$F25*EW25</f>
        <v>0</v>
      </c>
      <c r="EZ25" s="84" t="n">
        <f aca="false">EJ25+ET25+(1-$F25)*EW25</f>
        <v>0</v>
      </c>
      <c r="FA25" s="84" t="n">
        <f aca="false">EK25+EY25</f>
        <v>0</v>
      </c>
      <c r="FB25" s="133" t="n">
        <f aca="false">EO25+$D25*Inputs!$J$13-$D25*$E25</f>
        <v>10784.6039871938</v>
      </c>
      <c r="FC25" s="84" t="n">
        <f aca="false">FB25*(1+$I25)</f>
        <v>11215.9881466815</v>
      </c>
      <c r="FD25" s="133" t="n">
        <f aca="false">FC25*Inputs!$J$14</f>
        <v>2243.1976293363</v>
      </c>
      <c r="FE25" s="84" t="n">
        <f aca="false">FC25-FD25</f>
        <v>8972.79051734521</v>
      </c>
      <c r="FF25" s="133" t="n">
        <f aca="false">ER25+$D25*Inputs!$J$13</f>
        <v>9654.73682833513</v>
      </c>
      <c r="FG25" s="84" t="n">
        <f aca="false">MIN(FD25,FF25)</f>
        <v>2243.1976293363</v>
      </c>
      <c r="FH25" s="84" t="n">
        <f aca="false">FF25-FG25</f>
        <v>7411.53919899882</v>
      </c>
      <c r="FI25" s="84" t="n">
        <f aca="false">EU25+$G25*(FF25+EU25)</f>
        <v>0</v>
      </c>
      <c r="FJ25" s="84" t="n">
        <f aca="false">MIN(FD25-FG25,FI25)</f>
        <v>0</v>
      </c>
      <c r="FK25" s="84" t="n">
        <f aca="false">FI25-FJ25</f>
        <v>0</v>
      </c>
      <c r="FL25" s="84" t="n">
        <f aca="false">IF($H25=1,MIN(FD25-FG25-FJ25,MAX(0,$F25/(1-$F25)*(EZ25+FJ25)-FA25)),0)</f>
        <v>0</v>
      </c>
      <c r="FM25" s="84" t="n">
        <f aca="false">FD25-FG25-FJ25-FL25</f>
        <v>0</v>
      </c>
      <c r="FN25" s="84" t="n">
        <f aca="false">FG25+FJ25+(1-$F25)*FM25</f>
        <v>2243.1976293363</v>
      </c>
      <c r="FO25" s="84" t="n">
        <f aca="false">FL25+$F25*FM25</f>
        <v>0</v>
      </c>
      <c r="FP25" s="84" t="n">
        <f aca="false">EZ25+FJ25+(1-$F25)*FM25</f>
        <v>0</v>
      </c>
      <c r="FQ25" s="84" t="n">
        <f aca="false">FA25+FO25</f>
        <v>0</v>
      </c>
      <c r="FR25" s="133" t="n">
        <f aca="false">FE25+$D25*Inputs!$K$13-$D25*$E25</f>
        <v>8672.79051734521</v>
      </c>
      <c r="FS25" s="84" t="n">
        <f aca="false">FR25*(1+$I25)</f>
        <v>9019.70213803902</v>
      </c>
      <c r="FT25" s="133" t="n">
        <f aca="false">FS25*Inputs!$K$14</f>
        <v>1803.9404276078</v>
      </c>
      <c r="FU25" s="84" t="n">
        <f aca="false">FS25-FT25</f>
        <v>7215.76171043122</v>
      </c>
      <c r="FV25" s="133" t="n">
        <f aca="false">FH25+$D25*Inputs!$K$13</f>
        <v>7411.53919899882</v>
      </c>
      <c r="FW25" s="84" t="n">
        <f aca="false">MIN(FT25,FV25)</f>
        <v>1803.9404276078</v>
      </c>
      <c r="FX25" s="84" t="n">
        <f aca="false">FV25-FW25</f>
        <v>5607.59877139102</v>
      </c>
      <c r="FY25" s="84" t="n">
        <f aca="false">FK25+$G25*(FV25+FK25)</f>
        <v>0</v>
      </c>
      <c r="FZ25" s="84" t="n">
        <f aca="false">MIN(FT25-FW25,FY25)</f>
        <v>0</v>
      </c>
      <c r="GA25" s="84" t="n">
        <f aca="false">FY25-FZ25</f>
        <v>0</v>
      </c>
      <c r="GB25" s="84" t="n">
        <f aca="false">IF($H25=1,MIN(FT25-FW25-FZ25,MAX(0,$F25/(1-$F25)*(FP25+FZ25)-FQ25)),0)</f>
        <v>0</v>
      </c>
      <c r="GC25" s="84" t="n">
        <f aca="false">FT25-FW25-FZ25-GB25</f>
        <v>0</v>
      </c>
      <c r="GD25" s="84" t="n">
        <f aca="false">FW25+FZ25+(1-$F25)*GC25</f>
        <v>1803.9404276078</v>
      </c>
      <c r="GE25" s="84" t="n">
        <f aca="false">GB25+$F25*GC25</f>
        <v>0</v>
      </c>
      <c r="GF25" s="84" t="n">
        <f aca="false">FP25+FZ25+(1-$F25)*GC25</f>
        <v>0</v>
      </c>
      <c r="GG25" s="84" t="n">
        <f aca="false">FQ25+GE25</f>
        <v>0</v>
      </c>
      <c r="GH25" s="133" t="n">
        <f aca="false">FU25+$D25*Inputs!$L$13-$D25*$E25</f>
        <v>6915.76171043122</v>
      </c>
      <c r="GI25" s="84" t="n">
        <f aca="false">GH25*(1+$I25)</f>
        <v>7192.39217884847</v>
      </c>
      <c r="GJ25" s="133" t="n">
        <f aca="false">GI25*Inputs!$L$14</f>
        <v>7192.39217884847</v>
      </c>
      <c r="GK25" s="84" t="n">
        <f aca="false">GI25-GJ25</f>
        <v>0</v>
      </c>
      <c r="GL25" s="133" t="n">
        <f aca="false">FX25+$D25*Inputs!$L$13</f>
        <v>5607.59877139102</v>
      </c>
      <c r="GM25" s="84" t="n">
        <f aca="false">MIN(GJ25,GL25)</f>
        <v>5607.59877139102</v>
      </c>
      <c r="GN25" s="84" t="n">
        <f aca="false">GL25-GM25</f>
        <v>0</v>
      </c>
      <c r="GO25" s="84" t="n">
        <f aca="false">GA25+$G25*(GL25+GA25)</f>
        <v>0</v>
      </c>
      <c r="GP25" s="84" t="n">
        <f aca="false">MIN(GJ25-GM25,GO25)</f>
        <v>0</v>
      </c>
      <c r="GQ25" s="84" t="n">
        <f aca="false">GO25-GP25</f>
        <v>0</v>
      </c>
      <c r="GR25" s="84" t="n">
        <f aca="false">IF($H25=1,MIN(GJ25-GM25-GP25,MAX(0,$F25/(1-$F25)*(GF25+GP25)-GG25)),0)</f>
        <v>0</v>
      </c>
      <c r="GS25" s="84" t="n">
        <f aca="false">GJ25-GM25-GP25-GR25</f>
        <v>1584.79340745745</v>
      </c>
      <c r="GT25" s="84" t="n">
        <f aca="false">GM25+GP25+(1-$F25)*GS25</f>
        <v>6875.43349735698</v>
      </c>
      <c r="GU25" s="84" t="n">
        <f aca="false">GR25+$F25*GS25</f>
        <v>316.958681491489</v>
      </c>
      <c r="GV25" s="84" t="n">
        <f aca="false">GF25+GP25+(1-$F25)*GS25</f>
        <v>1267.83472596596</v>
      </c>
      <c r="GW25" s="84" t="n">
        <f aca="false">GG25+GU25</f>
        <v>316.958681491489</v>
      </c>
    </row>
    <row r="26" customFormat="false" ht="15" hidden="false" customHeight="false" outlineLevel="0" collapsed="false">
      <c r="A26" s="5" t="s">
        <v>635</v>
      </c>
      <c r="B26" s="5" t="s">
        <v>636</v>
      </c>
      <c r="C26" s="135" t="n">
        <v>5</v>
      </c>
      <c r="D26" s="47" t="n">
        <f aca="false">Inputs!$C$6</f>
        <v>20000</v>
      </c>
      <c r="E26" s="35" t="n">
        <f aca="false">Inputs!$C$18</f>
        <v>0.015</v>
      </c>
      <c r="F26" s="36" t="n">
        <f aca="false">Inputs!$C$20</f>
        <v>0.2</v>
      </c>
      <c r="G26" s="30" t="n">
        <v>0</v>
      </c>
      <c r="H26" s="27" t="n">
        <v>0</v>
      </c>
      <c r="I26" s="132" t="n">
        <f aca="false">Inputs!$C$38+$C26*Inputs!$C$39</f>
        <v>0.05</v>
      </c>
      <c r="J26" s="36" t="n">
        <f aca="false">Inputs!$C$9</f>
        <v>0.15</v>
      </c>
      <c r="K26" s="89" t="n">
        <f aca="false">IRR(W26:AG26,0.1)</f>
        <v>0.0195060544311213</v>
      </c>
      <c r="L26" s="45" t="n">
        <f aca="false">W26+NPV($J26,X26:AG26)</f>
        <v>-7534.87848581204</v>
      </c>
      <c r="M26" s="45" t="n">
        <f aca="false">SUM(BF26,BV26,CL26,DB26,DR26,EH26,EX26,FN26,GD26,GT26)</f>
        <v>22325.5988259862</v>
      </c>
      <c r="N26" s="43" t="n">
        <f aca="false">IF($D26*SUM(Inputs!$C$13:$L$13)=0,0,M26/($D26*SUM(Inputs!$C$13:$L$13)))</f>
        <v>1.11627994129931</v>
      </c>
      <c r="O26" s="42" t="n">
        <f aca="false">$D26*$E26*COLUMNS(Inputs!$C$13:$L$13)</f>
        <v>3000</v>
      </c>
      <c r="P26" s="45" t="n">
        <f aca="false">SUM(BG26,BW26,CM26,DC26,DS26,EI26,EY26,FO26,GE26,GU26)</f>
        <v>581.399706496553</v>
      </c>
      <c r="Q26" s="42" t="n">
        <f aca="false">PV($J26,COLUMNS(Inputs!$C$13:$L$13),-$D26*$E26,0,1)</f>
        <v>1731.47517591971</v>
      </c>
      <c r="R26" s="45" t="n">
        <f aca="false">NPV($J26,BG26,BW26,CM26,DC26,DS26,EI26,EY26,FO26,GE26,GU26)</f>
        <v>143.71311558969</v>
      </c>
      <c r="S26" s="45" t="n">
        <f aca="false">Q26+R26</f>
        <v>1875.1882915094</v>
      </c>
      <c r="T26" s="32" t="n">
        <f aca="false">IF(S26=0,0,Q26/S26)</f>
        <v>0.923360701301089</v>
      </c>
      <c r="U26" s="45" t="n">
        <f aca="false">ROUND(ABS(GK26)+ABS(SUM(AV26,BL26,CB26,CR26,DH26,DX26,EN26,FD26,FT26,GJ26)-M26-P26)+ABS(S26-(AH26+NPV($J26,AI26:AR26))),6)</f>
        <v>0</v>
      </c>
      <c r="W26" s="133" t="n">
        <f aca="false">-$D26*Inputs!$C$13</f>
        <v>-4000</v>
      </c>
      <c r="X26" s="133" t="n">
        <f aca="false">BF26-$D26*Inputs!$D$13</f>
        <v>-4000</v>
      </c>
      <c r="Y26" s="133" t="n">
        <f aca="false">BV26-$D26*Inputs!$E$13</f>
        <v>-4000</v>
      </c>
      <c r="Z26" s="133" t="n">
        <f aca="false">CL26-$D26*Inputs!$F$13</f>
        <v>-4000</v>
      </c>
      <c r="AA26" s="133" t="n">
        <f aca="false">DB26-$D26*Inputs!$G$13</f>
        <v>-4000</v>
      </c>
      <c r="AB26" s="133" t="n">
        <f aca="false">DR26-$D26*Inputs!$H$13</f>
        <v>4293.41548125</v>
      </c>
      <c r="AC26" s="133" t="n">
        <f aca="false">EH26-$D26*Inputs!$I$13</f>
        <v>3543.46900425</v>
      </c>
      <c r="AD26" s="133" t="n">
        <f aca="false">EX26-$D26*Inputs!$J$13</f>
        <v>2913.51396357</v>
      </c>
      <c r="AE26" s="133" t="n">
        <f aca="false">FN26-$D26*Inputs!$K$13</f>
        <v>2384.3517293988</v>
      </c>
      <c r="AF26" s="133" t="n">
        <f aca="false">GD26-$D26*Inputs!$L$13</f>
        <v>1939.85545269499</v>
      </c>
      <c r="AG26" s="84" t="n">
        <f aca="false">GT26</f>
        <v>7250.99319482242</v>
      </c>
      <c r="AH26" s="84" t="n">
        <f aca="false">$D26*$E26</f>
        <v>300</v>
      </c>
      <c r="AI26" s="84" t="n">
        <f aca="false">BG26+$D26*$E26</f>
        <v>300</v>
      </c>
      <c r="AJ26" s="84" t="n">
        <f aca="false">BW26+$D26*$E26</f>
        <v>300</v>
      </c>
      <c r="AK26" s="84" t="n">
        <f aca="false">CM26+$D26*$E26</f>
        <v>300</v>
      </c>
      <c r="AL26" s="84" t="n">
        <f aca="false">DC26+$D26*$E26</f>
        <v>300</v>
      </c>
      <c r="AM26" s="84" t="n">
        <f aca="false">DS26+$D26*$E26</f>
        <v>300</v>
      </c>
      <c r="AN26" s="84" t="n">
        <f aca="false">EI26+$D26*$E26</f>
        <v>300</v>
      </c>
      <c r="AO26" s="84" t="n">
        <f aca="false">EY26+$D26*$E26</f>
        <v>300</v>
      </c>
      <c r="AP26" s="84" t="n">
        <f aca="false">FO26+$D26*$E26</f>
        <v>300</v>
      </c>
      <c r="AQ26" s="84" t="n">
        <f aca="false">GE26+$D26*$E26</f>
        <v>300</v>
      </c>
      <c r="AR26" s="84" t="n">
        <f aca="false">GU26</f>
        <v>581.399706496553</v>
      </c>
      <c r="AT26" s="133" t="n">
        <f aca="false">$D26*Inputs!$C$13-$D26*$E26</f>
        <v>3700</v>
      </c>
      <c r="AU26" s="84" t="n">
        <f aca="false">AT26*(1+$I26)</f>
        <v>3885</v>
      </c>
      <c r="AV26" s="133" t="n">
        <f aca="false">AU26*Inputs!$C$14</f>
        <v>0</v>
      </c>
      <c r="AW26" s="84" t="n">
        <f aca="false">AU26-AV26</f>
        <v>3885</v>
      </c>
      <c r="AX26" s="133" t="n">
        <f aca="false">$D26*Inputs!$C$13</f>
        <v>4000</v>
      </c>
      <c r="AY26" s="84" t="n">
        <f aca="false">MIN(AV26,AX26)</f>
        <v>0</v>
      </c>
      <c r="AZ26" s="84" t="n">
        <f aca="false">AX26-AY26</f>
        <v>4000</v>
      </c>
      <c r="BA26" s="84" t="n">
        <f aca="false">$G26*AX26</f>
        <v>0</v>
      </c>
      <c r="BB26" s="84" t="n">
        <f aca="false">MIN(AV26-AY26,BA26)</f>
        <v>0</v>
      </c>
      <c r="BC26" s="84" t="n">
        <f aca="false">BA26-BB26</f>
        <v>0</v>
      </c>
      <c r="BD26" s="84" t="n">
        <f aca="false">IF($H26=1,MIN(AV26-AY26-BB26,MAX(0,$F26/(1-$F26)*BB26)),0)</f>
        <v>0</v>
      </c>
      <c r="BE26" s="84" t="n">
        <f aca="false">AV26-AY26-BB26-BD26</f>
        <v>0</v>
      </c>
      <c r="BF26" s="84" t="n">
        <f aca="false">AY26+BB26+(1-$F26)*BE26</f>
        <v>0</v>
      </c>
      <c r="BG26" s="84" t="n">
        <f aca="false">BD26+$F26*BE26</f>
        <v>0</v>
      </c>
      <c r="BH26" s="84" t="n">
        <f aca="false">BB26+(1-$F26)*BE26</f>
        <v>0</v>
      </c>
      <c r="BI26" s="84" t="n">
        <f aca="false">BG26</f>
        <v>0</v>
      </c>
      <c r="BJ26" s="133" t="n">
        <f aca="false">AW26+$D26*Inputs!$D$13-$D26*$E26</f>
        <v>7585</v>
      </c>
      <c r="BK26" s="84" t="n">
        <f aca="false">BJ26*(1+$I26)</f>
        <v>7964.25</v>
      </c>
      <c r="BL26" s="133" t="n">
        <f aca="false">BK26*Inputs!$D$14</f>
        <v>0</v>
      </c>
      <c r="BM26" s="84" t="n">
        <f aca="false">BK26-BL26</f>
        <v>7964.25</v>
      </c>
      <c r="BN26" s="133" t="n">
        <f aca="false">AZ26+$D26*Inputs!$D$13</f>
        <v>8000</v>
      </c>
      <c r="BO26" s="84" t="n">
        <f aca="false">MIN(BL26,BN26)</f>
        <v>0</v>
      </c>
      <c r="BP26" s="84" t="n">
        <f aca="false">BN26-BO26</f>
        <v>8000</v>
      </c>
      <c r="BQ26" s="84" t="n">
        <f aca="false">BC26+$G26*(BN26+BC26)</f>
        <v>0</v>
      </c>
      <c r="BR26" s="84" t="n">
        <f aca="false">MIN(BL26-BO26,BQ26)</f>
        <v>0</v>
      </c>
      <c r="BS26" s="84" t="n">
        <f aca="false">BQ26-BR26</f>
        <v>0</v>
      </c>
      <c r="BT26" s="84" t="n">
        <f aca="false">IF($H26=1,MIN(BL26-BO26-BR26,MAX(0,$F26/(1-$F26)*(BH26+BR26)-BI26)),0)</f>
        <v>0</v>
      </c>
      <c r="BU26" s="84" t="n">
        <f aca="false">BL26-BO26-BR26-BT26</f>
        <v>0</v>
      </c>
      <c r="BV26" s="84" t="n">
        <f aca="false">BO26+BR26+(1-$F26)*BU26</f>
        <v>0</v>
      </c>
      <c r="BW26" s="84" t="n">
        <f aca="false">BT26+$F26*BU26</f>
        <v>0</v>
      </c>
      <c r="BX26" s="84" t="n">
        <f aca="false">BH26+BR26+(1-$F26)*BU26</f>
        <v>0</v>
      </c>
      <c r="BY26" s="84" t="n">
        <f aca="false">BI26+BW26</f>
        <v>0</v>
      </c>
      <c r="BZ26" s="133" t="n">
        <f aca="false">BM26+$D26*Inputs!$E$13-$D26*$E26</f>
        <v>11664.25</v>
      </c>
      <c r="CA26" s="84" t="n">
        <f aca="false">BZ26*(1+$I26)</f>
        <v>12247.4625</v>
      </c>
      <c r="CB26" s="133" t="n">
        <f aca="false">CA26*Inputs!$E$14</f>
        <v>0</v>
      </c>
      <c r="CC26" s="84" t="n">
        <f aca="false">CA26-CB26</f>
        <v>12247.4625</v>
      </c>
      <c r="CD26" s="133" t="n">
        <f aca="false">BP26+$D26*Inputs!$E$13</f>
        <v>12000</v>
      </c>
      <c r="CE26" s="84" t="n">
        <f aca="false">MIN(CB26,CD26)</f>
        <v>0</v>
      </c>
      <c r="CF26" s="84" t="n">
        <f aca="false">CD26-CE26</f>
        <v>12000</v>
      </c>
      <c r="CG26" s="84" t="n">
        <f aca="false">BS26+$G26*(CD26+BS26)</f>
        <v>0</v>
      </c>
      <c r="CH26" s="84" t="n">
        <f aca="false">MIN(CB26-CE26,CG26)</f>
        <v>0</v>
      </c>
      <c r="CI26" s="84" t="n">
        <f aca="false">CG26-CH26</f>
        <v>0</v>
      </c>
      <c r="CJ26" s="84" t="n">
        <f aca="false">IF($H26=1,MIN(CB26-CE26-CH26,MAX(0,$F26/(1-$F26)*(BX26+CH26)-BY26)),0)</f>
        <v>0</v>
      </c>
      <c r="CK26" s="84" t="n">
        <f aca="false">CB26-CE26-CH26-CJ26</f>
        <v>0</v>
      </c>
      <c r="CL26" s="84" t="n">
        <f aca="false">CE26+CH26+(1-$F26)*CK26</f>
        <v>0</v>
      </c>
      <c r="CM26" s="84" t="n">
        <f aca="false">CJ26+$F26*CK26</f>
        <v>0</v>
      </c>
      <c r="CN26" s="84" t="n">
        <f aca="false">BX26+CH26+(1-$F26)*CK26</f>
        <v>0</v>
      </c>
      <c r="CO26" s="84" t="n">
        <f aca="false">BY26+CM26</f>
        <v>0</v>
      </c>
      <c r="CP26" s="133" t="n">
        <f aca="false">CC26+$D26*Inputs!$F$13-$D26*$E26</f>
        <v>15947.4625</v>
      </c>
      <c r="CQ26" s="84" t="n">
        <f aca="false">CP26*(1+$I26)</f>
        <v>16744.835625</v>
      </c>
      <c r="CR26" s="133" t="n">
        <f aca="false">CQ26*Inputs!$F$14</f>
        <v>0</v>
      </c>
      <c r="CS26" s="84" t="n">
        <f aca="false">CQ26-CR26</f>
        <v>16744.835625</v>
      </c>
      <c r="CT26" s="133" t="n">
        <f aca="false">CF26+$D26*Inputs!$F$13</f>
        <v>16000</v>
      </c>
      <c r="CU26" s="84" t="n">
        <f aca="false">MIN(CR26,CT26)</f>
        <v>0</v>
      </c>
      <c r="CV26" s="84" t="n">
        <f aca="false">CT26-CU26</f>
        <v>16000</v>
      </c>
      <c r="CW26" s="84" t="n">
        <f aca="false">CI26+$G26*(CT26+CI26)</f>
        <v>0</v>
      </c>
      <c r="CX26" s="84" t="n">
        <f aca="false">MIN(CR26-CU26,CW26)</f>
        <v>0</v>
      </c>
      <c r="CY26" s="84" t="n">
        <f aca="false">CW26-CX26</f>
        <v>0</v>
      </c>
      <c r="CZ26" s="84" t="n">
        <f aca="false">IF($H26=1,MIN(CR26-CU26-CX26,MAX(0,$F26/(1-$F26)*(CN26+CX26)-CO26)),0)</f>
        <v>0</v>
      </c>
      <c r="DA26" s="84" t="n">
        <f aca="false">CR26-CU26-CX26-CZ26</f>
        <v>0</v>
      </c>
      <c r="DB26" s="84" t="n">
        <f aca="false">CU26+CX26+(1-$F26)*DA26</f>
        <v>0</v>
      </c>
      <c r="DC26" s="84" t="n">
        <f aca="false">CZ26+$F26*DA26</f>
        <v>0</v>
      </c>
      <c r="DD26" s="84" t="n">
        <f aca="false">CN26+CX26+(1-$F26)*DA26</f>
        <v>0</v>
      </c>
      <c r="DE26" s="84" t="n">
        <f aca="false">CO26+DC26</f>
        <v>0</v>
      </c>
      <c r="DF26" s="133" t="n">
        <f aca="false">CS26+$D26*Inputs!$G$13-$D26*$E26</f>
        <v>20444.835625</v>
      </c>
      <c r="DG26" s="84" t="n">
        <f aca="false">DF26*(1+$I26)</f>
        <v>21467.07740625</v>
      </c>
      <c r="DH26" s="133" t="n">
        <f aca="false">DG26*Inputs!$G$14</f>
        <v>4293.41548125</v>
      </c>
      <c r="DI26" s="84" t="n">
        <f aca="false">DG26-DH26</f>
        <v>17173.661925</v>
      </c>
      <c r="DJ26" s="133" t="n">
        <f aca="false">CV26+$D26*Inputs!$G$13</f>
        <v>20000</v>
      </c>
      <c r="DK26" s="84" t="n">
        <f aca="false">MIN(DH26,DJ26)</f>
        <v>4293.41548125</v>
      </c>
      <c r="DL26" s="84" t="n">
        <f aca="false">DJ26-DK26</f>
        <v>15706.58451875</v>
      </c>
      <c r="DM26" s="84" t="n">
        <f aca="false">CY26+$G26*(DJ26+CY26)</f>
        <v>0</v>
      </c>
      <c r="DN26" s="84" t="n">
        <f aca="false">MIN(DH26-DK26,DM26)</f>
        <v>0</v>
      </c>
      <c r="DO26" s="84" t="n">
        <f aca="false">DM26-DN26</f>
        <v>0</v>
      </c>
      <c r="DP26" s="84" t="n">
        <f aca="false">IF($H26=1,MIN(DH26-DK26-DN26,MAX(0,$F26/(1-$F26)*(DD26+DN26)-DE26)),0)</f>
        <v>0</v>
      </c>
      <c r="DQ26" s="84" t="n">
        <f aca="false">DH26-DK26-DN26-DP26</f>
        <v>0</v>
      </c>
      <c r="DR26" s="84" t="n">
        <f aca="false">DK26+DN26+(1-$F26)*DQ26</f>
        <v>4293.41548125</v>
      </c>
      <c r="DS26" s="84" t="n">
        <f aca="false">DP26+$F26*DQ26</f>
        <v>0</v>
      </c>
      <c r="DT26" s="84" t="n">
        <f aca="false">DD26+DN26+(1-$F26)*DQ26</f>
        <v>0</v>
      </c>
      <c r="DU26" s="84" t="n">
        <f aca="false">DE26+DS26</f>
        <v>0</v>
      </c>
      <c r="DV26" s="133" t="n">
        <f aca="false">DI26+$D26*Inputs!$H$13-$D26*$E26</f>
        <v>16873.661925</v>
      </c>
      <c r="DW26" s="84" t="n">
        <f aca="false">DV26*(1+$I26)</f>
        <v>17717.34502125</v>
      </c>
      <c r="DX26" s="133" t="n">
        <f aca="false">DW26*Inputs!$H$14</f>
        <v>3543.46900425</v>
      </c>
      <c r="DY26" s="84" t="n">
        <f aca="false">DW26-DX26</f>
        <v>14173.876017</v>
      </c>
      <c r="DZ26" s="133" t="n">
        <f aca="false">DL26+$D26*Inputs!$H$13</f>
        <v>15706.58451875</v>
      </c>
      <c r="EA26" s="84" t="n">
        <f aca="false">MIN(DX26,DZ26)</f>
        <v>3543.46900425</v>
      </c>
      <c r="EB26" s="84" t="n">
        <f aca="false">DZ26-EA26</f>
        <v>12163.1155145</v>
      </c>
      <c r="EC26" s="84" t="n">
        <f aca="false">DO26+$G26*(DZ26+DO26)</f>
        <v>0</v>
      </c>
      <c r="ED26" s="84" t="n">
        <f aca="false">MIN(DX26-EA26,EC26)</f>
        <v>0</v>
      </c>
      <c r="EE26" s="84" t="n">
        <f aca="false">EC26-ED26</f>
        <v>0</v>
      </c>
      <c r="EF26" s="84" t="n">
        <f aca="false">IF($H26=1,MIN(DX26-EA26-ED26,MAX(0,$F26/(1-$F26)*(DT26+ED26)-DU26)),0)</f>
        <v>0</v>
      </c>
      <c r="EG26" s="84" t="n">
        <f aca="false">DX26-EA26-ED26-EF26</f>
        <v>0</v>
      </c>
      <c r="EH26" s="84" t="n">
        <f aca="false">EA26+ED26+(1-$F26)*EG26</f>
        <v>3543.46900425</v>
      </c>
      <c r="EI26" s="84" t="n">
        <f aca="false">EF26+$F26*EG26</f>
        <v>0</v>
      </c>
      <c r="EJ26" s="84" t="n">
        <f aca="false">DT26+ED26+(1-$F26)*EG26</f>
        <v>0</v>
      </c>
      <c r="EK26" s="84" t="n">
        <f aca="false">DU26+EI26</f>
        <v>0</v>
      </c>
      <c r="EL26" s="133" t="n">
        <f aca="false">DY26+$D26*Inputs!$I$13-$D26*$E26</f>
        <v>13873.876017</v>
      </c>
      <c r="EM26" s="84" t="n">
        <f aca="false">EL26*(1+$I26)</f>
        <v>14567.56981785</v>
      </c>
      <c r="EN26" s="133" t="n">
        <f aca="false">EM26*Inputs!$I$14</f>
        <v>2913.51396357</v>
      </c>
      <c r="EO26" s="84" t="n">
        <f aca="false">EM26-EN26</f>
        <v>11654.05585428</v>
      </c>
      <c r="EP26" s="133" t="n">
        <f aca="false">EB26+$D26*Inputs!$I$13</f>
        <v>12163.1155145</v>
      </c>
      <c r="EQ26" s="84" t="n">
        <f aca="false">MIN(EN26,EP26)</f>
        <v>2913.51396357</v>
      </c>
      <c r="ER26" s="84" t="n">
        <f aca="false">EP26-EQ26</f>
        <v>9249.60155093</v>
      </c>
      <c r="ES26" s="84" t="n">
        <f aca="false">EE26+$G26*(EP26+EE26)</f>
        <v>0</v>
      </c>
      <c r="ET26" s="84" t="n">
        <f aca="false">MIN(EN26-EQ26,ES26)</f>
        <v>0</v>
      </c>
      <c r="EU26" s="84" t="n">
        <f aca="false">ES26-ET26</f>
        <v>0</v>
      </c>
      <c r="EV26" s="84" t="n">
        <f aca="false">IF($H26=1,MIN(EN26-EQ26-ET26,MAX(0,$F26/(1-$F26)*(EJ26+ET26)-EK26)),0)</f>
        <v>0</v>
      </c>
      <c r="EW26" s="84" t="n">
        <f aca="false">EN26-EQ26-ET26-EV26</f>
        <v>0</v>
      </c>
      <c r="EX26" s="84" t="n">
        <f aca="false">EQ26+ET26+(1-$F26)*EW26</f>
        <v>2913.51396357</v>
      </c>
      <c r="EY26" s="84" t="n">
        <f aca="false">EV26+$F26*EW26</f>
        <v>0</v>
      </c>
      <c r="EZ26" s="84" t="n">
        <f aca="false">EJ26+ET26+(1-$F26)*EW26</f>
        <v>0</v>
      </c>
      <c r="FA26" s="84" t="n">
        <f aca="false">EK26+EY26</f>
        <v>0</v>
      </c>
      <c r="FB26" s="133" t="n">
        <f aca="false">EO26+$D26*Inputs!$J$13-$D26*$E26</f>
        <v>11354.05585428</v>
      </c>
      <c r="FC26" s="84" t="n">
        <f aca="false">FB26*(1+$I26)</f>
        <v>11921.758646994</v>
      </c>
      <c r="FD26" s="133" t="n">
        <f aca="false">FC26*Inputs!$J$14</f>
        <v>2384.3517293988</v>
      </c>
      <c r="FE26" s="84" t="n">
        <f aca="false">FC26-FD26</f>
        <v>9537.4069175952</v>
      </c>
      <c r="FF26" s="133" t="n">
        <f aca="false">ER26+$D26*Inputs!$J$13</f>
        <v>9249.60155093</v>
      </c>
      <c r="FG26" s="84" t="n">
        <f aca="false">MIN(FD26,FF26)</f>
        <v>2384.3517293988</v>
      </c>
      <c r="FH26" s="84" t="n">
        <f aca="false">FF26-FG26</f>
        <v>6865.2498215312</v>
      </c>
      <c r="FI26" s="84" t="n">
        <f aca="false">EU26+$G26*(FF26+EU26)</f>
        <v>0</v>
      </c>
      <c r="FJ26" s="84" t="n">
        <f aca="false">MIN(FD26-FG26,FI26)</f>
        <v>0</v>
      </c>
      <c r="FK26" s="84" t="n">
        <f aca="false">FI26-FJ26</f>
        <v>0</v>
      </c>
      <c r="FL26" s="84" t="n">
        <f aca="false">IF($H26=1,MIN(FD26-FG26-FJ26,MAX(0,$F26/(1-$F26)*(EZ26+FJ26)-FA26)),0)</f>
        <v>0</v>
      </c>
      <c r="FM26" s="84" t="n">
        <f aca="false">FD26-FG26-FJ26-FL26</f>
        <v>0</v>
      </c>
      <c r="FN26" s="84" t="n">
        <f aca="false">FG26+FJ26+(1-$F26)*FM26</f>
        <v>2384.3517293988</v>
      </c>
      <c r="FO26" s="84" t="n">
        <f aca="false">FL26+$F26*FM26</f>
        <v>0</v>
      </c>
      <c r="FP26" s="84" t="n">
        <f aca="false">EZ26+FJ26+(1-$F26)*FM26</f>
        <v>0</v>
      </c>
      <c r="FQ26" s="84" t="n">
        <f aca="false">FA26+FO26</f>
        <v>0</v>
      </c>
      <c r="FR26" s="133" t="n">
        <f aca="false">FE26+$D26*Inputs!$K$13-$D26*$E26</f>
        <v>9237.4069175952</v>
      </c>
      <c r="FS26" s="84" t="n">
        <f aca="false">FR26*(1+$I26)</f>
        <v>9699.27726347496</v>
      </c>
      <c r="FT26" s="133" t="n">
        <f aca="false">FS26*Inputs!$K$14</f>
        <v>1939.85545269499</v>
      </c>
      <c r="FU26" s="84" t="n">
        <f aca="false">FS26-FT26</f>
        <v>7759.42181077997</v>
      </c>
      <c r="FV26" s="133" t="n">
        <f aca="false">FH26+$D26*Inputs!$K$13</f>
        <v>6865.2498215312</v>
      </c>
      <c r="FW26" s="84" t="n">
        <f aca="false">MIN(FT26,FV26)</f>
        <v>1939.85545269499</v>
      </c>
      <c r="FX26" s="84" t="n">
        <f aca="false">FV26-FW26</f>
        <v>4925.3943688362</v>
      </c>
      <c r="FY26" s="84" t="n">
        <f aca="false">FK26+$G26*(FV26+FK26)</f>
        <v>0</v>
      </c>
      <c r="FZ26" s="84" t="n">
        <f aca="false">MIN(FT26-FW26,FY26)</f>
        <v>0</v>
      </c>
      <c r="GA26" s="84" t="n">
        <f aca="false">FY26-FZ26</f>
        <v>0</v>
      </c>
      <c r="GB26" s="84" t="n">
        <f aca="false">IF($H26=1,MIN(FT26-FW26-FZ26,MAX(0,$F26/(1-$F26)*(FP26+FZ26)-FQ26)),0)</f>
        <v>0</v>
      </c>
      <c r="GC26" s="84" t="n">
        <f aca="false">FT26-FW26-FZ26-GB26</f>
        <v>0</v>
      </c>
      <c r="GD26" s="84" t="n">
        <f aca="false">FW26+FZ26+(1-$F26)*GC26</f>
        <v>1939.85545269499</v>
      </c>
      <c r="GE26" s="84" t="n">
        <f aca="false">GB26+$F26*GC26</f>
        <v>0</v>
      </c>
      <c r="GF26" s="84" t="n">
        <f aca="false">FP26+FZ26+(1-$F26)*GC26</f>
        <v>0</v>
      </c>
      <c r="GG26" s="84" t="n">
        <f aca="false">FQ26+GE26</f>
        <v>0</v>
      </c>
      <c r="GH26" s="133" t="n">
        <f aca="false">FU26+$D26*Inputs!$L$13-$D26*$E26</f>
        <v>7459.42181077997</v>
      </c>
      <c r="GI26" s="84" t="n">
        <f aca="false">GH26*(1+$I26)</f>
        <v>7832.39290131897</v>
      </c>
      <c r="GJ26" s="133" t="n">
        <f aca="false">GI26*Inputs!$L$14</f>
        <v>7832.39290131897</v>
      </c>
      <c r="GK26" s="84" t="n">
        <f aca="false">GI26-GJ26</f>
        <v>0</v>
      </c>
      <c r="GL26" s="133" t="n">
        <f aca="false">FX26+$D26*Inputs!$L$13</f>
        <v>4925.3943688362</v>
      </c>
      <c r="GM26" s="84" t="n">
        <f aca="false">MIN(GJ26,GL26)</f>
        <v>4925.3943688362</v>
      </c>
      <c r="GN26" s="84" t="n">
        <f aca="false">GL26-GM26</f>
        <v>0</v>
      </c>
      <c r="GO26" s="84" t="n">
        <f aca="false">GA26+$G26*(GL26+GA26)</f>
        <v>0</v>
      </c>
      <c r="GP26" s="84" t="n">
        <f aca="false">MIN(GJ26-GM26,GO26)</f>
        <v>0</v>
      </c>
      <c r="GQ26" s="84" t="n">
        <f aca="false">GO26-GP26</f>
        <v>0</v>
      </c>
      <c r="GR26" s="84" t="n">
        <f aca="false">IF($H26=1,MIN(GJ26-GM26-GP26,MAX(0,$F26/(1-$F26)*(GF26+GP26)-GG26)),0)</f>
        <v>0</v>
      </c>
      <c r="GS26" s="84" t="n">
        <f aca="false">GJ26-GM26-GP26-GR26</f>
        <v>2906.99853248277</v>
      </c>
      <c r="GT26" s="84" t="n">
        <f aca="false">GM26+GP26+(1-$F26)*GS26</f>
        <v>7250.99319482242</v>
      </c>
      <c r="GU26" s="84" t="n">
        <f aca="false">GR26+$F26*GS26</f>
        <v>581.399706496553</v>
      </c>
      <c r="GV26" s="84" t="n">
        <f aca="false">GF26+GP26+(1-$F26)*GS26</f>
        <v>2325.59882598621</v>
      </c>
      <c r="GW26" s="84" t="n">
        <f aca="false">GG26+GU26</f>
        <v>581.399706496553</v>
      </c>
    </row>
    <row r="27" customFormat="false" ht="15" hidden="false" customHeight="false" outlineLevel="0" collapsed="false">
      <c r="A27" s="5" t="s">
        <v>635</v>
      </c>
      <c r="B27" s="5" t="s">
        <v>636</v>
      </c>
      <c r="C27" s="135" t="n">
        <v>6</v>
      </c>
      <c r="D27" s="47" t="n">
        <f aca="false">Inputs!$C$6</f>
        <v>20000</v>
      </c>
      <c r="E27" s="35" t="n">
        <f aca="false">Inputs!$C$18</f>
        <v>0.015</v>
      </c>
      <c r="F27" s="36" t="n">
        <f aca="false">Inputs!$C$20</f>
        <v>0.2</v>
      </c>
      <c r="G27" s="30" t="n">
        <v>0</v>
      </c>
      <c r="H27" s="27" t="n">
        <v>0</v>
      </c>
      <c r="I27" s="132" t="n">
        <f aca="false">Inputs!$C$38+$C27*Inputs!$C$39</f>
        <v>0.06</v>
      </c>
      <c r="J27" s="36" t="n">
        <f aca="false">Inputs!$C$9</f>
        <v>0.15</v>
      </c>
      <c r="K27" s="89" t="n">
        <f aca="false">IRR(W27:AG27,0.1)</f>
        <v>0.0282499099239224</v>
      </c>
      <c r="L27" s="45" t="n">
        <f aca="false">W27+NPV($J27,X27:AG27)</f>
        <v>-7163.06492101626</v>
      </c>
      <c r="M27" s="45" t="n">
        <f aca="false">SUM(BF27,BV27,CL27,DB27,DR27,EH27,EX27,FN27,GD27,GT27)</f>
        <v>23446.1438817013</v>
      </c>
      <c r="N27" s="43" t="n">
        <f aca="false">IF($D27*SUM(Inputs!$C$13:$L$13)=0,0,M27/($D27*SUM(Inputs!$C$13:$L$13)))</f>
        <v>1.17230719408507</v>
      </c>
      <c r="O27" s="42" t="n">
        <f aca="false">$D27*$E27*COLUMNS(Inputs!$C$13:$L$13)</f>
        <v>3000</v>
      </c>
      <c r="P27" s="45" t="n">
        <f aca="false">SUM(BG27,BW27,CM27,DC27,DS27,EI27,EY27,FO27,GE27,GU27)</f>
        <v>861.535970425325</v>
      </c>
      <c r="Q27" s="42" t="n">
        <f aca="false">PV($J27,COLUMNS(Inputs!$C$13:$L$13),-$D27*$E27,0,1)</f>
        <v>1731.47517591971</v>
      </c>
      <c r="R27" s="45" t="n">
        <f aca="false">NPV($J27,BG27,BW27,CM27,DC27,DS27,EI27,EY27,FO27,GE27,GU27)</f>
        <v>212.958515663</v>
      </c>
      <c r="S27" s="45" t="n">
        <f aca="false">Q27+R27</f>
        <v>1944.43369158271</v>
      </c>
      <c r="T27" s="32" t="n">
        <f aca="false">IF(S27=0,0,Q27/S27)</f>
        <v>0.890477871996932</v>
      </c>
      <c r="U27" s="45" t="n">
        <f aca="false">ROUND(ABS(GK27)+ABS(SUM(AV27,BL27,CB27,CR27,DH27,DX27,EN27,FD27,FT27,GJ27)-M27-P27)+ABS(S27-(AH27+NPV($J27,AI27:AR27))),6)</f>
        <v>0</v>
      </c>
      <c r="W27" s="133" t="n">
        <f aca="false">-$D27*Inputs!$C$13</f>
        <v>-4000</v>
      </c>
      <c r="X27" s="133" t="n">
        <f aca="false">BF27-$D27*Inputs!$D$13</f>
        <v>-4000</v>
      </c>
      <c r="Y27" s="133" t="n">
        <f aca="false">BV27-$D27*Inputs!$E$13</f>
        <v>-4000</v>
      </c>
      <c r="Z27" s="133" t="n">
        <f aca="false">CL27-$D27*Inputs!$F$13</f>
        <v>-4000</v>
      </c>
      <c r="AA27" s="133" t="n">
        <f aca="false">DB27-$D27*Inputs!$G$13</f>
        <v>-4000</v>
      </c>
      <c r="AB27" s="133" t="n">
        <f aca="false">DR27-$D27*Inputs!$H$13</f>
        <v>4421.735717824</v>
      </c>
      <c r="AC27" s="133" t="n">
        <f aca="false">EH27-$D27*Inputs!$I$13</f>
        <v>3686.03188871475</v>
      </c>
      <c r="AD27" s="133" t="n">
        <f aca="false">EX27-$D27*Inputs!$J$13</f>
        <v>3062.15504163011</v>
      </c>
      <c r="AE27" s="133" t="n">
        <f aca="false">FN27-$D27*Inputs!$K$13</f>
        <v>2533.10747530233</v>
      </c>
      <c r="AF27" s="133" t="n">
        <f aca="false">GD27-$D27*Inputs!$L$13</f>
        <v>2084.47513905638</v>
      </c>
      <c r="AG27" s="84" t="n">
        <f aca="false">GT27</f>
        <v>7658.63861917372</v>
      </c>
      <c r="AH27" s="84" t="n">
        <f aca="false">$D27*$E27</f>
        <v>300</v>
      </c>
      <c r="AI27" s="84" t="n">
        <f aca="false">BG27+$D27*$E27</f>
        <v>300</v>
      </c>
      <c r="AJ27" s="84" t="n">
        <f aca="false">BW27+$D27*$E27</f>
        <v>300</v>
      </c>
      <c r="AK27" s="84" t="n">
        <f aca="false">CM27+$D27*$E27</f>
        <v>300</v>
      </c>
      <c r="AL27" s="84" t="n">
        <f aca="false">DC27+$D27*$E27</f>
        <v>300</v>
      </c>
      <c r="AM27" s="84" t="n">
        <f aca="false">DS27+$D27*$E27</f>
        <v>300</v>
      </c>
      <c r="AN27" s="84" t="n">
        <f aca="false">EI27+$D27*$E27</f>
        <v>300</v>
      </c>
      <c r="AO27" s="84" t="n">
        <f aca="false">EY27+$D27*$E27</f>
        <v>300</v>
      </c>
      <c r="AP27" s="84" t="n">
        <f aca="false">FO27+$D27*$E27</f>
        <v>300</v>
      </c>
      <c r="AQ27" s="84" t="n">
        <f aca="false">GE27+$D27*$E27</f>
        <v>300</v>
      </c>
      <c r="AR27" s="84" t="n">
        <f aca="false">GU27</f>
        <v>861.535970425325</v>
      </c>
      <c r="AT27" s="133" t="n">
        <f aca="false">$D27*Inputs!$C$13-$D27*$E27</f>
        <v>3700</v>
      </c>
      <c r="AU27" s="84" t="n">
        <f aca="false">AT27*(1+$I27)</f>
        <v>3922</v>
      </c>
      <c r="AV27" s="133" t="n">
        <f aca="false">AU27*Inputs!$C$14</f>
        <v>0</v>
      </c>
      <c r="AW27" s="84" t="n">
        <f aca="false">AU27-AV27</f>
        <v>3922</v>
      </c>
      <c r="AX27" s="133" t="n">
        <f aca="false">$D27*Inputs!$C$13</f>
        <v>4000</v>
      </c>
      <c r="AY27" s="84" t="n">
        <f aca="false">MIN(AV27,AX27)</f>
        <v>0</v>
      </c>
      <c r="AZ27" s="84" t="n">
        <f aca="false">AX27-AY27</f>
        <v>4000</v>
      </c>
      <c r="BA27" s="84" t="n">
        <f aca="false">$G27*AX27</f>
        <v>0</v>
      </c>
      <c r="BB27" s="84" t="n">
        <f aca="false">MIN(AV27-AY27,BA27)</f>
        <v>0</v>
      </c>
      <c r="BC27" s="84" t="n">
        <f aca="false">BA27-BB27</f>
        <v>0</v>
      </c>
      <c r="BD27" s="84" t="n">
        <f aca="false">IF($H27=1,MIN(AV27-AY27-BB27,MAX(0,$F27/(1-$F27)*BB27)),0)</f>
        <v>0</v>
      </c>
      <c r="BE27" s="84" t="n">
        <f aca="false">AV27-AY27-BB27-BD27</f>
        <v>0</v>
      </c>
      <c r="BF27" s="84" t="n">
        <f aca="false">AY27+BB27+(1-$F27)*BE27</f>
        <v>0</v>
      </c>
      <c r="BG27" s="84" t="n">
        <f aca="false">BD27+$F27*BE27</f>
        <v>0</v>
      </c>
      <c r="BH27" s="84" t="n">
        <f aca="false">BB27+(1-$F27)*BE27</f>
        <v>0</v>
      </c>
      <c r="BI27" s="84" t="n">
        <f aca="false">BG27</f>
        <v>0</v>
      </c>
      <c r="BJ27" s="133" t="n">
        <f aca="false">AW27+$D27*Inputs!$D$13-$D27*$E27</f>
        <v>7622</v>
      </c>
      <c r="BK27" s="84" t="n">
        <f aca="false">BJ27*(1+$I27)</f>
        <v>8079.32</v>
      </c>
      <c r="BL27" s="133" t="n">
        <f aca="false">BK27*Inputs!$D$14</f>
        <v>0</v>
      </c>
      <c r="BM27" s="84" t="n">
        <f aca="false">BK27-BL27</f>
        <v>8079.32</v>
      </c>
      <c r="BN27" s="133" t="n">
        <f aca="false">AZ27+$D27*Inputs!$D$13</f>
        <v>8000</v>
      </c>
      <c r="BO27" s="84" t="n">
        <f aca="false">MIN(BL27,BN27)</f>
        <v>0</v>
      </c>
      <c r="BP27" s="84" t="n">
        <f aca="false">BN27-BO27</f>
        <v>8000</v>
      </c>
      <c r="BQ27" s="84" t="n">
        <f aca="false">BC27+$G27*(BN27+BC27)</f>
        <v>0</v>
      </c>
      <c r="BR27" s="84" t="n">
        <f aca="false">MIN(BL27-BO27,BQ27)</f>
        <v>0</v>
      </c>
      <c r="BS27" s="84" t="n">
        <f aca="false">BQ27-BR27</f>
        <v>0</v>
      </c>
      <c r="BT27" s="84" t="n">
        <f aca="false">IF($H27=1,MIN(BL27-BO27-BR27,MAX(0,$F27/(1-$F27)*(BH27+BR27)-BI27)),0)</f>
        <v>0</v>
      </c>
      <c r="BU27" s="84" t="n">
        <f aca="false">BL27-BO27-BR27-BT27</f>
        <v>0</v>
      </c>
      <c r="BV27" s="84" t="n">
        <f aca="false">BO27+BR27+(1-$F27)*BU27</f>
        <v>0</v>
      </c>
      <c r="BW27" s="84" t="n">
        <f aca="false">BT27+$F27*BU27</f>
        <v>0</v>
      </c>
      <c r="BX27" s="84" t="n">
        <f aca="false">BH27+BR27+(1-$F27)*BU27</f>
        <v>0</v>
      </c>
      <c r="BY27" s="84" t="n">
        <f aca="false">BI27+BW27</f>
        <v>0</v>
      </c>
      <c r="BZ27" s="133" t="n">
        <f aca="false">BM27+$D27*Inputs!$E$13-$D27*$E27</f>
        <v>11779.32</v>
      </c>
      <c r="CA27" s="84" t="n">
        <f aca="false">BZ27*(1+$I27)</f>
        <v>12486.0792</v>
      </c>
      <c r="CB27" s="133" t="n">
        <f aca="false">CA27*Inputs!$E$14</f>
        <v>0</v>
      </c>
      <c r="CC27" s="84" t="n">
        <f aca="false">CA27-CB27</f>
        <v>12486.0792</v>
      </c>
      <c r="CD27" s="133" t="n">
        <f aca="false">BP27+$D27*Inputs!$E$13</f>
        <v>12000</v>
      </c>
      <c r="CE27" s="84" t="n">
        <f aca="false">MIN(CB27,CD27)</f>
        <v>0</v>
      </c>
      <c r="CF27" s="84" t="n">
        <f aca="false">CD27-CE27</f>
        <v>12000</v>
      </c>
      <c r="CG27" s="84" t="n">
        <f aca="false">BS27+$G27*(CD27+BS27)</f>
        <v>0</v>
      </c>
      <c r="CH27" s="84" t="n">
        <f aca="false">MIN(CB27-CE27,CG27)</f>
        <v>0</v>
      </c>
      <c r="CI27" s="84" t="n">
        <f aca="false">CG27-CH27</f>
        <v>0</v>
      </c>
      <c r="CJ27" s="84" t="n">
        <f aca="false">IF($H27=1,MIN(CB27-CE27-CH27,MAX(0,$F27/(1-$F27)*(BX27+CH27)-BY27)),0)</f>
        <v>0</v>
      </c>
      <c r="CK27" s="84" t="n">
        <f aca="false">CB27-CE27-CH27-CJ27</f>
        <v>0</v>
      </c>
      <c r="CL27" s="84" t="n">
        <f aca="false">CE27+CH27+(1-$F27)*CK27</f>
        <v>0</v>
      </c>
      <c r="CM27" s="84" t="n">
        <f aca="false">CJ27+$F27*CK27</f>
        <v>0</v>
      </c>
      <c r="CN27" s="84" t="n">
        <f aca="false">BX27+CH27+(1-$F27)*CK27</f>
        <v>0</v>
      </c>
      <c r="CO27" s="84" t="n">
        <f aca="false">BY27+CM27</f>
        <v>0</v>
      </c>
      <c r="CP27" s="133" t="n">
        <f aca="false">CC27+$D27*Inputs!$F$13-$D27*$E27</f>
        <v>16186.0792</v>
      </c>
      <c r="CQ27" s="84" t="n">
        <f aca="false">CP27*(1+$I27)</f>
        <v>17157.243952</v>
      </c>
      <c r="CR27" s="133" t="n">
        <f aca="false">CQ27*Inputs!$F$14</f>
        <v>0</v>
      </c>
      <c r="CS27" s="84" t="n">
        <f aca="false">CQ27-CR27</f>
        <v>17157.243952</v>
      </c>
      <c r="CT27" s="133" t="n">
        <f aca="false">CF27+$D27*Inputs!$F$13</f>
        <v>16000</v>
      </c>
      <c r="CU27" s="84" t="n">
        <f aca="false">MIN(CR27,CT27)</f>
        <v>0</v>
      </c>
      <c r="CV27" s="84" t="n">
        <f aca="false">CT27-CU27</f>
        <v>16000</v>
      </c>
      <c r="CW27" s="84" t="n">
        <f aca="false">CI27+$G27*(CT27+CI27)</f>
        <v>0</v>
      </c>
      <c r="CX27" s="84" t="n">
        <f aca="false">MIN(CR27-CU27,CW27)</f>
        <v>0</v>
      </c>
      <c r="CY27" s="84" t="n">
        <f aca="false">CW27-CX27</f>
        <v>0</v>
      </c>
      <c r="CZ27" s="84" t="n">
        <f aca="false">IF($H27=1,MIN(CR27-CU27-CX27,MAX(0,$F27/(1-$F27)*(CN27+CX27)-CO27)),0)</f>
        <v>0</v>
      </c>
      <c r="DA27" s="84" t="n">
        <f aca="false">CR27-CU27-CX27-CZ27</f>
        <v>0</v>
      </c>
      <c r="DB27" s="84" t="n">
        <f aca="false">CU27+CX27+(1-$F27)*DA27</f>
        <v>0</v>
      </c>
      <c r="DC27" s="84" t="n">
        <f aca="false">CZ27+$F27*DA27</f>
        <v>0</v>
      </c>
      <c r="DD27" s="84" t="n">
        <f aca="false">CN27+CX27+(1-$F27)*DA27</f>
        <v>0</v>
      </c>
      <c r="DE27" s="84" t="n">
        <f aca="false">CO27+DC27</f>
        <v>0</v>
      </c>
      <c r="DF27" s="133" t="n">
        <f aca="false">CS27+$D27*Inputs!$G$13-$D27*$E27</f>
        <v>20857.243952</v>
      </c>
      <c r="DG27" s="84" t="n">
        <f aca="false">DF27*(1+$I27)</f>
        <v>22108.67858912</v>
      </c>
      <c r="DH27" s="133" t="n">
        <f aca="false">DG27*Inputs!$G$14</f>
        <v>4421.735717824</v>
      </c>
      <c r="DI27" s="84" t="n">
        <f aca="false">DG27-DH27</f>
        <v>17686.942871296</v>
      </c>
      <c r="DJ27" s="133" t="n">
        <f aca="false">CV27+$D27*Inputs!$G$13</f>
        <v>20000</v>
      </c>
      <c r="DK27" s="84" t="n">
        <f aca="false">MIN(DH27,DJ27)</f>
        <v>4421.735717824</v>
      </c>
      <c r="DL27" s="84" t="n">
        <f aca="false">DJ27-DK27</f>
        <v>15578.264282176</v>
      </c>
      <c r="DM27" s="84" t="n">
        <f aca="false">CY27+$G27*(DJ27+CY27)</f>
        <v>0</v>
      </c>
      <c r="DN27" s="84" t="n">
        <f aca="false">MIN(DH27-DK27,DM27)</f>
        <v>0</v>
      </c>
      <c r="DO27" s="84" t="n">
        <f aca="false">DM27-DN27</f>
        <v>0</v>
      </c>
      <c r="DP27" s="84" t="n">
        <f aca="false">IF($H27=1,MIN(DH27-DK27-DN27,MAX(0,$F27/(1-$F27)*(DD27+DN27)-DE27)),0)</f>
        <v>0</v>
      </c>
      <c r="DQ27" s="84" t="n">
        <f aca="false">DH27-DK27-DN27-DP27</f>
        <v>0</v>
      </c>
      <c r="DR27" s="84" t="n">
        <f aca="false">DK27+DN27+(1-$F27)*DQ27</f>
        <v>4421.735717824</v>
      </c>
      <c r="DS27" s="84" t="n">
        <f aca="false">DP27+$F27*DQ27</f>
        <v>0</v>
      </c>
      <c r="DT27" s="84" t="n">
        <f aca="false">DD27+DN27+(1-$F27)*DQ27</f>
        <v>0</v>
      </c>
      <c r="DU27" s="84" t="n">
        <f aca="false">DE27+DS27</f>
        <v>0</v>
      </c>
      <c r="DV27" s="133" t="n">
        <f aca="false">DI27+$D27*Inputs!$H$13-$D27*$E27</f>
        <v>17386.942871296</v>
      </c>
      <c r="DW27" s="84" t="n">
        <f aca="false">DV27*(1+$I27)</f>
        <v>18430.1594435738</v>
      </c>
      <c r="DX27" s="133" t="n">
        <f aca="false">DW27*Inputs!$H$14</f>
        <v>3686.03188871475</v>
      </c>
      <c r="DY27" s="84" t="n">
        <f aca="false">DW27-DX27</f>
        <v>14744.127554859</v>
      </c>
      <c r="DZ27" s="133" t="n">
        <f aca="false">DL27+$D27*Inputs!$H$13</f>
        <v>15578.264282176</v>
      </c>
      <c r="EA27" s="84" t="n">
        <f aca="false">MIN(DX27,DZ27)</f>
        <v>3686.03188871475</v>
      </c>
      <c r="EB27" s="84" t="n">
        <f aca="false">DZ27-EA27</f>
        <v>11892.2323934612</v>
      </c>
      <c r="EC27" s="84" t="n">
        <f aca="false">DO27+$G27*(DZ27+DO27)</f>
        <v>0</v>
      </c>
      <c r="ED27" s="84" t="n">
        <f aca="false">MIN(DX27-EA27,EC27)</f>
        <v>0</v>
      </c>
      <c r="EE27" s="84" t="n">
        <f aca="false">EC27-ED27</f>
        <v>0</v>
      </c>
      <c r="EF27" s="84" t="n">
        <f aca="false">IF($H27=1,MIN(DX27-EA27-ED27,MAX(0,$F27/(1-$F27)*(DT27+ED27)-DU27)),0)</f>
        <v>0</v>
      </c>
      <c r="EG27" s="84" t="n">
        <f aca="false">DX27-EA27-ED27-EF27</f>
        <v>0</v>
      </c>
      <c r="EH27" s="84" t="n">
        <f aca="false">EA27+ED27+(1-$F27)*EG27</f>
        <v>3686.03188871475</v>
      </c>
      <c r="EI27" s="84" t="n">
        <f aca="false">EF27+$F27*EG27</f>
        <v>0</v>
      </c>
      <c r="EJ27" s="84" t="n">
        <f aca="false">DT27+ED27+(1-$F27)*EG27</f>
        <v>0</v>
      </c>
      <c r="EK27" s="84" t="n">
        <f aca="false">DU27+EI27</f>
        <v>0</v>
      </c>
      <c r="EL27" s="133" t="n">
        <f aca="false">DY27+$D27*Inputs!$I$13-$D27*$E27</f>
        <v>14444.127554859</v>
      </c>
      <c r="EM27" s="84" t="n">
        <f aca="false">EL27*(1+$I27)</f>
        <v>15310.7752081506</v>
      </c>
      <c r="EN27" s="133" t="n">
        <f aca="false">EM27*Inputs!$I$14</f>
        <v>3062.15504163011</v>
      </c>
      <c r="EO27" s="84" t="n">
        <f aca="false">EM27-EN27</f>
        <v>12248.6201665204</v>
      </c>
      <c r="EP27" s="133" t="n">
        <f aca="false">EB27+$D27*Inputs!$I$13</f>
        <v>11892.2323934612</v>
      </c>
      <c r="EQ27" s="84" t="n">
        <f aca="false">MIN(EN27,EP27)</f>
        <v>3062.15504163011</v>
      </c>
      <c r="ER27" s="84" t="n">
        <f aca="false">EP27-EQ27</f>
        <v>8830.07735183114</v>
      </c>
      <c r="ES27" s="84" t="n">
        <f aca="false">EE27+$G27*(EP27+EE27)</f>
        <v>0</v>
      </c>
      <c r="ET27" s="84" t="n">
        <f aca="false">MIN(EN27-EQ27,ES27)</f>
        <v>0</v>
      </c>
      <c r="EU27" s="84" t="n">
        <f aca="false">ES27-ET27</f>
        <v>0</v>
      </c>
      <c r="EV27" s="84" t="n">
        <f aca="false">IF($H27=1,MIN(EN27-EQ27-ET27,MAX(0,$F27/(1-$F27)*(EJ27+ET27)-EK27)),0)</f>
        <v>0</v>
      </c>
      <c r="EW27" s="84" t="n">
        <f aca="false">EN27-EQ27-ET27-EV27</f>
        <v>0</v>
      </c>
      <c r="EX27" s="84" t="n">
        <f aca="false">EQ27+ET27+(1-$F27)*EW27</f>
        <v>3062.15504163011</v>
      </c>
      <c r="EY27" s="84" t="n">
        <f aca="false">EV27+$F27*EW27</f>
        <v>0</v>
      </c>
      <c r="EZ27" s="84" t="n">
        <f aca="false">EJ27+ET27+(1-$F27)*EW27</f>
        <v>0</v>
      </c>
      <c r="FA27" s="84" t="n">
        <f aca="false">EK27+EY27</f>
        <v>0</v>
      </c>
      <c r="FB27" s="133" t="n">
        <f aca="false">EO27+$D27*Inputs!$J$13-$D27*$E27</f>
        <v>11948.6201665204</v>
      </c>
      <c r="FC27" s="84" t="n">
        <f aca="false">FB27*(1+$I27)</f>
        <v>12665.5373765117</v>
      </c>
      <c r="FD27" s="133" t="n">
        <f aca="false">FC27*Inputs!$J$14</f>
        <v>2533.10747530233</v>
      </c>
      <c r="FE27" s="84" t="n">
        <f aca="false">FC27-FD27</f>
        <v>10132.4299012093</v>
      </c>
      <c r="FF27" s="133" t="n">
        <f aca="false">ER27+$D27*Inputs!$J$13</f>
        <v>8830.07735183114</v>
      </c>
      <c r="FG27" s="84" t="n">
        <f aca="false">MIN(FD27,FF27)</f>
        <v>2533.10747530233</v>
      </c>
      <c r="FH27" s="84" t="n">
        <f aca="false">FF27-FG27</f>
        <v>6296.9698765288</v>
      </c>
      <c r="FI27" s="84" t="n">
        <f aca="false">EU27+$G27*(FF27+EU27)</f>
        <v>0</v>
      </c>
      <c r="FJ27" s="84" t="n">
        <f aca="false">MIN(FD27-FG27,FI27)</f>
        <v>0</v>
      </c>
      <c r="FK27" s="84" t="n">
        <f aca="false">FI27-FJ27</f>
        <v>0</v>
      </c>
      <c r="FL27" s="84" t="n">
        <f aca="false">IF($H27=1,MIN(FD27-FG27-FJ27,MAX(0,$F27/(1-$F27)*(EZ27+FJ27)-FA27)),0)</f>
        <v>0</v>
      </c>
      <c r="FM27" s="84" t="n">
        <f aca="false">FD27-FG27-FJ27-FL27</f>
        <v>0</v>
      </c>
      <c r="FN27" s="84" t="n">
        <f aca="false">FG27+FJ27+(1-$F27)*FM27</f>
        <v>2533.10747530233</v>
      </c>
      <c r="FO27" s="84" t="n">
        <f aca="false">FL27+$F27*FM27</f>
        <v>0</v>
      </c>
      <c r="FP27" s="84" t="n">
        <f aca="false">EZ27+FJ27+(1-$F27)*FM27</f>
        <v>0</v>
      </c>
      <c r="FQ27" s="84" t="n">
        <f aca="false">FA27+FO27</f>
        <v>0</v>
      </c>
      <c r="FR27" s="133" t="n">
        <f aca="false">FE27+$D27*Inputs!$K$13-$D27*$E27</f>
        <v>9832.42990120933</v>
      </c>
      <c r="FS27" s="84" t="n">
        <f aca="false">FR27*(1+$I27)</f>
        <v>10422.3756952819</v>
      </c>
      <c r="FT27" s="133" t="n">
        <f aca="false">FS27*Inputs!$K$14</f>
        <v>2084.47513905638</v>
      </c>
      <c r="FU27" s="84" t="n">
        <f aca="false">FS27-FT27</f>
        <v>8337.90055622552</v>
      </c>
      <c r="FV27" s="133" t="n">
        <f aca="false">FH27+$D27*Inputs!$K$13</f>
        <v>6296.9698765288</v>
      </c>
      <c r="FW27" s="84" t="n">
        <f aca="false">MIN(FT27,FV27)</f>
        <v>2084.47513905638</v>
      </c>
      <c r="FX27" s="84" t="n">
        <f aca="false">FV27-FW27</f>
        <v>4212.49473747242</v>
      </c>
      <c r="FY27" s="84" t="n">
        <f aca="false">FK27+$G27*(FV27+FK27)</f>
        <v>0</v>
      </c>
      <c r="FZ27" s="84" t="n">
        <f aca="false">MIN(FT27-FW27,FY27)</f>
        <v>0</v>
      </c>
      <c r="GA27" s="84" t="n">
        <f aca="false">FY27-FZ27</f>
        <v>0</v>
      </c>
      <c r="GB27" s="84" t="n">
        <f aca="false">IF($H27=1,MIN(FT27-FW27-FZ27,MAX(0,$F27/(1-$F27)*(FP27+FZ27)-FQ27)),0)</f>
        <v>0</v>
      </c>
      <c r="GC27" s="84" t="n">
        <f aca="false">FT27-FW27-FZ27-GB27</f>
        <v>0</v>
      </c>
      <c r="GD27" s="84" t="n">
        <f aca="false">FW27+FZ27+(1-$F27)*GC27</f>
        <v>2084.47513905638</v>
      </c>
      <c r="GE27" s="84" t="n">
        <f aca="false">GB27+$F27*GC27</f>
        <v>0</v>
      </c>
      <c r="GF27" s="84" t="n">
        <f aca="false">FP27+FZ27+(1-$F27)*GC27</f>
        <v>0</v>
      </c>
      <c r="GG27" s="84" t="n">
        <f aca="false">FQ27+GE27</f>
        <v>0</v>
      </c>
      <c r="GH27" s="133" t="n">
        <f aca="false">FU27+$D27*Inputs!$L$13-$D27*$E27</f>
        <v>8037.90055622552</v>
      </c>
      <c r="GI27" s="84" t="n">
        <f aca="false">GH27*(1+$I27)</f>
        <v>8520.17458959905</v>
      </c>
      <c r="GJ27" s="133" t="n">
        <f aca="false">GI27*Inputs!$L$14</f>
        <v>8520.17458959905</v>
      </c>
      <c r="GK27" s="84" t="n">
        <f aca="false">GI27-GJ27</f>
        <v>0</v>
      </c>
      <c r="GL27" s="133" t="n">
        <f aca="false">FX27+$D27*Inputs!$L$13</f>
        <v>4212.49473747242</v>
      </c>
      <c r="GM27" s="84" t="n">
        <f aca="false">MIN(GJ27,GL27)</f>
        <v>4212.49473747242</v>
      </c>
      <c r="GN27" s="84" t="n">
        <f aca="false">GL27-GM27</f>
        <v>0</v>
      </c>
      <c r="GO27" s="84" t="n">
        <f aca="false">GA27+$G27*(GL27+GA27)</f>
        <v>0</v>
      </c>
      <c r="GP27" s="84" t="n">
        <f aca="false">MIN(GJ27-GM27,GO27)</f>
        <v>0</v>
      </c>
      <c r="GQ27" s="84" t="n">
        <f aca="false">GO27-GP27</f>
        <v>0</v>
      </c>
      <c r="GR27" s="84" t="n">
        <f aca="false">IF($H27=1,MIN(GJ27-GM27-GP27,MAX(0,$F27/(1-$F27)*(GF27+GP27)-GG27)),0)</f>
        <v>0</v>
      </c>
      <c r="GS27" s="84" t="n">
        <f aca="false">GJ27-GM27-GP27-GR27</f>
        <v>4307.67985212662</v>
      </c>
      <c r="GT27" s="84" t="n">
        <f aca="false">GM27+GP27+(1-$F27)*GS27</f>
        <v>7658.63861917372</v>
      </c>
      <c r="GU27" s="84" t="n">
        <f aca="false">GR27+$F27*GS27</f>
        <v>861.535970425325</v>
      </c>
      <c r="GV27" s="84" t="n">
        <f aca="false">GF27+GP27+(1-$F27)*GS27</f>
        <v>3446.1438817013</v>
      </c>
      <c r="GW27" s="84" t="n">
        <f aca="false">GG27+GU27</f>
        <v>861.535970425325</v>
      </c>
    </row>
    <row r="28" customFormat="false" ht="15" hidden="false" customHeight="false" outlineLevel="0" collapsed="false">
      <c r="A28" s="5" t="s">
        <v>635</v>
      </c>
      <c r="B28" s="5" t="s">
        <v>636</v>
      </c>
      <c r="C28" s="135" t="n">
        <v>7</v>
      </c>
      <c r="D28" s="47" t="n">
        <f aca="false">Inputs!$C$6</f>
        <v>20000</v>
      </c>
      <c r="E28" s="35" t="n">
        <f aca="false">Inputs!$C$18</f>
        <v>0.015</v>
      </c>
      <c r="F28" s="36" t="n">
        <f aca="false">Inputs!$C$20</f>
        <v>0.2</v>
      </c>
      <c r="G28" s="30" t="n">
        <v>0</v>
      </c>
      <c r="H28" s="27" t="n">
        <v>0</v>
      </c>
      <c r="I28" s="132" t="n">
        <f aca="false">Inputs!$C$38+$C28*Inputs!$C$39</f>
        <v>0.07</v>
      </c>
      <c r="J28" s="36" t="n">
        <f aca="false">Inputs!$C$9</f>
        <v>0.15</v>
      </c>
      <c r="K28" s="89" t="n">
        <f aca="false">IRR(W28:AG28,0.1)</f>
        <v>0.0370977018055284</v>
      </c>
      <c r="L28" s="45" t="n">
        <f aca="false">W28+NPV($J28,X28:AG28)</f>
        <v>-6771.28732603617</v>
      </c>
      <c r="M28" s="45" t="n">
        <f aca="false">SUM(BF28,BV28,CL28,DB28,DR28,EH28,EX28,FN28,GD28,GT28)</f>
        <v>24632.9955840072</v>
      </c>
      <c r="N28" s="43" t="n">
        <f aca="false">IF($D28*SUM(Inputs!$C$13:$L$13)=0,0,M28/($D28*SUM(Inputs!$C$13:$L$13)))</f>
        <v>1.23164977920036</v>
      </c>
      <c r="O28" s="42" t="n">
        <f aca="false">$D28*$E28*COLUMNS(Inputs!$C$13:$L$13)</f>
        <v>3000</v>
      </c>
      <c r="P28" s="45" t="n">
        <f aca="false">SUM(BG28,BW28,CM28,DC28,DS28,EI28,EY28,FO28,GE28,GU28)</f>
        <v>1158.24889600179</v>
      </c>
      <c r="Q28" s="42" t="n">
        <f aca="false">PV($J28,COLUMNS(Inputs!$C$13:$L$13),-$D28*$E28,0,1)</f>
        <v>1731.47517591971</v>
      </c>
      <c r="R28" s="45" t="n">
        <f aca="false">NPV($J28,BG28,BW28,CM28,DC28,DS28,EI28,EY28,FO28,GE28,GU28)</f>
        <v>286.301412974178</v>
      </c>
      <c r="S28" s="45" t="n">
        <f aca="false">Q28+R28</f>
        <v>2017.77658889389</v>
      </c>
      <c r="T28" s="32" t="n">
        <f aca="false">IF(S28=0,0,Q28/S28)</f>
        <v>0.858110449615671</v>
      </c>
      <c r="U28" s="45" t="n">
        <f aca="false">ROUND(ABS(GK28)+ABS(SUM(AV28,BL28,CB28,CR28,DH28,DX28,EN28,FD28,FT28,GJ28)-M28-P28)+ABS(S28-(AH28+NPV($J28,AI28:AR28))),6)</f>
        <v>0</v>
      </c>
      <c r="W28" s="133" t="n">
        <f aca="false">-$D28*Inputs!$C$13</f>
        <v>-4000</v>
      </c>
      <c r="X28" s="133" t="n">
        <f aca="false">BF28-$D28*Inputs!$D$13</f>
        <v>-4000</v>
      </c>
      <c r="Y28" s="133" t="n">
        <f aca="false">BV28-$D28*Inputs!$E$13</f>
        <v>-4000</v>
      </c>
      <c r="Z28" s="133" t="n">
        <f aca="false">CL28-$D28*Inputs!$F$13</f>
        <v>-4000</v>
      </c>
      <c r="AA28" s="133" t="n">
        <f aca="false">DB28-$D28*Inputs!$G$13</f>
        <v>-4000</v>
      </c>
      <c r="AB28" s="133" t="n">
        <f aca="false">DR28-$D28*Inputs!$H$13</f>
        <v>4553.435148118</v>
      </c>
      <c r="AC28" s="133" t="n">
        <f aca="false">EH28-$D28*Inputs!$I$13</f>
        <v>3833.54048678901</v>
      </c>
      <c r="AD28" s="133" t="n">
        <f aca="false">EX28-$D28*Inputs!$J$13</f>
        <v>3217.31065669139</v>
      </c>
      <c r="AE28" s="133" t="n">
        <f aca="false">FN28-$D28*Inputs!$K$13</f>
        <v>2689.81792212783</v>
      </c>
      <c r="AF28" s="133" t="n">
        <f aca="false">GD28-$D28*Inputs!$L$13</f>
        <v>2238.28414134142</v>
      </c>
      <c r="AG28" s="84" t="n">
        <f aca="false">GT28</f>
        <v>8100.6072289395</v>
      </c>
      <c r="AH28" s="84" t="n">
        <f aca="false">$D28*$E28</f>
        <v>300</v>
      </c>
      <c r="AI28" s="84" t="n">
        <f aca="false">BG28+$D28*$E28</f>
        <v>300</v>
      </c>
      <c r="AJ28" s="84" t="n">
        <f aca="false">BW28+$D28*$E28</f>
        <v>300</v>
      </c>
      <c r="AK28" s="84" t="n">
        <f aca="false">CM28+$D28*$E28</f>
        <v>300</v>
      </c>
      <c r="AL28" s="84" t="n">
        <f aca="false">DC28+$D28*$E28</f>
        <v>300</v>
      </c>
      <c r="AM28" s="84" t="n">
        <f aca="false">DS28+$D28*$E28</f>
        <v>300</v>
      </c>
      <c r="AN28" s="84" t="n">
        <f aca="false">EI28+$D28*$E28</f>
        <v>300</v>
      </c>
      <c r="AO28" s="84" t="n">
        <f aca="false">EY28+$D28*$E28</f>
        <v>300</v>
      </c>
      <c r="AP28" s="84" t="n">
        <f aca="false">FO28+$D28*$E28</f>
        <v>300</v>
      </c>
      <c r="AQ28" s="84" t="n">
        <f aca="false">GE28+$D28*$E28</f>
        <v>300</v>
      </c>
      <c r="AR28" s="84" t="n">
        <f aca="false">GU28</f>
        <v>1158.24889600179</v>
      </c>
      <c r="AT28" s="133" t="n">
        <f aca="false">$D28*Inputs!$C$13-$D28*$E28</f>
        <v>3700</v>
      </c>
      <c r="AU28" s="84" t="n">
        <f aca="false">AT28*(1+$I28)</f>
        <v>3959</v>
      </c>
      <c r="AV28" s="133" t="n">
        <f aca="false">AU28*Inputs!$C$14</f>
        <v>0</v>
      </c>
      <c r="AW28" s="84" t="n">
        <f aca="false">AU28-AV28</f>
        <v>3959</v>
      </c>
      <c r="AX28" s="133" t="n">
        <f aca="false">$D28*Inputs!$C$13</f>
        <v>4000</v>
      </c>
      <c r="AY28" s="84" t="n">
        <f aca="false">MIN(AV28,AX28)</f>
        <v>0</v>
      </c>
      <c r="AZ28" s="84" t="n">
        <f aca="false">AX28-AY28</f>
        <v>4000</v>
      </c>
      <c r="BA28" s="84" t="n">
        <f aca="false">$G28*AX28</f>
        <v>0</v>
      </c>
      <c r="BB28" s="84" t="n">
        <f aca="false">MIN(AV28-AY28,BA28)</f>
        <v>0</v>
      </c>
      <c r="BC28" s="84" t="n">
        <f aca="false">BA28-BB28</f>
        <v>0</v>
      </c>
      <c r="BD28" s="84" t="n">
        <f aca="false">IF($H28=1,MIN(AV28-AY28-BB28,MAX(0,$F28/(1-$F28)*BB28)),0)</f>
        <v>0</v>
      </c>
      <c r="BE28" s="84" t="n">
        <f aca="false">AV28-AY28-BB28-BD28</f>
        <v>0</v>
      </c>
      <c r="BF28" s="84" t="n">
        <f aca="false">AY28+BB28+(1-$F28)*BE28</f>
        <v>0</v>
      </c>
      <c r="BG28" s="84" t="n">
        <f aca="false">BD28+$F28*BE28</f>
        <v>0</v>
      </c>
      <c r="BH28" s="84" t="n">
        <f aca="false">BB28+(1-$F28)*BE28</f>
        <v>0</v>
      </c>
      <c r="BI28" s="84" t="n">
        <f aca="false">BG28</f>
        <v>0</v>
      </c>
      <c r="BJ28" s="133" t="n">
        <f aca="false">AW28+$D28*Inputs!$D$13-$D28*$E28</f>
        <v>7659</v>
      </c>
      <c r="BK28" s="84" t="n">
        <f aca="false">BJ28*(1+$I28)</f>
        <v>8195.13</v>
      </c>
      <c r="BL28" s="133" t="n">
        <f aca="false">BK28*Inputs!$D$14</f>
        <v>0</v>
      </c>
      <c r="BM28" s="84" t="n">
        <f aca="false">BK28-BL28</f>
        <v>8195.13</v>
      </c>
      <c r="BN28" s="133" t="n">
        <f aca="false">AZ28+$D28*Inputs!$D$13</f>
        <v>8000</v>
      </c>
      <c r="BO28" s="84" t="n">
        <f aca="false">MIN(BL28,BN28)</f>
        <v>0</v>
      </c>
      <c r="BP28" s="84" t="n">
        <f aca="false">BN28-BO28</f>
        <v>8000</v>
      </c>
      <c r="BQ28" s="84" t="n">
        <f aca="false">BC28+$G28*(BN28+BC28)</f>
        <v>0</v>
      </c>
      <c r="BR28" s="84" t="n">
        <f aca="false">MIN(BL28-BO28,BQ28)</f>
        <v>0</v>
      </c>
      <c r="BS28" s="84" t="n">
        <f aca="false">BQ28-BR28</f>
        <v>0</v>
      </c>
      <c r="BT28" s="84" t="n">
        <f aca="false">IF($H28=1,MIN(BL28-BO28-BR28,MAX(0,$F28/(1-$F28)*(BH28+BR28)-BI28)),0)</f>
        <v>0</v>
      </c>
      <c r="BU28" s="84" t="n">
        <f aca="false">BL28-BO28-BR28-BT28</f>
        <v>0</v>
      </c>
      <c r="BV28" s="84" t="n">
        <f aca="false">BO28+BR28+(1-$F28)*BU28</f>
        <v>0</v>
      </c>
      <c r="BW28" s="84" t="n">
        <f aca="false">BT28+$F28*BU28</f>
        <v>0</v>
      </c>
      <c r="BX28" s="84" t="n">
        <f aca="false">BH28+BR28+(1-$F28)*BU28</f>
        <v>0</v>
      </c>
      <c r="BY28" s="84" t="n">
        <f aca="false">BI28+BW28</f>
        <v>0</v>
      </c>
      <c r="BZ28" s="133" t="n">
        <f aca="false">BM28+$D28*Inputs!$E$13-$D28*$E28</f>
        <v>11895.13</v>
      </c>
      <c r="CA28" s="84" t="n">
        <f aca="false">BZ28*(1+$I28)</f>
        <v>12727.7891</v>
      </c>
      <c r="CB28" s="133" t="n">
        <f aca="false">CA28*Inputs!$E$14</f>
        <v>0</v>
      </c>
      <c r="CC28" s="84" t="n">
        <f aca="false">CA28-CB28</f>
        <v>12727.7891</v>
      </c>
      <c r="CD28" s="133" t="n">
        <f aca="false">BP28+$D28*Inputs!$E$13</f>
        <v>12000</v>
      </c>
      <c r="CE28" s="84" t="n">
        <f aca="false">MIN(CB28,CD28)</f>
        <v>0</v>
      </c>
      <c r="CF28" s="84" t="n">
        <f aca="false">CD28-CE28</f>
        <v>12000</v>
      </c>
      <c r="CG28" s="84" t="n">
        <f aca="false">BS28+$G28*(CD28+BS28)</f>
        <v>0</v>
      </c>
      <c r="CH28" s="84" t="n">
        <f aca="false">MIN(CB28-CE28,CG28)</f>
        <v>0</v>
      </c>
      <c r="CI28" s="84" t="n">
        <f aca="false">CG28-CH28</f>
        <v>0</v>
      </c>
      <c r="CJ28" s="84" t="n">
        <f aca="false">IF($H28=1,MIN(CB28-CE28-CH28,MAX(0,$F28/(1-$F28)*(BX28+CH28)-BY28)),0)</f>
        <v>0</v>
      </c>
      <c r="CK28" s="84" t="n">
        <f aca="false">CB28-CE28-CH28-CJ28</f>
        <v>0</v>
      </c>
      <c r="CL28" s="84" t="n">
        <f aca="false">CE28+CH28+(1-$F28)*CK28</f>
        <v>0</v>
      </c>
      <c r="CM28" s="84" t="n">
        <f aca="false">CJ28+$F28*CK28</f>
        <v>0</v>
      </c>
      <c r="CN28" s="84" t="n">
        <f aca="false">BX28+CH28+(1-$F28)*CK28</f>
        <v>0</v>
      </c>
      <c r="CO28" s="84" t="n">
        <f aca="false">BY28+CM28</f>
        <v>0</v>
      </c>
      <c r="CP28" s="133" t="n">
        <f aca="false">CC28+$D28*Inputs!$F$13-$D28*$E28</f>
        <v>16427.7891</v>
      </c>
      <c r="CQ28" s="84" t="n">
        <f aca="false">CP28*(1+$I28)</f>
        <v>17577.734337</v>
      </c>
      <c r="CR28" s="133" t="n">
        <f aca="false">CQ28*Inputs!$F$14</f>
        <v>0</v>
      </c>
      <c r="CS28" s="84" t="n">
        <f aca="false">CQ28-CR28</f>
        <v>17577.734337</v>
      </c>
      <c r="CT28" s="133" t="n">
        <f aca="false">CF28+$D28*Inputs!$F$13</f>
        <v>16000</v>
      </c>
      <c r="CU28" s="84" t="n">
        <f aca="false">MIN(CR28,CT28)</f>
        <v>0</v>
      </c>
      <c r="CV28" s="84" t="n">
        <f aca="false">CT28-CU28</f>
        <v>16000</v>
      </c>
      <c r="CW28" s="84" t="n">
        <f aca="false">CI28+$G28*(CT28+CI28)</f>
        <v>0</v>
      </c>
      <c r="CX28" s="84" t="n">
        <f aca="false">MIN(CR28-CU28,CW28)</f>
        <v>0</v>
      </c>
      <c r="CY28" s="84" t="n">
        <f aca="false">CW28-CX28</f>
        <v>0</v>
      </c>
      <c r="CZ28" s="84" t="n">
        <f aca="false">IF($H28=1,MIN(CR28-CU28-CX28,MAX(0,$F28/(1-$F28)*(CN28+CX28)-CO28)),0)</f>
        <v>0</v>
      </c>
      <c r="DA28" s="84" t="n">
        <f aca="false">CR28-CU28-CX28-CZ28</f>
        <v>0</v>
      </c>
      <c r="DB28" s="84" t="n">
        <f aca="false">CU28+CX28+(1-$F28)*DA28</f>
        <v>0</v>
      </c>
      <c r="DC28" s="84" t="n">
        <f aca="false">CZ28+$F28*DA28</f>
        <v>0</v>
      </c>
      <c r="DD28" s="84" t="n">
        <f aca="false">CN28+CX28+(1-$F28)*DA28</f>
        <v>0</v>
      </c>
      <c r="DE28" s="84" t="n">
        <f aca="false">CO28+DC28</f>
        <v>0</v>
      </c>
      <c r="DF28" s="133" t="n">
        <f aca="false">CS28+$D28*Inputs!$G$13-$D28*$E28</f>
        <v>21277.734337</v>
      </c>
      <c r="DG28" s="84" t="n">
        <f aca="false">DF28*(1+$I28)</f>
        <v>22767.17574059</v>
      </c>
      <c r="DH28" s="133" t="n">
        <f aca="false">DG28*Inputs!$G$14</f>
        <v>4553.435148118</v>
      </c>
      <c r="DI28" s="84" t="n">
        <f aca="false">DG28-DH28</f>
        <v>18213.740592472</v>
      </c>
      <c r="DJ28" s="133" t="n">
        <f aca="false">CV28+$D28*Inputs!$G$13</f>
        <v>20000</v>
      </c>
      <c r="DK28" s="84" t="n">
        <f aca="false">MIN(DH28,DJ28)</f>
        <v>4553.435148118</v>
      </c>
      <c r="DL28" s="84" t="n">
        <f aca="false">DJ28-DK28</f>
        <v>15446.564851882</v>
      </c>
      <c r="DM28" s="84" t="n">
        <f aca="false">CY28+$G28*(DJ28+CY28)</f>
        <v>0</v>
      </c>
      <c r="DN28" s="84" t="n">
        <f aca="false">MIN(DH28-DK28,DM28)</f>
        <v>0</v>
      </c>
      <c r="DO28" s="84" t="n">
        <f aca="false">DM28-DN28</f>
        <v>0</v>
      </c>
      <c r="DP28" s="84" t="n">
        <f aca="false">IF($H28=1,MIN(DH28-DK28-DN28,MAX(0,$F28/(1-$F28)*(DD28+DN28)-DE28)),0)</f>
        <v>0</v>
      </c>
      <c r="DQ28" s="84" t="n">
        <f aca="false">DH28-DK28-DN28-DP28</f>
        <v>0</v>
      </c>
      <c r="DR28" s="84" t="n">
        <f aca="false">DK28+DN28+(1-$F28)*DQ28</f>
        <v>4553.435148118</v>
      </c>
      <c r="DS28" s="84" t="n">
        <f aca="false">DP28+$F28*DQ28</f>
        <v>0</v>
      </c>
      <c r="DT28" s="84" t="n">
        <f aca="false">DD28+DN28+(1-$F28)*DQ28</f>
        <v>0</v>
      </c>
      <c r="DU28" s="84" t="n">
        <f aca="false">DE28+DS28</f>
        <v>0</v>
      </c>
      <c r="DV28" s="133" t="n">
        <f aca="false">DI28+$D28*Inputs!$H$13-$D28*$E28</f>
        <v>17913.740592472</v>
      </c>
      <c r="DW28" s="84" t="n">
        <f aca="false">DV28*(1+$I28)</f>
        <v>19167.702433945</v>
      </c>
      <c r="DX28" s="133" t="n">
        <f aca="false">DW28*Inputs!$H$14</f>
        <v>3833.54048678901</v>
      </c>
      <c r="DY28" s="84" t="n">
        <f aca="false">DW28-DX28</f>
        <v>15334.161947156</v>
      </c>
      <c r="DZ28" s="133" t="n">
        <f aca="false">DL28+$D28*Inputs!$H$13</f>
        <v>15446.564851882</v>
      </c>
      <c r="EA28" s="84" t="n">
        <f aca="false">MIN(DX28,DZ28)</f>
        <v>3833.54048678901</v>
      </c>
      <c r="EB28" s="84" t="n">
        <f aca="false">DZ28-EA28</f>
        <v>11613.024365093</v>
      </c>
      <c r="EC28" s="84" t="n">
        <f aca="false">DO28+$G28*(DZ28+DO28)</f>
        <v>0</v>
      </c>
      <c r="ED28" s="84" t="n">
        <f aca="false">MIN(DX28-EA28,EC28)</f>
        <v>0</v>
      </c>
      <c r="EE28" s="84" t="n">
        <f aca="false">EC28-ED28</f>
        <v>0</v>
      </c>
      <c r="EF28" s="84" t="n">
        <f aca="false">IF($H28=1,MIN(DX28-EA28-ED28,MAX(0,$F28/(1-$F28)*(DT28+ED28)-DU28)),0)</f>
        <v>0</v>
      </c>
      <c r="EG28" s="84" t="n">
        <f aca="false">DX28-EA28-ED28-EF28</f>
        <v>0</v>
      </c>
      <c r="EH28" s="84" t="n">
        <f aca="false">EA28+ED28+(1-$F28)*EG28</f>
        <v>3833.54048678901</v>
      </c>
      <c r="EI28" s="84" t="n">
        <f aca="false">EF28+$F28*EG28</f>
        <v>0</v>
      </c>
      <c r="EJ28" s="84" t="n">
        <f aca="false">DT28+ED28+(1-$F28)*EG28</f>
        <v>0</v>
      </c>
      <c r="EK28" s="84" t="n">
        <f aca="false">DU28+EI28</f>
        <v>0</v>
      </c>
      <c r="EL28" s="133" t="n">
        <f aca="false">DY28+$D28*Inputs!$I$13-$D28*$E28</f>
        <v>15034.161947156</v>
      </c>
      <c r="EM28" s="84" t="n">
        <f aca="false">EL28*(1+$I28)</f>
        <v>16086.553283457</v>
      </c>
      <c r="EN28" s="133" t="n">
        <f aca="false">EM28*Inputs!$I$14</f>
        <v>3217.31065669139</v>
      </c>
      <c r="EO28" s="84" t="n">
        <f aca="false">EM28-EN28</f>
        <v>12869.2426267656</v>
      </c>
      <c r="EP28" s="133" t="n">
        <f aca="false">EB28+$D28*Inputs!$I$13</f>
        <v>11613.024365093</v>
      </c>
      <c r="EQ28" s="84" t="n">
        <f aca="false">MIN(EN28,EP28)</f>
        <v>3217.31065669139</v>
      </c>
      <c r="ER28" s="84" t="n">
        <f aca="false">EP28-EQ28</f>
        <v>8395.7137084016</v>
      </c>
      <c r="ES28" s="84" t="n">
        <f aca="false">EE28+$G28*(EP28+EE28)</f>
        <v>0</v>
      </c>
      <c r="ET28" s="84" t="n">
        <f aca="false">MIN(EN28-EQ28,ES28)</f>
        <v>0</v>
      </c>
      <c r="EU28" s="84" t="n">
        <f aca="false">ES28-ET28</f>
        <v>0</v>
      </c>
      <c r="EV28" s="84" t="n">
        <f aca="false">IF($H28=1,MIN(EN28-EQ28-ET28,MAX(0,$F28/(1-$F28)*(EJ28+ET28)-EK28)),0)</f>
        <v>0</v>
      </c>
      <c r="EW28" s="84" t="n">
        <f aca="false">EN28-EQ28-ET28-EV28</f>
        <v>0</v>
      </c>
      <c r="EX28" s="84" t="n">
        <f aca="false">EQ28+ET28+(1-$F28)*EW28</f>
        <v>3217.31065669139</v>
      </c>
      <c r="EY28" s="84" t="n">
        <f aca="false">EV28+$F28*EW28</f>
        <v>0</v>
      </c>
      <c r="EZ28" s="84" t="n">
        <f aca="false">EJ28+ET28+(1-$F28)*EW28</f>
        <v>0</v>
      </c>
      <c r="FA28" s="84" t="n">
        <f aca="false">EK28+EY28</f>
        <v>0</v>
      </c>
      <c r="FB28" s="133" t="n">
        <f aca="false">EO28+$D28*Inputs!$J$13-$D28*$E28</f>
        <v>12569.2426267656</v>
      </c>
      <c r="FC28" s="84" t="n">
        <f aca="false">FB28*(1+$I28)</f>
        <v>13449.0896106392</v>
      </c>
      <c r="FD28" s="133" t="n">
        <f aca="false">FC28*Inputs!$J$14</f>
        <v>2689.81792212783</v>
      </c>
      <c r="FE28" s="84" t="n">
        <f aca="false">FC28-FD28</f>
        <v>10759.2716885113</v>
      </c>
      <c r="FF28" s="133" t="n">
        <f aca="false">ER28+$D28*Inputs!$J$13</f>
        <v>8395.7137084016</v>
      </c>
      <c r="FG28" s="84" t="n">
        <f aca="false">MIN(FD28,FF28)</f>
        <v>2689.81792212783</v>
      </c>
      <c r="FH28" s="84" t="n">
        <f aca="false">FF28-FG28</f>
        <v>5705.89578627377</v>
      </c>
      <c r="FI28" s="84" t="n">
        <f aca="false">EU28+$G28*(FF28+EU28)</f>
        <v>0</v>
      </c>
      <c r="FJ28" s="84" t="n">
        <f aca="false">MIN(FD28-FG28,FI28)</f>
        <v>0</v>
      </c>
      <c r="FK28" s="84" t="n">
        <f aca="false">FI28-FJ28</f>
        <v>0</v>
      </c>
      <c r="FL28" s="84" t="n">
        <f aca="false">IF($H28=1,MIN(FD28-FG28-FJ28,MAX(0,$F28/(1-$F28)*(EZ28+FJ28)-FA28)),0)</f>
        <v>0</v>
      </c>
      <c r="FM28" s="84" t="n">
        <f aca="false">FD28-FG28-FJ28-FL28</f>
        <v>0</v>
      </c>
      <c r="FN28" s="84" t="n">
        <f aca="false">FG28+FJ28+(1-$F28)*FM28</f>
        <v>2689.81792212783</v>
      </c>
      <c r="FO28" s="84" t="n">
        <f aca="false">FL28+$F28*FM28</f>
        <v>0</v>
      </c>
      <c r="FP28" s="84" t="n">
        <f aca="false">EZ28+FJ28+(1-$F28)*FM28</f>
        <v>0</v>
      </c>
      <c r="FQ28" s="84" t="n">
        <f aca="false">FA28+FO28</f>
        <v>0</v>
      </c>
      <c r="FR28" s="133" t="n">
        <f aca="false">FE28+$D28*Inputs!$K$13-$D28*$E28</f>
        <v>10459.2716885113</v>
      </c>
      <c r="FS28" s="84" t="n">
        <f aca="false">FR28*(1+$I28)</f>
        <v>11191.4207067071</v>
      </c>
      <c r="FT28" s="133" t="n">
        <f aca="false">FS28*Inputs!$K$14</f>
        <v>2238.28414134142</v>
      </c>
      <c r="FU28" s="84" t="n">
        <f aca="false">FS28-FT28</f>
        <v>8953.13656536569</v>
      </c>
      <c r="FV28" s="133" t="n">
        <f aca="false">FH28+$D28*Inputs!$K$13</f>
        <v>5705.89578627377</v>
      </c>
      <c r="FW28" s="84" t="n">
        <f aca="false">MIN(FT28,FV28)</f>
        <v>2238.28414134142</v>
      </c>
      <c r="FX28" s="84" t="n">
        <f aca="false">FV28-FW28</f>
        <v>3467.61164493234</v>
      </c>
      <c r="FY28" s="84" t="n">
        <f aca="false">FK28+$G28*(FV28+FK28)</f>
        <v>0</v>
      </c>
      <c r="FZ28" s="84" t="n">
        <f aca="false">MIN(FT28-FW28,FY28)</f>
        <v>0</v>
      </c>
      <c r="GA28" s="84" t="n">
        <f aca="false">FY28-FZ28</f>
        <v>0</v>
      </c>
      <c r="GB28" s="84" t="n">
        <f aca="false">IF($H28=1,MIN(FT28-FW28-FZ28,MAX(0,$F28/(1-$F28)*(FP28+FZ28)-FQ28)),0)</f>
        <v>0</v>
      </c>
      <c r="GC28" s="84" t="n">
        <f aca="false">FT28-FW28-FZ28-GB28</f>
        <v>0</v>
      </c>
      <c r="GD28" s="84" t="n">
        <f aca="false">FW28+FZ28+(1-$F28)*GC28</f>
        <v>2238.28414134142</v>
      </c>
      <c r="GE28" s="84" t="n">
        <f aca="false">GB28+$F28*GC28</f>
        <v>0</v>
      </c>
      <c r="GF28" s="84" t="n">
        <f aca="false">FP28+FZ28+(1-$F28)*GC28</f>
        <v>0</v>
      </c>
      <c r="GG28" s="84" t="n">
        <f aca="false">FQ28+GE28</f>
        <v>0</v>
      </c>
      <c r="GH28" s="133" t="n">
        <f aca="false">FU28+$D28*Inputs!$L$13-$D28*$E28</f>
        <v>8653.13656536569</v>
      </c>
      <c r="GI28" s="84" t="n">
        <f aca="false">GH28*(1+$I28)</f>
        <v>9258.85612494129</v>
      </c>
      <c r="GJ28" s="133" t="n">
        <f aca="false">GI28*Inputs!$L$14</f>
        <v>9258.85612494129</v>
      </c>
      <c r="GK28" s="84" t="n">
        <f aca="false">GI28-GJ28</f>
        <v>0</v>
      </c>
      <c r="GL28" s="133" t="n">
        <f aca="false">FX28+$D28*Inputs!$L$13</f>
        <v>3467.61164493234</v>
      </c>
      <c r="GM28" s="84" t="n">
        <f aca="false">MIN(GJ28,GL28)</f>
        <v>3467.61164493234</v>
      </c>
      <c r="GN28" s="84" t="n">
        <f aca="false">GL28-GM28</f>
        <v>0</v>
      </c>
      <c r="GO28" s="84" t="n">
        <f aca="false">GA28+$G28*(GL28+GA28)</f>
        <v>0</v>
      </c>
      <c r="GP28" s="84" t="n">
        <f aca="false">MIN(GJ28-GM28,GO28)</f>
        <v>0</v>
      </c>
      <c r="GQ28" s="84" t="n">
        <f aca="false">GO28-GP28</f>
        <v>0</v>
      </c>
      <c r="GR28" s="84" t="n">
        <f aca="false">IF($H28=1,MIN(GJ28-GM28-GP28,MAX(0,$F28/(1-$F28)*(GF28+GP28)-GG28)),0)</f>
        <v>0</v>
      </c>
      <c r="GS28" s="84" t="n">
        <f aca="false">GJ28-GM28-GP28-GR28</f>
        <v>5791.24448000895</v>
      </c>
      <c r="GT28" s="84" t="n">
        <f aca="false">GM28+GP28+(1-$F28)*GS28</f>
        <v>8100.6072289395</v>
      </c>
      <c r="GU28" s="84" t="n">
        <f aca="false">GR28+$F28*GS28</f>
        <v>1158.24889600179</v>
      </c>
      <c r="GV28" s="84" t="n">
        <f aca="false">GF28+GP28+(1-$F28)*GS28</f>
        <v>4632.99558400716</v>
      </c>
      <c r="GW28" s="84" t="n">
        <f aca="false">GG28+GU28</f>
        <v>1158.24889600179</v>
      </c>
    </row>
    <row r="29" customFormat="false" ht="15" hidden="false" customHeight="false" outlineLevel="0" collapsed="false">
      <c r="A29" s="5" t="s">
        <v>635</v>
      </c>
      <c r="B29" s="5" t="s">
        <v>636</v>
      </c>
      <c r="C29" s="135" t="n">
        <v>8</v>
      </c>
      <c r="D29" s="47" t="n">
        <f aca="false">Inputs!$C$6</f>
        <v>20000</v>
      </c>
      <c r="E29" s="35" t="n">
        <f aca="false">Inputs!$C$18</f>
        <v>0.015</v>
      </c>
      <c r="F29" s="36" t="n">
        <f aca="false">Inputs!$C$20</f>
        <v>0.2</v>
      </c>
      <c r="G29" s="30" t="n">
        <v>0</v>
      </c>
      <c r="H29" s="27" t="n">
        <v>0</v>
      </c>
      <c r="I29" s="132" t="n">
        <f aca="false">Inputs!$C$38+$C29*Inputs!$C$39</f>
        <v>0.08</v>
      </c>
      <c r="J29" s="36" t="n">
        <f aca="false">Inputs!$C$9</f>
        <v>0.15</v>
      </c>
      <c r="K29" s="89" t="n">
        <f aca="false">IRR(W29:AG29,0.1)</f>
        <v>0.0460418522854522</v>
      </c>
      <c r="L29" s="45" t="n">
        <f aca="false">W29+NPV($J29,X29:AG29)</f>
        <v>-6358.50451986986</v>
      </c>
      <c r="M29" s="45" t="n">
        <f aca="false">SUM(BF29,BV29,CL29,DB29,DR29,EH29,EX29,FN29,GD29,GT29)</f>
        <v>25889.8615496478</v>
      </c>
      <c r="N29" s="43" t="n">
        <f aca="false">IF($D29*SUM(Inputs!$C$13:$L$13)=0,0,M29/($D29*SUM(Inputs!$C$13:$L$13)))</f>
        <v>1.29449307748239</v>
      </c>
      <c r="O29" s="42" t="n">
        <f aca="false">$D29*$E29*COLUMNS(Inputs!$C$13:$L$13)</f>
        <v>3000</v>
      </c>
      <c r="P29" s="45" t="n">
        <f aca="false">SUM(BG29,BW29,CM29,DC29,DS29,EI29,EY29,FO29,GE29,GU29)</f>
        <v>1472.46538741196</v>
      </c>
      <c r="Q29" s="42" t="n">
        <f aca="false">PV($J29,COLUMNS(Inputs!$C$13:$L$13),-$D29*$E29,0,1)</f>
        <v>1731.47517591971</v>
      </c>
      <c r="R29" s="45" t="n">
        <f aca="false">NPV($J29,BG29,BW29,CM29,DC29,DS29,EI29,EY29,FO29,GE29,GU29)</f>
        <v>363.970924062045</v>
      </c>
      <c r="S29" s="45" t="n">
        <f aca="false">Q29+R29</f>
        <v>2095.44609998175</v>
      </c>
      <c r="T29" s="32" t="n">
        <f aca="false">IF(S29=0,0,Q29/S29)</f>
        <v>0.826303848108899</v>
      </c>
      <c r="U29" s="45" t="n">
        <f aca="false">ROUND(ABS(GK29)+ABS(SUM(AV29,BL29,CB29,CR29,DH29,DX29,EN29,FD29,FT29,GJ29)-M29-P29)+ABS(S29-(AH29+NPV($J29,AI29:AR29))),6)</f>
        <v>0</v>
      </c>
      <c r="W29" s="133" t="n">
        <f aca="false">-$D29*Inputs!$C$13</f>
        <v>-4000</v>
      </c>
      <c r="X29" s="133" t="n">
        <f aca="false">BF29-$D29*Inputs!$D$13</f>
        <v>-4000</v>
      </c>
      <c r="Y29" s="133" t="n">
        <f aca="false">BV29-$D29*Inputs!$E$13</f>
        <v>-4000</v>
      </c>
      <c r="Z29" s="133" t="n">
        <f aca="false">CL29-$D29*Inputs!$F$13</f>
        <v>-4000</v>
      </c>
      <c r="AA29" s="133" t="n">
        <f aca="false">DB29-$D29*Inputs!$G$13</f>
        <v>-4000</v>
      </c>
      <c r="AB29" s="133" t="n">
        <f aca="false">DR29-$D29*Inputs!$H$13</f>
        <v>4688.587487232</v>
      </c>
      <c r="AC29" s="133" t="n">
        <f aca="false">EH29-$D29*Inputs!$I$13</f>
        <v>3986.13958896845</v>
      </c>
      <c r="AD29" s="133" t="n">
        <f aca="false">EX29-$D29*Inputs!$J$13</f>
        <v>3379.22460486874</v>
      </c>
      <c r="AE29" s="133" t="n">
        <f aca="false">FN29-$D29*Inputs!$K$13</f>
        <v>2854.85005860659</v>
      </c>
      <c r="AF29" s="133" t="n">
        <f aca="false">GD29-$D29*Inputs!$L$13</f>
        <v>2401.7904506361</v>
      </c>
      <c r="AG29" s="84" t="n">
        <f aca="false">GT29</f>
        <v>8579.26935933597</v>
      </c>
      <c r="AH29" s="84" t="n">
        <f aca="false">$D29*$E29</f>
        <v>300</v>
      </c>
      <c r="AI29" s="84" t="n">
        <f aca="false">BG29+$D29*$E29</f>
        <v>300</v>
      </c>
      <c r="AJ29" s="84" t="n">
        <f aca="false">BW29+$D29*$E29</f>
        <v>300</v>
      </c>
      <c r="AK29" s="84" t="n">
        <f aca="false">CM29+$D29*$E29</f>
        <v>300</v>
      </c>
      <c r="AL29" s="84" t="n">
        <f aca="false">DC29+$D29*$E29</f>
        <v>300</v>
      </c>
      <c r="AM29" s="84" t="n">
        <f aca="false">DS29+$D29*$E29</f>
        <v>300</v>
      </c>
      <c r="AN29" s="84" t="n">
        <f aca="false">EI29+$D29*$E29</f>
        <v>300</v>
      </c>
      <c r="AO29" s="84" t="n">
        <f aca="false">EY29+$D29*$E29</f>
        <v>300</v>
      </c>
      <c r="AP29" s="84" t="n">
        <f aca="false">FO29+$D29*$E29</f>
        <v>300</v>
      </c>
      <c r="AQ29" s="84" t="n">
        <f aca="false">GE29+$D29*$E29</f>
        <v>300</v>
      </c>
      <c r="AR29" s="84" t="n">
        <f aca="false">GU29</f>
        <v>1472.46538741196</v>
      </c>
      <c r="AT29" s="133" t="n">
        <f aca="false">$D29*Inputs!$C$13-$D29*$E29</f>
        <v>3700</v>
      </c>
      <c r="AU29" s="84" t="n">
        <f aca="false">AT29*(1+$I29)</f>
        <v>3996</v>
      </c>
      <c r="AV29" s="133" t="n">
        <f aca="false">AU29*Inputs!$C$14</f>
        <v>0</v>
      </c>
      <c r="AW29" s="84" t="n">
        <f aca="false">AU29-AV29</f>
        <v>3996</v>
      </c>
      <c r="AX29" s="133" t="n">
        <f aca="false">$D29*Inputs!$C$13</f>
        <v>4000</v>
      </c>
      <c r="AY29" s="84" t="n">
        <f aca="false">MIN(AV29,AX29)</f>
        <v>0</v>
      </c>
      <c r="AZ29" s="84" t="n">
        <f aca="false">AX29-AY29</f>
        <v>4000</v>
      </c>
      <c r="BA29" s="84" t="n">
        <f aca="false">$G29*AX29</f>
        <v>0</v>
      </c>
      <c r="BB29" s="84" t="n">
        <f aca="false">MIN(AV29-AY29,BA29)</f>
        <v>0</v>
      </c>
      <c r="BC29" s="84" t="n">
        <f aca="false">BA29-BB29</f>
        <v>0</v>
      </c>
      <c r="BD29" s="84" t="n">
        <f aca="false">IF($H29=1,MIN(AV29-AY29-BB29,MAX(0,$F29/(1-$F29)*BB29)),0)</f>
        <v>0</v>
      </c>
      <c r="BE29" s="84" t="n">
        <f aca="false">AV29-AY29-BB29-BD29</f>
        <v>0</v>
      </c>
      <c r="BF29" s="84" t="n">
        <f aca="false">AY29+BB29+(1-$F29)*BE29</f>
        <v>0</v>
      </c>
      <c r="BG29" s="84" t="n">
        <f aca="false">BD29+$F29*BE29</f>
        <v>0</v>
      </c>
      <c r="BH29" s="84" t="n">
        <f aca="false">BB29+(1-$F29)*BE29</f>
        <v>0</v>
      </c>
      <c r="BI29" s="84" t="n">
        <f aca="false">BG29</f>
        <v>0</v>
      </c>
      <c r="BJ29" s="133" t="n">
        <f aca="false">AW29+$D29*Inputs!$D$13-$D29*$E29</f>
        <v>7696</v>
      </c>
      <c r="BK29" s="84" t="n">
        <f aca="false">BJ29*(1+$I29)</f>
        <v>8311.68</v>
      </c>
      <c r="BL29" s="133" t="n">
        <f aca="false">BK29*Inputs!$D$14</f>
        <v>0</v>
      </c>
      <c r="BM29" s="84" t="n">
        <f aca="false">BK29-BL29</f>
        <v>8311.68</v>
      </c>
      <c r="BN29" s="133" t="n">
        <f aca="false">AZ29+$D29*Inputs!$D$13</f>
        <v>8000</v>
      </c>
      <c r="BO29" s="84" t="n">
        <f aca="false">MIN(BL29,BN29)</f>
        <v>0</v>
      </c>
      <c r="BP29" s="84" t="n">
        <f aca="false">BN29-BO29</f>
        <v>8000</v>
      </c>
      <c r="BQ29" s="84" t="n">
        <f aca="false">BC29+$G29*(BN29+BC29)</f>
        <v>0</v>
      </c>
      <c r="BR29" s="84" t="n">
        <f aca="false">MIN(BL29-BO29,BQ29)</f>
        <v>0</v>
      </c>
      <c r="BS29" s="84" t="n">
        <f aca="false">BQ29-BR29</f>
        <v>0</v>
      </c>
      <c r="BT29" s="84" t="n">
        <f aca="false">IF($H29=1,MIN(BL29-BO29-BR29,MAX(0,$F29/(1-$F29)*(BH29+BR29)-BI29)),0)</f>
        <v>0</v>
      </c>
      <c r="BU29" s="84" t="n">
        <f aca="false">BL29-BO29-BR29-BT29</f>
        <v>0</v>
      </c>
      <c r="BV29" s="84" t="n">
        <f aca="false">BO29+BR29+(1-$F29)*BU29</f>
        <v>0</v>
      </c>
      <c r="BW29" s="84" t="n">
        <f aca="false">BT29+$F29*BU29</f>
        <v>0</v>
      </c>
      <c r="BX29" s="84" t="n">
        <f aca="false">BH29+BR29+(1-$F29)*BU29</f>
        <v>0</v>
      </c>
      <c r="BY29" s="84" t="n">
        <f aca="false">BI29+BW29</f>
        <v>0</v>
      </c>
      <c r="BZ29" s="133" t="n">
        <f aca="false">BM29+$D29*Inputs!$E$13-$D29*$E29</f>
        <v>12011.68</v>
      </c>
      <c r="CA29" s="84" t="n">
        <f aca="false">BZ29*(1+$I29)</f>
        <v>12972.6144</v>
      </c>
      <c r="CB29" s="133" t="n">
        <f aca="false">CA29*Inputs!$E$14</f>
        <v>0</v>
      </c>
      <c r="CC29" s="84" t="n">
        <f aca="false">CA29-CB29</f>
        <v>12972.6144</v>
      </c>
      <c r="CD29" s="133" t="n">
        <f aca="false">BP29+$D29*Inputs!$E$13</f>
        <v>12000</v>
      </c>
      <c r="CE29" s="84" t="n">
        <f aca="false">MIN(CB29,CD29)</f>
        <v>0</v>
      </c>
      <c r="CF29" s="84" t="n">
        <f aca="false">CD29-CE29</f>
        <v>12000</v>
      </c>
      <c r="CG29" s="84" t="n">
        <f aca="false">BS29+$G29*(CD29+BS29)</f>
        <v>0</v>
      </c>
      <c r="CH29" s="84" t="n">
        <f aca="false">MIN(CB29-CE29,CG29)</f>
        <v>0</v>
      </c>
      <c r="CI29" s="84" t="n">
        <f aca="false">CG29-CH29</f>
        <v>0</v>
      </c>
      <c r="CJ29" s="84" t="n">
        <f aca="false">IF($H29=1,MIN(CB29-CE29-CH29,MAX(0,$F29/(1-$F29)*(BX29+CH29)-BY29)),0)</f>
        <v>0</v>
      </c>
      <c r="CK29" s="84" t="n">
        <f aca="false">CB29-CE29-CH29-CJ29</f>
        <v>0</v>
      </c>
      <c r="CL29" s="84" t="n">
        <f aca="false">CE29+CH29+(1-$F29)*CK29</f>
        <v>0</v>
      </c>
      <c r="CM29" s="84" t="n">
        <f aca="false">CJ29+$F29*CK29</f>
        <v>0</v>
      </c>
      <c r="CN29" s="84" t="n">
        <f aca="false">BX29+CH29+(1-$F29)*CK29</f>
        <v>0</v>
      </c>
      <c r="CO29" s="84" t="n">
        <f aca="false">BY29+CM29</f>
        <v>0</v>
      </c>
      <c r="CP29" s="133" t="n">
        <f aca="false">CC29+$D29*Inputs!$F$13-$D29*$E29</f>
        <v>16672.6144</v>
      </c>
      <c r="CQ29" s="84" t="n">
        <f aca="false">CP29*(1+$I29)</f>
        <v>18006.423552</v>
      </c>
      <c r="CR29" s="133" t="n">
        <f aca="false">CQ29*Inputs!$F$14</f>
        <v>0</v>
      </c>
      <c r="CS29" s="84" t="n">
        <f aca="false">CQ29-CR29</f>
        <v>18006.423552</v>
      </c>
      <c r="CT29" s="133" t="n">
        <f aca="false">CF29+$D29*Inputs!$F$13</f>
        <v>16000</v>
      </c>
      <c r="CU29" s="84" t="n">
        <f aca="false">MIN(CR29,CT29)</f>
        <v>0</v>
      </c>
      <c r="CV29" s="84" t="n">
        <f aca="false">CT29-CU29</f>
        <v>16000</v>
      </c>
      <c r="CW29" s="84" t="n">
        <f aca="false">CI29+$G29*(CT29+CI29)</f>
        <v>0</v>
      </c>
      <c r="CX29" s="84" t="n">
        <f aca="false">MIN(CR29-CU29,CW29)</f>
        <v>0</v>
      </c>
      <c r="CY29" s="84" t="n">
        <f aca="false">CW29-CX29</f>
        <v>0</v>
      </c>
      <c r="CZ29" s="84" t="n">
        <f aca="false">IF($H29=1,MIN(CR29-CU29-CX29,MAX(0,$F29/(1-$F29)*(CN29+CX29)-CO29)),0)</f>
        <v>0</v>
      </c>
      <c r="DA29" s="84" t="n">
        <f aca="false">CR29-CU29-CX29-CZ29</f>
        <v>0</v>
      </c>
      <c r="DB29" s="84" t="n">
        <f aca="false">CU29+CX29+(1-$F29)*DA29</f>
        <v>0</v>
      </c>
      <c r="DC29" s="84" t="n">
        <f aca="false">CZ29+$F29*DA29</f>
        <v>0</v>
      </c>
      <c r="DD29" s="84" t="n">
        <f aca="false">CN29+CX29+(1-$F29)*DA29</f>
        <v>0</v>
      </c>
      <c r="DE29" s="84" t="n">
        <f aca="false">CO29+DC29</f>
        <v>0</v>
      </c>
      <c r="DF29" s="133" t="n">
        <f aca="false">CS29+$D29*Inputs!$G$13-$D29*$E29</f>
        <v>21706.423552</v>
      </c>
      <c r="DG29" s="84" t="n">
        <f aca="false">DF29*(1+$I29)</f>
        <v>23442.93743616</v>
      </c>
      <c r="DH29" s="133" t="n">
        <f aca="false">DG29*Inputs!$G$14</f>
        <v>4688.587487232</v>
      </c>
      <c r="DI29" s="84" t="n">
        <f aca="false">DG29-DH29</f>
        <v>18754.349948928</v>
      </c>
      <c r="DJ29" s="133" t="n">
        <f aca="false">CV29+$D29*Inputs!$G$13</f>
        <v>20000</v>
      </c>
      <c r="DK29" s="84" t="n">
        <f aca="false">MIN(DH29,DJ29)</f>
        <v>4688.587487232</v>
      </c>
      <c r="DL29" s="84" t="n">
        <f aca="false">DJ29-DK29</f>
        <v>15311.412512768</v>
      </c>
      <c r="DM29" s="84" t="n">
        <f aca="false">CY29+$G29*(DJ29+CY29)</f>
        <v>0</v>
      </c>
      <c r="DN29" s="84" t="n">
        <f aca="false">MIN(DH29-DK29,DM29)</f>
        <v>0</v>
      </c>
      <c r="DO29" s="84" t="n">
        <f aca="false">DM29-DN29</f>
        <v>0</v>
      </c>
      <c r="DP29" s="84" t="n">
        <f aca="false">IF($H29=1,MIN(DH29-DK29-DN29,MAX(0,$F29/(1-$F29)*(DD29+DN29)-DE29)),0)</f>
        <v>0</v>
      </c>
      <c r="DQ29" s="84" t="n">
        <f aca="false">DH29-DK29-DN29-DP29</f>
        <v>0</v>
      </c>
      <c r="DR29" s="84" t="n">
        <f aca="false">DK29+DN29+(1-$F29)*DQ29</f>
        <v>4688.587487232</v>
      </c>
      <c r="DS29" s="84" t="n">
        <f aca="false">DP29+$F29*DQ29</f>
        <v>0</v>
      </c>
      <c r="DT29" s="84" t="n">
        <f aca="false">DD29+DN29+(1-$F29)*DQ29</f>
        <v>0</v>
      </c>
      <c r="DU29" s="84" t="n">
        <f aca="false">DE29+DS29</f>
        <v>0</v>
      </c>
      <c r="DV29" s="133" t="n">
        <f aca="false">DI29+$D29*Inputs!$H$13-$D29*$E29</f>
        <v>18454.349948928</v>
      </c>
      <c r="DW29" s="84" t="n">
        <f aca="false">DV29*(1+$I29)</f>
        <v>19930.6979448422</v>
      </c>
      <c r="DX29" s="133" t="n">
        <f aca="false">DW29*Inputs!$H$14</f>
        <v>3986.13958896845</v>
      </c>
      <c r="DY29" s="84" t="n">
        <f aca="false">DW29-DX29</f>
        <v>15944.5583558738</v>
      </c>
      <c r="DZ29" s="133" t="n">
        <f aca="false">DL29+$D29*Inputs!$H$13</f>
        <v>15311.412512768</v>
      </c>
      <c r="EA29" s="84" t="n">
        <f aca="false">MIN(DX29,DZ29)</f>
        <v>3986.13958896845</v>
      </c>
      <c r="EB29" s="84" t="n">
        <f aca="false">DZ29-EA29</f>
        <v>11325.2729237996</v>
      </c>
      <c r="EC29" s="84" t="n">
        <f aca="false">DO29+$G29*(DZ29+DO29)</f>
        <v>0</v>
      </c>
      <c r="ED29" s="84" t="n">
        <f aca="false">MIN(DX29-EA29,EC29)</f>
        <v>0</v>
      </c>
      <c r="EE29" s="84" t="n">
        <f aca="false">EC29-ED29</f>
        <v>0</v>
      </c>
      <c r="EF29" s="84" t="n">
        <f aca="false">IF($H29=1,MIN(DX29-EA29-ED29,MAX(0,$F29/(1-$F29)*(DT29+ED29)-DU29)),0)</f>
        <v>0</v>
      </c>
      <c r="EG29" s="84" t="n">
        <f aca="false">DX29-EA29-ED29-EF29</f>
        <v>0</v>
      </c>
      <c r="EH29" s="84" t="n">
        <f aca="false">EA29+ED29+(1-$F29)*EG29</f>
        <v>3986.13958896845</v>
      </c>
      <c r="EI29" s="84" t="n">
        <f aca="false">EF29+$F29*EG29</f>
        <v>0</v>
      </c>
      <c r="EJ29" s="84" t="n">
        <f aca="false">DT29+ED29+(1-$F29)*EG29</f>
        <v>0</v>
      </c>
      <c r="EK29" s="84" t="n">
        <f aca="false">DU29+EI29</f>
        <v>0</v>
      </c>
      <c r="EL29" s="133" t="n">
        <f aca="false">DY29+$D29*Inputs!$I$13-$D29*$E29</f>
        <v>15644.5583558738</v>
      </c>
      <c r="EM29" s="84" t="n">
        <f aca="false">EL29*(1+$I29)</f>
        <v>16896.1230243437</v>
      </c>
      <c r="EN29" s="133" t="n">
        <f aca="false">EM29*Inputs!$I$14</f>
        <v>3379.22460486874</v>
      </c>
      <c r="EO29" s="84" t="n">
        <f aca="false">EM29-EN29</f>
        <v>13516.898419475</v>
      </c>
      <c r="EP29" s="133" t="n">
        <f aca="false">EB29+$D29*Inputs!$I$13</f>
        <v>11325.2729237996</v>
      </c>
      <c r="EQ29" s="84" t="n">
        <f aca="false">MIN(EN29,EP29)</f>
        <v>3379.22460486874</v>
      </c>
      <c r="ER29" s="84" t="n">
        <f aca="false">EP29-EQ29</f>
        <v>7946.04831893081</v>
      </c>
      <c r="ES29" s="84" t="n">
        <f aca="false">EE29+$G29*(EP29+EE29)</f>
        <v>0</v>
      </c>
      <c r="ET29" s="84" t="n">
        <f aca="false">MIN(EN29-EQ29,ES29)</f>
        <v>0</v>
      </c>
      <c r="EU29" s="84" t="n">
        <f aca="false">ES29-ET29</f>
        <v>0</v>
      </c>
      <c r="EV29" s="84" t="n">
        <f aca="false">IF($H29=1,MIN(EN29-EQ29-ET29,MAX(0,$F29/(1-$F29)*(EJ29+ET29)-EK29)),0)</f>
        <v>0</v>
      </c>
      <c r="EW29" s="84" t="n">
        <f aca="false">EN29-EQ29-ET29-EV29</f>
        <v>0</v>
      </c>
      <c r="EX29" s="84" t="n">
        <f aca="false">EQ29+ET29+(1-$F29)*EW29</f>
        <v>3379.22460486874</v>
      </c>
      <c r="EY29" s="84" t="n">
        <f aca="false">EV29+$F29*EW29</f>
        <v>0</v>
      </c>
      <c r="EZ29" s="84" t="n">
        <f aca="false">EJ29+ET29+(1-$F29)*EW29</f>
        <v>0</v>
      </c>
      <c r="FA29" s="84" t="n">
        <f aca="false">EK29+EY29</f>
        <v>0</v>
      </c>
      <c r="FB29" s="133" t="n">
        <f aca="false">EO29+$D29*Inputs!$J$13-$D29*$E29</f>
        <v>13216.898419475</v>
      </c>
      <c r="FC29" s="84" t="n">
        <f aca="false">FB29*(1+$I29)</f>
        <v>14274.250293033</v>
      </c>
      <c r="FD29" s="133" t="n">
        <f aca="false">FC29*Inputs!$J$14</f>
        <v>2854.85005860659</v>
      </c>
      <c r="FE29" s="84" t="n">
        <f aca="false">FC29-FD29</f>
        <v>11419.4002344264</v>
      </c>
      <c r="FF29" s="133" t="n">
        <f aca="false">ER29+$D29*Inputs!$J$13</f>
        <v>7946.04831893081</v>
      </c>
      <c r="FG29" s="84" t="n">
        <f aca="false">MIN(FD29,FF29)</f>
        <v>2854.85005860659</v>
      </c>
      <c r="FH29" s="84" t="n">
        <f aca="false">FF29-FG29</f>
        <v>5091.19826032422</v>
      </c>
      <c r="FI29" s="84" t="n">
        <f aca="false">EU29+$G29*(FF29+EU29)</f>
        <v>0</v>
      </c>
      <c r="FJ29" s="84" t="n">
        <f aca="false">MIN(FD29-FG29,FI29)</f>
        <v>0</v>
      </c>
      <c r="FK29" s="84" t="n">
        <f aca="false">FI29-FJ29</f>
        <v>0</v>
      </c>
      <c r="FL29" s="84" t="n">
        <f aca="false">IF($H29=1,MIN(FD29-FG29-FJ29,MAX(0,$F29/(1-$F29)*(EZ29+FJ29)-FA29)),0)</f>
        <v>0</v>
      </c>
      <c r="FM29" s="84" t="n">
        <f aca="false">FD29-FG29-FJ29-FL29</f>
        <v>0</v>
      </c>
      <c r="FN29" s="84" t="n">
        <f aca="false">FG29+FJ29+(1-$F29)*FM29</f>
        <v>2854.85005860659</v>
      </c>
      <c r="FO29" s="84" t="n">
        <f aca="false">FL29+$F29*FM29</f>
        <v>0</v>
      </c>
      <c r="FP29" s="84" t="n">
        <f aca="false">EZ29+FJ29+(1-$F29)*FM29</f>
        <v>0</v>
      </c>
      <c r="FQ29" s="84" t="n">
        <f aca="false">FA29+FO29</f>
        <v>0</v>
      </c>
      <c r="FR29" s="133" t="n">
        <f aca="false">FE29+$D29*Inputs!$K$13-$D29*$E29</f>
        <v>11119.4002344264</v>
      </c>
      <c r="FS29" s="84" t="n">
        <f aca="false">FR29*(1+$I29)</f>
        <v>12008.9522531805</v>
      </c>
      <c r="FT29" s="133" t="n">
        <f aca="false">FS29*Inputs!$K$14</f>
        <v>2401.7904506361</v>
      </c>
      <c r="FU29" s="84" t="n">
        <f aca="false">FS29-FT29</f>
        <v>9607.16180254438</v>
      </c>
      <c r="FV29" s="133" t="n">
        <f aca="false">FH29+$D29*Inputs!$K$13</f>
        <v>5091.19826032422</v>
      </c>
      <c r="FW29" s="84" t="n">
        <f aca="false">MIN(FT29,FV29)</f>
        <v>2401.7904506361</v>
      </c>
      <c r="FX29" s="84" t="n">
        <f aca="false">FV29-FW29</f>
        <v>2689.40780968812</v>
      </c>
      <c r="FY29" s="84" t="n">
        <f aca="false">FK29+$G29*(FV29+FK29)</f>
        <v>0</v>
      </c>
      <c r="FZ29" s="84" t="n">
        <f aca="false">MIN(FT29-FW29,FY29)</f>
        <v>0</v>
      </c>
      <c r="GA29" s="84" t="n">
        <f aca="false">FY29-FZ29</f>
        <v>0</v>
      </c>
      <c r="GB29" s="84" t="n">
        <f aca="false">IF($H29=1,MIN(FT29-FW29-FZ29,MAX(0,$F29/(1-$F29)*(FP29+FZ29)-FQ29)),0)</f>
        <v>0</v>
      </c>
      <c r="GC29" s="84" t="n">
        <f aca="false">FT29-FW29-FZ29-GB29</f>
        <v>0</v>
      </c>
      <c r="GD29" s="84" t="n">
        <f aca="false">FW29+FZ29+(1-$F29)*GC29</f>
        <v>2401.7904506361</v>
      </c>
      <c r="GE29" s="84" t="n">
        <f aca="false">GB29+$F29*GC29</f>
        <v>0</v>
      </c>
      <c r="GF29" s="84" t="n">
        <f aca="false">FP29+FZ29+(1-$F29)*GC29</f>
        <v>0</v>
      </c>
      <c r="GG29" s="84" t="n">
        <f aca="false">FQ29+GE29</f>
        <v>0</v>
      </c>
      <c r="GH29" s="133" t="n">
        <f aca="false">FU29+$D29*Inputs!$L$13-$D29*$E29</f>
        <v>9307.16180254438</v>
      </c>
      <c r="GI29" s="84" t="n">
        <f aca="false">GH29*(1+$I29)</f>
        <v>10051.7347467479</v>
      </c>
      <c r="GJ29" s="133" t="n">
        <f aca="false">GI29*Inputs!$L$14</f>
        <v>10051.7347467479</v>
      </c>
      <c r="GK29" s="84" t="n">
        <f aca="false">GI29-GJ29</f>
        <v>0</v>
      </c>
      <c r="GL29" s="133" t="n">
        <f aca="false">FX29+$D29*Inputs!$L$13</f>
        <v>2689.40780968812</v>
      </c>
      <c r="GM29" s="84" t="n">
        <f aca="false">MIN(GJ29,GL29)</f>
        <v>2689.40780968812</v>
      </c>
      <c r="GN29" s="84" t="n">
        <f aca="false">GL29-GM29</f>
        <v>0</v>
      </c>
      <c r="GO29" s="84" t="n">
        <f aca="false">GA29+$G29*(GL29+GA29)</f>
        <v>0</v>
      </c>
      <c r="GP29" s="84" t="n">
        <f aca="false">MIN(GJ29-GM29,GO29)</f>
        <v>0</v>
      </c>
      <c r="GQ29" s="84" t="n">
        <f aca="false">GO29-GP29</f>
        <v>0</v>
      </c>
      <c r="GR29" s="84" t="n">
        <f aca="false">IF($H29=1,MIN(GJ29-GM29-GP29,MAX(0,$F29/(1-$F29)*(GF29+GP29)-GG29)),0)</f>
        <v>0</v>
      </c>
      <c r="GS29" s="84" t="n">
        <f aca="false">GJ29-GM29-GP29-GR29</f>
        <v>7362.32693705981</v>
      </c>
      <c r="GT29" s="84" t="n">
        <f aca="false">GM29+GP29+(1-$F29)*GS29</f>
        <v>8579.26935933597</v>
      </c>
      <c r="GU29" s="84" t="n">
        <f aca="false">GR29+$F29*GS29</f>
        <v>1472.46538741196</v>
      </c>
      <c r="GV29" s="84" t="n">
        <f aca="false">GF29+GP29+(1-$F29)*GS29</f>
        <v>5889.86154964785</v>
      </c>
      <c r="GW29" s="84" t="n">
        <f aca="false">GG29+GU29</f>
        <v>1472.46538741196</v>
      </c>
    </row>
    <row r="30" customFormat="false" ht="15" hidden="false" customHeight="false" outlineLevel="0" collapsed="false">
      <c r="A30" s="5" t="s">
        <v>635</v>
      </c>
      <c r="B30" s="5" t="s">
        <v>636</v>
      </c>
      <c r="C30" s="135" t="n">
        <v>9</v>
      </c>
      <c r="D30" s="47" t="n">
        <f aca="false">Inputs!$C$6</f>
        <v>20000</v>
      </c>
      <c r="E30" s="35" t="n">
        <f aca="false">Inputs!$C$18</f>
        <v>0.015</v>
      </c>
      <c r="F30" s="36" t="n">
        <f aca="false">Inputs!$C$20</f>
        <v>0.2</v>
      </c>
      <c r="G30" s="30" t="n">
        <v>0</v>
      </c>
      <c r="H30" s="27" t="n">
        <v>0</v>
      </c>
      <c r="I30" s="132" t="n">
        <f aca="false">Inputs!$C$38+$C30*Inputs!$C$39</f>
        <v>0.09</v>
      </c>
      <c r="J30" s="36" t="n">
        <f aca="false">Inputs!$C$9</f>
        <v>0.15</v>
      </c>
      <c r="K30" s="89" t="n">
        <f aca="false">IRR(W30:AG30,0.1)</f>
        <v>0.0550751554838188</v>
      </c>
      <c r="L30" s="45" t="n">
        <f aca="false">W30+NPV($J30,X30:AG30)</f>
        <v>-5923.62436743548</v>
      </c>
      <c r="M30" s="45" t="n">
        <f aca="false">SUM(BF30,BV30,CL30,DB30,DR30,EH30,EX30,FN30,GD30,GT30)</f>
        <v>27220.6396762091</v>
      </c>
      <c r="N30" s="43" t="n">
        <f aca="false">IF($D30*SUM(Inputs!$C$13:$L$13)=0,0,M30/($D30*SUM(Inputs!$C$13:$L$13)))</f>
        <v>1.36103198381045</v>
      </c>
      <c r="O30" s="42" t="n">
        <f aca="false">$D30*$E30*COLUMNS(Inputs!$C$13:$L$13)</f>
        <v>3000</v>
      </c>
      <c r="P30" s="45" t="n">
        <f aca="false">SUM(BG30,BW30,CM30,DC30,DS30,EI30,EY30,FO30,GE30,GU30)</f>
        <v>1805.15991905227</v>
      </c>
      <c r="Q30" s="42" t="n">
        <f aca="false">PV($J30,COLUMNS(Inputs!$C$13:$L$13),-$D30*$E30,0,1)</f>
        <v>1731.47517591971</v>
      </c>
      <c r="R30" s="45" t="n">
        <f aca="false">NPV($J30,BG30,BW30,CM30,DC30,DS30,EI30,EY30,FO30,GE30,GU30)</f>
        <v>446.207924093906</v>
      </c>
      <c r="S30" s="45" t="n">
        <f aca="false">Q30+R30</f>
        <v>2177.68310001361</v>
      </c>
      <c r="T30" s="32" t="n">
        <f aca="false">IF(S30=0,0,Q30/S30)</f>
        <v>0.795099698348618</v>
      </c>
      <c r="U30" s="45" t="n">
        <f aca="false">ROUND(ABS(GK30)+ABS(SUM(AV30,BL30,CB30,CR30,DH30,DX30,EN30,FD30,FT30,GJ30)-M30-P30)+ABS(S30-(AH30+NPV($J30,AI30:AR30))),6)</f>
        <v>0</v>
      </c>
      <c r="W30" s="133" t="n">
        <f aca="false">-$D30*Inputs!$C$13</f>
        <v>-4000</v>
      </c>
      <c r="X30" s="133" t="n">
        <f aca="false">BF30-$D30*Inputs!$D$13</f>
        <v>-4000</v>
      </c>
      <c r="Y30" s="133" t="n">
        <f aca="false">BV30-$D30*Inputs!$E$13</f>
        <v>-4000</v>
      </c>
      <c r="Z30" s="133" t="n">
        <f aca="false">CL30-$D30*Inputs!$F$13</f>
        <v>-4000</v>
      </c>
      <c r="AA30" s="133" t="n">
        <f aca="false">DB30-$D30*Inputs!$G$13</f>
        <v>-4000</v>
      </c>
      <c r="AB30" s="133" t="n">
        <f aca="false">DR30-$D30*Inputs!$H$13</f>
        <v>4827.267578026</v>
      </c>
      <c r="AC30" s="133" t="n">
        <f aca="false">EH30-$D30*Inputs!$I$13</f>
        <v>4143.97732803867</v>
      </c>
      <c r="AD30" s="133" t="n">
        <f aca="false">EX30-$D30*Inputs!$J$13</f>
        <v>3548.14823004972</v>
      </c>
      <c r="AE30" s="133" t="n">
        <f aca="false">FN30-$D30*Inputs!$K$13</f>
        <v>3028.58525660336</v>
      </c>
      <c r="AF30" s="133" t="n">
        <f aca="false">GD30-$D30*Inputs!$L$13</f>
        <v>2575.52634375813</v>
      </c>
      <c r="AG30" s="84" t="n">
        <f aca="false">GT30</f>
        <v>9097.13493973318</v>
      </c>
      <c r="AH30" s="84" t="n">
        <f aca="false">$D30*$E30</f>
        <v>300</v>
      </c>
      <c r="AI30" s="84" t="n">
        <f aca="false">BG30+$D30*$E30</f>
        <v>300</v>
      </c>
      <c r="AJ30" s="84" t="n">
        <f aca="false">BW30+$D30*$E30</f>
        <v>300</v>
      </c>
      <c r="AK30" s="84" t="n">
        <f aca="false">CM30+$D30*$E30</f>
        <v>300</v>
      </c>
      <c r="AL30" s="84" t="n">
        <f aca="false">DC30+$D30*$E30</f>
        <v>300</v>
      </c>
      <c r="AM30" s="84" t="n">
        <f aca="false">DS30+$D30*$E30</f>
        <v>300</v>
      </c>
      <c r="AN30" s="84" t="n">
        <f aca="false">EI30+$D30*$E30</f>
        <v>300</v>
      </c>
      <c r="AO30" s="84" t="n">
        <f aca="false">EY30+$D30*$E30</f>
        <v>300</v>
      </c>
      <c r="AP30" s="84" t="n">
        <f aca="false">FO30+$D30*$E30</f>
        <v>300</v>
      </c>
      <c r="AQ30" s="84" t="n">
        <f aca="false">GE30+$D30*$E30</f>
        <v>300</v>
      </c>
      <c r="AR30" s="84" t="n">
        <f aca="false">GU30</f>
        <v>1805.15991905227</v>
      </c>
      <c r="AT30" s="133" t="n">
        <f aca="false">$D30*Inputs!$C$13-$D30*$E30</f>
        <v>3700</v>
      </c>
      <c r="AU30" s="84" t="n">
        <f aca="false">AT30*(1+$I30)</f>
        <v>4033</v>
      </c>
      <c r="AV30" s="133" t="n">
        <f aca="false">AU30*Inputs!$C$14</f>
        <v>0</v>
      </c>
      <c r="AW30" s="84" t="n">
        <f aca="false">AU30-AV30</f>
        <v>4033</v>
      </c>
      <c r="AX30" s="133" t="n">
        <f aca="false">$D30*Inputs!$C$13</f>
        <v>4000</v>
      </c>
      <c r="AY30" s="84" t="n">
        <f aca="false">MIN(AV30,AX30)</f>
        <v>0</v>
      </c>
      <c r="AZ30" s="84" t="n">
        <f aca="false">AX30-AY30</f>
        <v>4000</v>
      </c>
      <c r="BA30" s="84" t="n">
        <f aca="false">$G30*AX30</f>
        <v>0</v>
      </c>
      <c r="BB30" s="84" t="n">
        <f aca="false">MIN(AV30-AY30,BA30)</f>
        <v>0</v>
      </c>
      <c r="BC30" s="84" t="n">
        <f aca="false">BA30-BB30</f>
        <v>0</v>
      </c>
      <c r="BD30" s="84" t="n">
        <f aca="false">IF($H30=1,MIN(AV30-AY30-BB30,MAX(0,$F30/(1-$F30)*BB30)),0)</f>
        <v>0</v>
      </c>
      <c r="BE30" s="84" t="n">
        <f aca="false">AV30-AY30-BB30-BD30</f>
        <v>0</v>
      </c>
      <c r="BF30" s="84" t="n">
        <f aca="false">AY30+BB30+(1-$F30)*BE30</f>
        <v>0</v>
      </c>
      <c r="BG30" s="84" t="n">
        <f aca="false">BD30+$F30*BE30</f>
        <v>0</v>
      </c>
      <c r="BH30" s="84" t="n">
        <f aca="false">BB30+(1-$F30)*BE30</f>
        <v>0</v>
      </c>
      <c r="BI30" s="84" t="n">
        <f aca="false">BG30</f>
        <v>0</v>
      </c>
      <c r="BJ30" s="133" t="n">
        <f aca="false">AW30+$D30*Inputs!$D$13-$D30*$E30</f>
        <v>7733</v>
      </c>
      <c r="BK30" s="84" t="n">
        <f aca="false">BJ30*(1+$I30)</f>
        <v>8428.97</v>
      </c>
      <c r="BL30" s="133" t="n">
        <f aca="false">BK30*Inputs!$D$14</f>
        <v>0</v>
      </c>
      <c r="BM30" s="84" t="n">
        <f aca="false">BK30-BL30</f>
        <v>8428.97</v>
      </c>
      <c r="BN30" s="133" t="n">
        <f aca="false">AZ30+$D30*Inputs!$D$13</f>
        <v>8000</v>
      </c>
      <c r="BO30" s="84" t="n">
        <f aca="false">MIN(BL30,BN30)</f>
        <v>0</v>
      </c>
      <c r="BP30" s="84" t="n">
        <f aca="false">BN30-BO30</f>
        <v>8000</v>
      </c>
      <c r="BQ30" s="84" t="n">
        <f aca="false">BC30+$G30*(BN30+BC30)</f>
        <v>0</v>
      </c>
      <c r="BR30" s="84" t="n">
        <f aca="false">MIN(BL30-BO30,BQ30)</f>
        <v>0</v>
      </c>
      <c r="BS30" s="84" t="n">
        <f aca="false">BQ30-BR30</f>
        <v>0</v>
      </c>
      <c r="BT30" s="84" t="n">
        <f aca="false">IF($H30=1,MIN(BL30-BO30-BR30,MAX(0,$F30/(1-$F30)*(BH30+BR30)-BI30)),0)</f>
        <v>0</v>
      </c>
      <c r="BU30" s="84" t="n">
        <f aca="false">BL30-BO30-BR30-BT30</f>
        <v>0</v>
      </c>
      <c r="BV30" s="84" t="n">
        <f aca="false">BO30+BR30+(1-$F30)*BU30</f>
        <v>0</v>
      </c>
      <c r="BW30" s="84" t="n">
        <f aca="false">BT30+$F30*BU30</f>
        <v>0</v>
      </c>
      <c r="BX30" s="84" t="n">
        <f aca="false">BH30+BR30+(1-$F30)*BU30</f>
        <v>0</v>
      </c>
      <c r="BY30" s="84" t="n">
        <f aca="false">BI30+BW30</f>
        <v>0</v>
      </c>
      <c r="BZ30" s="133" t="n">
        <f aca="false">BM30+$D30*Inputs!$E$13-$D30*$E30</f>
        <v>12128.97</v>
      </c>
      <c r="CA30" s="84" t="n">
        <f aca="false">BZ30*(1+$I30)</f>
        <v>13220.5773</v>
      </c>
      <c r="CB30" s="133" t="n">
        <f aca="false">CA30*Inputs!$E$14</f>
        <v>0</v>
      </c>
      <c r="CC30" s="84" t="n">
        <f aca="false">CA30-CB30</f>
        <v>13220.5773</v>
      </c>
      <c r="CD30" s="133" t="n">
        <f aca="false">BP30+$D30*Inputs!$E$13</f>
        <v>12000</v>
      </c>
      <c r="CE30" s="84" t="n">
        <f aca="false">MIN(CB30,CD30)</f>
        <v>0</v>
      </c>
      <c r="CF30" s="84" t="n">
        <f aca="false">CD30-CE30</f>
        <v>12000</v>
      </c>
      <c r="CG30" s="84" t="n">
        <f aca="false">BS30+$G30*(CD30+BS30)</f>
        <v>0</v>
      </c>
      <c r="CH30" s="84" t="n">
        <f aca="false">MIN(CB30-CE30,CG30)</f>
        <v>0</v>
      </c>
      <c r="CI30" s="84" t="n">
        <f aca="false">CG30-CH30</f>
        <v>0</v>
      </c>
      <c r="CJ30" s="84" t="n">
        <f aca="false">IF($H30=1,MIN(CB30-CE30-CH30,MAX(0,$F30/(1-$F30)*(BX30+CH30)-BY30)),0)</f>
        <v>0</v>
      </c>
      <c r="CK30" s="84" t="n">
        <f aca="false">CB30-CE30-CH30-CJ30</f>
        <v>0</v>
      </c>
      <c r="CL30" s="84" t="n">
        <f aca="false">CE30+CH30+(1-$F30)*CK30</f>
        <v>0</v>
      </c>
      <c r="CM30" s="84" t="n">
        <f aca="false">CJ30+$F30*CK30</f>
        <v>0</v>
      </c>
      <c r="CN30" s="84" t="n">
        <f aca="false">BX30+CH30+(1-$F30)*CK30</f>
        <v>0</v>
      </c>
      <c r="CO30" s="84" t="n">
        <f aca="false">BY30+CM30</f>
        <v>0</v>
      </c>
      <c r="CP30" s="133" t="n">
        <f aca="false">CC30+$D30*Inputs!$F$13-$D30*$E30</f>
        <v>16920.5773</v>
      </c>
      <c r="CQ30" s="84" t="n">
        <f aca="false">CP30*(1+$I30)</f>
        <v>18443.429257</v>
      </c>
      <c r="CR30" s="133" t="n">
        <f aca="false">CQ30*Inputs!$F$14</f>
        <v>0</v>
      </c>
      <c r="CS30" s="84" t="n">
        <f aca="false">CQ30-CR30</f>
        <v>18443.429257</v>
      </c>
      <c r="CT30" s="133" t="n">
        <f aca="false">CF30+$D30*Inputs!$F$13</f>
        <v>16000</v>
      </c>
      <c r="CU30" s="84" t="n">
        <f aca="false">MIN(CR30,CT30)</f>
        <v>0</v>
      </c>
      <c r="CV30" s="84" t="n">
        <f aca="false">CT30-CU30</f>
        <v>16000</v>
      </c>
      <c r="CW30" s="84" t="n">
        <f aca="false">CI30+$G30*(CT30+CI30)</f>
        <v>0</v>
      </c>
      <c r="CX30" s="84" t="n">
        <f aca="false">MIN(CR30-CU30,CW30)</f>
        <v>0</v>
      </c>
      <c r="CY30" s="84" t="n">
        <f aca="false">CW30-CX30</f>
        <v>0</v>
      </c>
      <c r="CZ30" s="84" t="n">
        <f aca="false">IF($H30=1,MIN(CR30-CU30-CX30,MAX(0,$F30/(1-$F30)*(CN30+CX30)-CO30)),0)</f>
        <v>0</v>
      </c>
      <c r="DA30" s="84" t="n">
        <f aca="false">CR30-CU30-CX30-CZ30</f>
        <v>0</v>
      </c>
      <c r="DB30" s="84" t="n">
        <f aca="false">CU30+CX30+(1-$F30)*DA30</f>
        <v>0</v>
      </c>
      <c r="DC30" s="84" t="n">
        <f aca="false">CZ30+$F30*DA30</f>
        <v>0</v>
      </c>
      <c r="DD30" s="84" t="n">
        <f aca="false">CN30+CX30+(1-$F30)*DA30</f>
        <v>0</v>
      </c>
      <c r="DE30" s="84" t="n">
        <f aca="false">CO30+DC30</f>
        <v>0</v>
      </c>
      <c r="DF30" s="133" t="n">
        <f aca="false">CS30+$D30*Inputs!$G$13-$D30*$E30</f>
        <v>22143.429257</v>
      </c>
      <c r="DG30" s="84" t="n">
        <f aca="false">DF30*(1+$I30)</f>
        <v>24136.33789013</v>
      </c>
      <c r="DH30" s="133" t="n">
        <f aca="false">DG30*Inputs!$G$14</f>
        <v>4827.267578026</v>
      </c>
      <c r="DI30" s="84" t="n">
        <f aca="false">DG30-DH30</f>
        <v>19309.070312104</v>
      </c>
      <c r="DJ30" s="133" t="n">
        <f aca="false">CV30+$D30*Inputs!$G$13</f>
        <v>20000</v>
      </c>
      <c r="DK30" s="84" t="n">
        <f aca="false">MIN(DH30,DJ30)</f>
        <v>4827.267578026</v>
      </c>
      <c r="DL30" s="84" t="n">
        <f aca="false">DJ30-DK30</f>
        <v>15172.732421974</v>
      </c>
      <c r="DM30" s="84" t="n">
        <f aca="false">CY30+$G30*(DJ30+CY30)</f>
        <v>0</v>
      </c>
      <c r="DN30" s="84" t="n">
        <f aca="false">MIN(DH30-DK30,DM30)</f>
        <v>0</v>
      </c>
      <c r="DO30" s="84" t="n">
        <f aca="false">DM30-DN30</f>
        <v>0</v>
      </c>
      <c r="DP30" s="84" t="n">
        <f aca="false">IF($H30=1,MIN(DH30-DK30-DN30,MAX(0,$F30/(1-$F30)*(DD30+DN30)-DE30)),0)</f>
        <v>0</v>
      </c>
      <c r="DQ30" s="84" t="n">
        <f aca="false">DH30-DK30-DN30-DP30</f>
        <v>0</v>
      </c>
      <c r="DR30" s="84" t="n">
        <f aca="false">DK30+DN30+(1-$F30)*DQ30</f>
        <v>4827.267578026</v>
      </c>
      <c r="DS30" s="84" t="n">
        <f aca="false">DP30+$F30*DQ30</f>
        <v>0</v>
      </c>
      <c r="DT30" s="84" t="n">
        <f aca="false">DD30+DN30+(1-$F30)*DQ30</f>
        <v>0</v>
      </c>
      <c r="DU30" s="84" t="n">
        <f aca="false">DE30+DS30</f>
        <v>0</v>
      </c>
      <c r="DV30" s="133" t="n">
        <f aca="false">DI30+$D30*Inputs!$H$13-$D30*$E30</f>
        <v>19009.070312104</v>
      </c>
      <c r="DW30" s="84" t="n">
        <f aca="false">DV30*(1+$I30)</f>
        <v>20719.8866401934</v>
      </c>
      <c r="DX30" s="133" t="n">
        <f aca="false">DW30*Inputs!$H$14</f>
        <v>4143.97732803867</v>
      </c>
      <c r="DY30" s="84" t="n">
        <f aca="false">DW30-DX30</f>
        <v>16575.9093121547</v>
      </c>
      <c r="DZ30" s="133" t="n">
        <f aca="false">DL30+$D30*Inputs!$H$13</f>
        <v>15172.732421974</v>
      </c>
      <c r="EA30" s="84" t="n">
        <f aca="false">MIN(DX30,DZ30)</f>
        <v>4143.97732803867</v>
      </c>
      <c r="EB30" s="84" t="n">
        <f aca="false">DZ30-EA30</f>
        <v>11028.7550939353</v>
      </c>
      <c r="EC30" s="84" t="n">
        <f aca="false">DO30+$G30*(DZ30+DO30)</f>
        <v>0</v>
      </c>
      <c r="ED30" s="84" t="n">
        <f aca="false">MIN(DX30-EA30,EC30)</f>
        <v>0</v>
      </c>
      <c r="EE30" s="84" t="n">
        <f aca="false">EC30-ED30</f>
        <v>0</v>
      </c>
      <c r="EF30" s="84" t="n">
        <f aca="false">IF($H30=1,MIN(DX30-EA30-ED30,MAX(0,$F30/(1-$F30)*(DT30+ED30)-DU30)),0)</f>
        <v>0</v>
      </c>
      <c r="EG30" s="84" t="n">
        <f aca="false">DX30-EA30-ED30-EF30</f>
        <v>0</v>
      </c>
      <c r="EH30" s="84" t="n">
        <f aca="false">EA30+ED30+(1-$F30)*EG30</f>
        <v>4143.97732803867</v>
      </c>
      <c r="EI30" s="84" t="n">
        <f aca="false">EF30+$F30*EG30</f>
        <v>0</v>
      </c>
      <c r="EJ30" s="84" t="n">
        <f aca="false">DT30+ED30+(1-$F30)*EG30</f>
        <v>0</v>
      </c>
      <c r="EK30" s="84" t="n">
        <f aca="false">DU30+EI30</f>
        <v>0</v>
      </c>
      <c r="EL30" s="133" t="n">
        <f aca="false">DY30+$D30*Inputs!$I$13-$D30*$E30</f>
        <v>16275.9093121547</v>
      </c>
      <c r="EM30" s="84" t="n">
        <f aca="false">EL30*(1+$I30)</f>
        <v>17740.7411502486</v>
      </c>
      <c r="EN30" s="133" t="n">
        <f aca="false">EM30*Inputs!$I$14</f>
        <v>3548.14823004972</v>
      </c>
      <c r="EO30" s="84" t="n">
        <f aca="false">EM30-EN30</f>
        <v>14192.5929201989</v>
      </c>
      <c r="EP30" s="133" t="n">
        <f aca="false">EB30+$D30*Inputs!$I$13</f>
        <v>11028.7550939353</v>
      </c>
      <c r="EQ30" s="84" t="n">
        <f aca="false">MIN(EN30,EP30)</f>
        <v>3548.14823004972</v>
      </c>
      <c r="ER30" s="84" t="n">
        <f aca="false">EP30-EQ30</f>
        <v>7480.6068638856</v>
      </c>
      <c r="ES30" s="84" t="n">
        <f aca="false">EE30+$G30*(EP30+EE30)</f>
        <v>0</v>
      </c>
      <c r="ET30" s="84" t="n">
        <f aca="false">MIN(EN30-EQ30,ES30)</f>
        <v>0</v>
      </c>
      <c r="EU30" s="84" t="n">
        <f aca="false">ES30-ET30</f>
        <v>0</v>
      </c>
      <c r="EV30" s="84" t="n">
        <f aca="false">IF($H30=1,MIN(EN30-EQ30-ET30,MAX(0,$F30/(1-$F30)*(EJ30+ET30)-EK30)),0)</f>
        <v>0</v>
      </c>
      <c r="EW30" s="84" t="n">
        <f aca="false">EN30-EQ30-ET30-EV30</f>
        <v>0</v>
      </c>
      <c r="EX30" s="84" t="n">
        <f aca="false">EQ30+ET30+(1-$F30)*EW30</f>
        <v>3548.14823004972</v>
      </c>
      <c r="EY30" s="84" t="n">
        <f aca="false">EV30+$F30*EW30</f>
        <v>0</v>
      </c>
      <c r="EZ30" s="84" t="n">
        <f aca="false">EJ30+ET30+(1-$F30)*EW30</f>
        <v>0</v>
      </c>
      <c r="FA30" s="84" t="n">
        <f aca="false">EK30+EY30</f>
        <v>0</v>
      </c>
      <c r="FB30" s="133" t="n">
        <f aca="false">EO30+$D30*Inputs!$J$13-$D30*$E30</f>
        <v>13892.5929201989</v>
      </c>
      <c r="FC30" s="84" t="n">
        <f aca="false">FB30*(1+$I30)</f>
        <v>15142.9262830168</v>
      </c>
      <c r="FD30" s="133" t="n">
        <f aca="false">FC30*Inputs!$J$14</f>
        <v>3028.58525660336</v>
      </c>
      <c r="FE30" s="84" t="n">
        <f aca="false">FC30-FD30</f>
        <v>12114.3410264134</v>
      </c>
      <c r="FF30" s="133" t="n">
        <f aca="false">ER30+$D30*Inputs!$J$13</f>
        <v>7480.6068638856</v>
      </c>
      <c r="FG30" s="84" t="n">
        <f aca="false">MIN(FD30,FF30)</f>
        <v>3028.58525660336</v>
      </c>
      <c r="FH30" s="84" t="n">
        <f aca="false">FF30-FG30</f>
        <v>4452.02160728224</v>
      </c>
      <c r="FI30" s="84" t="n">
        <f aca="false">EU30+$G30*(FF30+EU30)</f>
        <v>0</v>
      </c>
      <c r="FJ30" s="84" t="n">
        <f aca="false">MIN(FD30-FG30,FI30)</f>
        <v>0</v>
      </c>
      <c r="FK30" s="84" t="n">
        <f aca="false">FI30-FJ30</f>
        <v>0</v>
      </c>
      <c r="FL30" s="84" t="n">
        <f aca="false">IF($H30=1,MIN(FD30-FG30-FJ30,MAX(0,$F30/(1-$F30)*(EZ30+FJ30)-FA30)),0)</f>
        <v>0</v>
      </c>
      <c r="FM30" s="84" t="n">
        <f aca="false">FD30-FG30-FJ30-FL30</f>
        <v>0</v>
      </c>
      <c r="FN30" s="84" t="n">
        <f aca="false">FG30+FJ30+(1-$F30)*FM30</f>
        <v>3028.58525660336</v>
      </c>
      <c r="FO30" s="84" t="n">
        <f aca="false">FL30+$F30*FM30</f>
        <v>0</v>
      </c>
      <c r="FP30" s="84" t="n">
        <f aca="false">EZ30+FJ30+(1-$F30)*FM30</f>
        <v>0</v>
      </c>
      <c r="FQ30" s="84" t="n">
        <f aca="false">FA30+FO30</f>
        <v>0</v>
      </c>
      <c r="FR30" s="133" t="n">
        <f aca="false">FE30+$D30*Inputs!$K$13-$D30*$E30</f>
        <v>11814.3410264134</v>
      </c>
      <c r="FS30" s="84" t="n">
        <f aca="false">FR30*(1+$I30)</f>
        <v>12877.6317187906</v>
      </c>
      <c r="FT30" s="133" t="n">
        <f aca="false">FS30*Inputs!$K$14</f>
        <v>2575.52634375813</v>
      </c>
      <c r="FU30" s="84" t="n">
        <f aca="false">FS30-FT30</f>
        <v>10302.1053750325</v>
      </c>
      <c r="FV30" s="133" t="n">
        <f aca="false">FH30+$D30*Inputs!$K$13</f>
        <v>4452.02160728224</v>
      </c>
      <c r="FW30" s="84" t="n">
        <f aca="false">MIN(FT30,FV30)</f>
        <v>2575.52634375813</v>
      </c>
      <c r="FX30" s="84" t="n">
        <f aca="false">FV30-FW30</f>
        <v>1876.49526352411</v>
      </c>
      <c r="FY30" s="84" t="n">
        <f aca="false">FK30+$G30*(FV30+FK30)</f>
        <v>0</v>
      </c>
      <c r="FZ30" s="84" t="n">
        <f aca="false">MIN(FT30-FW30,FY30)</f>
        <v>0</v>
      </c>
      <c r="GA30" s="84" t="n">
        <f aca="false">FY30-FZ30</f>
        <v>0</v>
      </c>
      <c r="GB30" s="84" t="n">
        <f aca="false">IF($H30=1,MIN(FT30-FW30-FZ30,MAX(0,$F30/(1-$F30)*(FP30+FZ30)-FQ30)),0)</f>
        <v>0</v>
      </c>
      <c r="GC30" s="84" t="n">
        <f aca="false">FT30-FW30-FZ30-GB30</f>
        <v>0</v>
      </c>
      <c r="GD30" s="84" t="n">
        <f aca="false">FW30+FZ30+(1-$F30)*GC30</f>
        <v>2575.52634375813</v>
      </c>
      <c r="GE30" s="84" t="n">
        <f aca="false">GB30+$F30*GC30</f>
        <v>0</v>
      </c>
      <c r="GF30" s="84" t="n">
        <f aca="false">FP30+FZ30+(1-$F30)*GC30</f>
        <v>0</v>
      </c>
      <c r="GG30" s="84" t="n">
        <f aca="false">FQ30+GE30</f>
        <v>0</v>
      </c>
      <c r="GH30" s="133" t="n">
        <f aca="false">FU30+$D30*Inputs!$L$13-$D30*$E30</f>
        <v>10002.1053750325</v>
      </c>
      <c r="GI30" s="84" t="n">
        <f aca="false">GH30*(1+$I30)</f>
        <v>10902.2948587854</v>
      </c>
      <c r="GJ30" s="133" t="n">
        <f aca="false">GI30*Inputs!$L$14</f>
        <v>10902.2948587854</v>
      </c>
      <c r="GK30" s="84" t="n">
        <f aca="false">GI30-GJ30</f>
        <v>0</v>
      </c>
      <c r="GL30" s="133" t="n">
        <f aca="false">FX30+$D30*Inputs!$L$13</f>
        <v>1876.49526352411</v>
      </c>
      <c r="GM30" s="84" t="n">
        <f aca="false">MIN(GJ30,GL30)</f>
        <v>1876.49526352411</v>
      </c>
      <c r="GN30" s="84" t="n">
        <f aca="false">GL30-GM30</f>
        <v>0</v>
      </c>
      <c r="GO30" s="84" t="n">
        <f aca="false">GA30+$G30*(GL30+GA30)</f>
        <v>0</v>
      </c>
      <c r="GP30" s="84" t="n">
        <f aca="false">MIN(GJ30-GM30,GO30)</f>
        <v>0</v>
      </c>
      <c r="GQ30" s="84" t="n">
        <f aca="false">GO30-GP30</f>
        <v>0</v>
      </c>
      <c r="GR30" s="84" t="n">
        <f aca="false">IF($H30=1,MIN(GJ30-GM30-GP30,MAX(0,$F30/(1-$F30)*(GF30+GP30)-GG30)),0)</f>
        <v>0</v>
      </c>
      <c r="GS30" s="84" t="n">
        <f aca="false">GJ30-GM30-GP30-GR30</f>
        <v>9025.79959526134</v>
      </c>
      <c r="GT30" s="84" t="n">
        <f aca="false">GM30+GP30+(1-$F30)*GS30</f>
        <v>9097.13493973318</v>
      </c>
      <c r="GU30" s="84" t="n">
        <f aca="false">GR30+$F30*GS30</f>
        <v>1805.15991905227</v>
      </c>
      <c r="GV30" s="84" t="n">
        <f aca="false">GF30+GP30+(1-$F30)*GS30</f>
        <v>7220.63967620907</v>
      </c>
      <c r="GW30" s="84" t="n">
        <f aca="false">GG30+GU30</f>
        <v>1805.15991905227</v>
      </c>
    </row>
    <row r="31" customFormat="false" ht="15" hidden="false" customHeight="false" outlineLevel="0" collapsed="false">
      <c r="A31" s="5" t="s">
        <v>635</v>
      </c>
      <c r="B31" s="5" t="s">
        <v>636</v>
      </c>
      <c r="C31" s="135" t="n">
        <v>10</v>
      </c>
      <c r="D31" s="47" t="n">
        <f aca="false">Inputs!$C$6</f>
        <v>20000</v>
      </c>
      <c r="E31" s="35" t="n">
        <f aca="false">Inputs!$C$18</f>
        <v>0.015</v>
      </c>
      <c r="F31" s="36" t="n">
        <f aca="false">Inputs!$C$20</f>
        <v>0.2</v>
      </c>
      <c r="G31" s="30" t="n">
        <v>0</v>
      </c>
      <c r="H31" s="27" t="n">
        <v>0</v>
      </c>
      <c r="I31" s="132" t="n">
        <f aca="false">Inputs!$C$38+$C31*Inputs!$C$39</f>
        <v>0.1</v>
      </c>
      <c r="J31" s="36" t="n">
        <f aca="false">Inputs!$C$9</f>
        <v>0.15</v>
      </c>
      <c r="K31" s="89" t="n">
        <f aca="false">IRR(W31:AG31,0.1)</f>
        <v>0.0641907883459574</v>
      </c>
      <c r="L31" s="45" t="n">
        <f aca="false">W31+NPV($J31,X31:AG31)</f>
        <v>-5465.50152471426</v>
      </c>
      <c r="M31" s="45" t="n">
        <f aca="false">SUM(BF31,BV31,CL31,DB31,DR31,EH31,EX31,FN31,GD31,GT31)</f>
        <v>28629.4268261384</v>
      </c>
      <c r="N31" s="43" t="n">
        <f aca="false">IF($D31*SUM(Inputs!$C$13:$L$13)=0,0,M31/($D31*SUM(Inputs!$C$13:$L$13)))</f>
        <v>1.43147134130692</v>
      </c>
      <c r="O31" s="42" t="n">
        <f aca="false">$D31*$E31*COLUMNS(Inputs!$C$13:$L$13)</f>
        <v>3000</v>
      </c>
      <c r="P31" s="45" t="n">
        <f aca="false">SUM(BG31,BW31,CM31,DC31,DS31,EI31,EY31,FO31,GE31,GU31)</f>
        <v>2157.35670653459</v>
      </c>
      <c r="Q31" s="42" t="n">
        <f aca="false">PV($J31,COLUMNS(Inputs!$C$13:$L$13),-$D31*$E31,0,1)</f>
        <v>1731.47517591971</v>
      </c>
      <c r="R31" s="45" t="n">
        <f aca="false">NPV($J31,BG31,BW31,CM31,DC31,DS31,EI31,EY31,FO31,GE31,GU31)</f>
        <v>533.265583504789</v>
      </c>
      <c r="S31" s="45" t="n">
        <f aca="false">Q31+R31</f>
        <v>2264.7407594245</v>
      </c>
      <c r="T31" s="32" t="n">
        <f aca="false">IF(S31=0,0,Q31/S31)</f>
        <v>0.76453570622348</v>
      </c>
      <c r="U31" s="45" t="n">
        <f aca="false">ROUND(ABS(GK31)+ABS(SUM(AV31,BL31,CB31,CR31,DH31,DX31,EN31,FD31,FT31,GJ31)-M31-P31)+ABS(S31-(AH31+NPV($J31,AI31:AR31))),6)</f>
        <v>0</v>
      </c>
      <c r="W31" s="133" t="n">
        <f aca="false">-$D31*Inputs!$C$13</f>
        <v>-4000</v>
      </c>
      <c r="X31" s="133" t="n">
        <f aca="false">BF31-$D31*Inputs!$D$13</f>
        <v>-4000</v>
      </c>
      <c r="Y31" s="133" t="n">
        <f aca="false">BV31-$D31*Inputs!$E$13</f>
        <v>-4000</v>
      </c>
      <c r="Z31" s="133" t="n">
        <f aca="false">CL31-$D31*Inputs!$F$13</f>
        <v>-4000</v>
      </c>
      <c r="AA31" s="133" t="n">
        <f aca="false">DB31-$D31*Inputs!$G$13</f>
        <v>-4000</v>
      </c>
      <c r="AB31" s="133" t="n">
        <f aca="false">DR31-$D31*Inputs!$H$13</f>
        <v>4969.5514</v>
      </c>
      <c r="AC31" s="133" t="n">
        <f aca="false">EH31-$D31*Inputs!$I$13</f>
        <v>4307.205232</v>
      </c>
      <c r="AD31" s="133" t="n">
        <f aca="false">EX31-$D31*Inputs!$J$13</f>
        <v>3724.34060416</v>
      </c>
      <c r="AE31" s="133" t="n">
        <f aca="false">FN31-$D31*Inputs!$K$13</f>
        <v>3211.4197316608</v>
      </c>
      <c r="AF31" s="133" t="n">
        <f aca="false">GD31-$D31*Inputs!$L$13</f>
        <v>2760.04936386151</v>
      </c>
      <c r="AG31" s="84" t="n">
        <f aca="false">GT31</f>
        <v>9656.86049445604</v>
      </c>
      <c r="AH31" s="84" t="n">
        <f aca="false">$D31*$E31</f>
        <v>300</v>
      </c>
      <c r="AI31" s="84" t="n">
        <f aca="false">BG31+$D31*$E31</f>
        <v>300</v>
      </c>
      <c r="AJ31" s="84" t="n">
        <f aca="false">BW31+$D31*$E31</f>
        <v>300</v>
      </c>
      <c r="AK31" s="84" t="n">
        <f aca="false">CM31+$D31*$E31</f>
        <v>300</v>
      </c>
      <c r="AL31" s="84" t="n">
        <f aca="false">DC31+$D31*$E31</f>
        <v>300</v>
      </c>
      <c r="AM31" s="84" t="n">
        <f aca="false">DS31+$D31*$E31</f>
        <v>300</v>
      </c>
      <c r="AN31" s="84" t="n">
        <f aca="false">EI31+$D31*$E31</f>
        <v>300</v>
      </c>
      <c r="AO31" s="84" t="n">
        <f aca="false">EY31+$D31*$E31</f>
        <v>300</v>
      </c>
      <c r="AP31" s="84" t="n">
        <f aca="false">FO31+$D31*$E31</f>
        <v>300</v>
      </c>
      <c r="AQ31" s="84" t="n">
        <f aca="false">GE31+$D31*$E31</f>
        <v>300</v>
      </c>
      <c r="AR31" s="84" t="n">
        <f aca="false">GU31</f>
        <v>2157.35670653459</v>
      </c>
      <c r="AT31" s="133" t="n">
        <f aca="false">$D31*Inputs!$C$13-$D31*$E31</f>
        <v>3700</v>
      </c>
      <c r="AU31" s="84" t="n">
        <f aca="false">AT31*(1+$I31)</f>
        <v>4070</v>
      </c>
      <c r="AV31" s="133" t="n">
        <f aca="false">AU31*Inputs!$C$14</f>
        <v>0</v>
      </c>
      <c r="AW31" s="84" t="n">
        <f aca="false">AU31-AV31</f>
        <v>4070</v>
      </c>
      <c r="AX31" s="133" t="n">
        <f aca="false">$D31*Inputs!$C$13</f>
        <v>4000</v>
      </c>
      <c r="AY31" s="84" t="n">
        <f aca="false">MIN(AV31,AX31)</f>
        <v>0</v>
      </c>
      <c r="AZ31" s="84" t="n">
        <f aca="false">AX31-AY31</f>
        <v>4000</v>
      </c>
      <c r="BA31" s="84" t="n">
        <f aca="false">$G31*AX31</f>
        <v>0</v>
      </c>
      <c r="BB31" s="84" t="n">
        <f aca="false">MIN(AV31-AY31,BA31)</f>
        <v>0</v>
      </c>
      <c r="BC31" s="84" t="n">
        <f aca="false">BA31-BB31</f>
        <v>0</v>
      </c>
      <c r="BD31" s="84" t="n">
        <f aca="false">IF($H31=1,MIN(AV31-AY31-BB31,MAX(0,$F31/(1-$F31)*BB31)),0)</f>
        <v>0</v>
      </c>
      <c r="BE31" s="84" t="n">
        <f aca="false">AV31-AY31-BB31-BD31</f>
        <v>0</v>
      </c>
      <c r="BF31" s="84" t="n">
        <f aca="false">AY31+BB31+(1-$F31)*BE31</f>
        <v>0</v>
      </c>
      <c r="BG31" s="84" t="n">
        <f aca="false">BD31+$F31*BE31</f>
        <v>0</v>
      </c>
      <c r="BH31" s="84" t="n">
        <f aca="false">BB31+(1-$F31)*BE31</f>
        <v>0</v>
      </c>
      <c r="BI31" s="84" t="n">
        <f aca="false">BG31</f>
        <v>0</v>
      </c>
      <c r="BJ31" s="133" t="n">
        <f aca="false">AW31+$D31*Inputs!$D$13-$D31*$E31</f>
        <v>7770</v>
      </c>
      <c r="BK31" s="84" t="n">
        <f aca="false">BJ31*(1+$I31)</f>
        <v>8547</v>
      </c>
      <c r="BL31" s="133" t="n">
        <f aca="false">BK31*Inputs!$D$14</f>
        <v>0</v>
      </c>
      <c r="BM31" s="84" t="n">
        <f aca="false">BK31-BL31</f>
        <v>8547</v>
      </c>
      <c r="BN31" s="133" t="n">
        <f aca="false">AZ31+$D31*Inputs!$D$13</f>
        <v>8000</v>
      </c>
      <c r="BO31" s="84" t="n">
        <f aca="false">MIN(BL31,BN31)</f>
        <v>0</v>
      </c>
      <c r="BP31" s="84" t="n">
        <f aca="false">BN31-BO31</f>
        <v>8000</v>
      </c>
      <c r="BQ31" s="84" t="n">
        <f aca="false">BC31+$G31*(BN31+BC31)</f>
        <v>0</v>
      </c>
      <c r="BR31" s="84" t="n">
        <f aca="false">MIN(BL31-BO31,BQ31)</f>
        <v>0</v>
      </c>
      <c r="BS31" s="84" t="n">
        <f aca="false">BQ31-BR31</f>
        <v>0</v>
      </c>
      <c r="BT31" s="84" t="n">
        <f aca="false">IF($H31=1,MIN(BL31-BO31-BR31,MAX(0,$F31/(1-$F31)*(BH31+BR31)-BI31)),0)</f>
        <v>0</v>
      </c>
      <c r="BU31" s="84" t="n">
        <f aca="false">BL31-BO31-BR31-BT31</f>
        <v>0</v>
      </c>
      <c r="BV31" s="84" t="n">
        <f aca="false">BO31+BR31+(1-$F31)*BU31</f>
        <v>0</v>
      </c>
      <c r="BW31" s="84" t="n">
        <f aca="false">BT31+$F31*BU31</f>
        <v>0</v>
      </c>
      <c r="BX31" s="84" t="n">
        <f aca="false">BH31+BR31+(1-$F31)*BU31</f>
        <v>0</v>
      </c>
      <c r="BY31" s="84" t="n">
        <f aca="false">BI31+BW31</f>
        <v>0</v>
      </c>
      <c r="BZ31" s="133" t="n">
        <f aca="false">BM31+$D31*Inputs!$E$13-$D31*$E31</f>
        <v>12247</v>
      </c>
      <c r="CA31" s="84" t="n">
        <f aca="false">BZ31*(1+$I31)</f>
        <v>13471.7</v>
      </c>
      <c r="CB31" s="133" t="n">
        <f aca="false">CA31*Inputs!$E$14</f>
        <v>0</v>
      </c>
      <c r="CC31" s="84" t="n">
        <f aca="false">CA31-CB31</f>
        <v>13471.7</v>
      </c>
      <c r="CD31" s="133" t="n">
        <f aca="false">BP31+$D31*Inputs!$E$13</f>
        <v>12000</v>
      </c>
      <c r="CE31" s="84" t="n">
        <f aca="false">MIN(CB31,CD31)</f>
        <v>0</v>
      </c>
      <c r="CF31" s="84" t="n">
        <f aca="false">CD31-CE31</f>
        <v>12000</v>
      </c>
      <c r="CG31" s="84" t="n">
        <f aca="false">BS31+$G31*(CD31+BS31)</f>
        <v>0</v>
      </c>
      <c r="CH31" s="84" t="n">
        <f aca="false">MIN(CB31-CE31,CG31)</f>
        <v>0</v>
      </c>
      <c r="CI31" s="84" t="n">
        <f aca="false">CG31-CH31</f>
        <v>0</v>
      </c>
      <c r="CJ31" s="84" t="n">
        <f aca="false">IF($H31=1,MIN(CB31-CE31-CH31,MAX(0,$F31/(1-$F31)*(BX31+CH31)-BY31)),0)</f>
        <v>0</v>
      </c>
      <c r="CK31" s="84" t="n">
        <f aca="false">CB31-CE31-CH31-CJ31</f>
        <v>0</v>
      </c>
      <c r="CL31" s="84" t="n">
        <f aca="false">CE31+CH31+(1-$F31)*CK31</f>
        <v>0</v>
      </c>
      <c r="CM31" s="84" t="n">
        <f aca="false">CJ31+$F31*CK31</f>
        <v>0</v>
      </c>
      <c r="CN31" s="84" t="n">
        <f aca="false">BX31+CH31+(1-$F31)*CK31</f>
        <v>0</v>
      </c>
      <c r="CO31" s="84" t="n">
        <f aca="false">BY31+CM31</f>
        <v>0</v>
      </c>
      <c r="CP31" s="133" t="n">
        <f aca="false">CC31+$D31*Inputs!$F$13-$D31*$E31</f>
        <v>17171.7</v>
      </c>
      <c r="CQ31" s="84" t="n">
        <f aca="false">CP31*(1+$I31)</f>
        <v>18888.87</v>
      </c>
      <c r="CR31" s="133" t="n">
        <f aca="false">CQ31*Inputs!$F$14</f>
        <v>0</v>
      </c>
      <c r="CS31" s="84" t="n">
        <f aca="false">CQ31-CR31</f>
        <v>18888.87</v>
      </c>
      <c r="CT31" s="133" t="n">
        <f aca="false">CF31+$D31*Inputs!$F$13</f>
        <v>16000</v>
      </c>
      <c r="CU31" s="84" t="n">
        <f aca="false">MIN(CR31,CT31)</f>
        <v>0</v>
      </c>
      <c r="CV31" s="84" t="n">
        <f aca="false">CT31-CU31</f>
        <v>16000</v>
      </c>
      <c r="CW31" s="84" t="n">
        <f aca="false">CI31+$G31*(CT31+CI31)</f>
        <v>0</v>
      </c>
      <c r="CX31" s="84" t="n">
        <f aca="false">MIN(CR31-CU31,CW31)</f>
        <v>0</v>
      </c>
      <c r="CY31" s="84" t="n">
        <f aca="false">CW31-CX31</f>
        <v>0</v>
      </c>
      <c r="CZ31" s="84" t="n">
        <f aca="false">IF($H31=1,MIN(CR31-CU31-CX31,MAX(0,$F31/(1-$F31)*(CN31+CX31)-CO31)),0)</f>
        <v>0</v>
      </c>
      <c r="DA31" s="84" t="n">
        <f aca="false">CR31-CU31-CX31-CZ31</f>
        <v>0</v>
      </c>
      <c r="DB31" s="84" t="n">
        <f aca="false">CU31+CX31+(1-$F31)*DA31</f>
        <v>0</v>
      </c>
      <c r="DC31" s="84" t="n">
        <f aca="false">CZ31+$F31*DA31</f>
        <v>0</v>
      </c>
      <c r="DD31" s="84" t="n">
        <f aca="false">CN31+CX31+(1-$F31)*DA31</f>
        <v>0</v>
      </c>
      <c r="DE31" s="84" t="n">
        <f aca="false">CO31+DC31</f>
        <v>0</v>
      </c>
      <c r="DF31" s="133" t="n">
        <f aca="false">CS31+$D31*Inputs!$G$13-$D31*$E31</f>
        <v>22588.87</v>
      </c>
      <c r="DG31" s="84" t="n">
        <f aca="false">DF31*(1+$I31)</f>
        <v>24847.757</v>
      </c>
      <c r="DH31" s="133" t="n">
        <f aca="false">DG31*Inputs!$G$14</f>
        <v>4969.5514</v>
      </c>
      <c r="DI31" s="84" t="n">
        <f aca="false">DG31-DH31</f>
        <v>19878.2056</v>
      </c>
      <c r="DJ31" s="133" t="n">
        <f aca="false">CV31+$D31*Inputs!$G$13</f>
        <v>20000</v>
      </c>
      <c r="DK31" s="84" t="n">
        <f aca="false">MIN(DH31,DJ31)</f>
        <v>4969.5514</v>
      </c>
      <c r="DL31" s="84" t="n">
        <f aca="false">DJ31-DK31</f>
        <v>15030.4486</v>
      </c>
      <c r="DM31" s="84" t="n">
        <f aca="false">CY31+$G31*(DJ31+CY31)</f>
        <v>0</v>
      </c>
      <c r="DN31" s="84" t="n">
        <f aca="false">MIN(DH31-DK31,DM31)</f>
        <v>0</v>
      </c>
      <c r="DO31" s="84" t="n">
        <f aca="false">DM31-DN31</f>
        <v>0</v>
      </c>
      <c r="DP31" s="84" t="n">
        <f aca="false">IF($H31=1,MIN(DH31-DK31-DN31,MAX(0,$F31/(1-$F31)*(DD31+DN31)-DE31)),0)</f>
        <v>0</v>
      </c>
      <c r="DQ31" s="84" t="n">
        <f aca="false">DH31-DK31-DN31-DP31</f>
        <v>0</v>
      </c>
      <c r="DR31" s="84" t="n">
        <f aca="false">DK31+DN31+(1-$F31)*DQ31</f>
        <v>4969.5514</v>
      </c>
      <c r="DS31" s="84" t="n">
        <f aca="false">DP31+$F31*DQ31</f>
        <v>0</v>
      </c>
      <c r="DT31" s="84" t="n">
        <f aca="false">DD31+DN31+(1-$F31)*DQ31</f>
        <v>0</v>
      </c>
      <c r="DU31" s="84" t="n">
        <f aca="false">DE31+DS31</f>
        <v>0</v>
      </c>
      <c r="DV31" s="133" t="n">
        <f aca="false">DI31+$D31*Inputs!$H$13-$D31*$E31</f>
        <v>19578.2056</v>
      </c>
      <c r="DW31" s="84" t="n">
        <f aca="false">DV31*(1+$I31)</f>
        <v>21536.02616</v>
      </c>
      <c r="DX31" s="133" t="n">
        <f aca="false">DW31*Inputs!$H$14</f>
        <v>4307.205232</v>
      </c>
      <c r="DY31" s="84" t="n">
        <f aca="false">DW31-DX31</f>
        <v>17228.820928</v>
      </c>
      <c r="DZ31" s="133" t="n">
        <f aca="false">DL31+$D31*Inputs!$H$13</f>
        <v>15030.4486</v>
      </c>
      <c r="EA31" s="84" t="n">
        <f aca="false">MIN(DX31,DZ31)</f>
        <v>4307.205232</v>
      </c>
      <c r="EB31" s="84" t="n">
        <f aca="false">DZ31-EA31</f>
        <v>10723.243368</v>
      </c>
      <c r="EC31" s="84" t="n">
        <f aca="false">DO31+$G31*(DZ31+DO31)</f>
        <v>0</v>
      </c>
      <c r="ED31" s="84" t="n">
        <f aca="false">MIN(DX31-EA31,EC31)</f>
        <v>0</v>
      </c>
      <c r="EE31" s="84" t="n">
        <f aca="false">EC31-ED31</f>
        <v>0</v>
      </c>
      <c r="EF31" s="84" t="n">
        <f aca="false">IF($H31=1,MIN(DX31-EA31-ED31,MAX(0,$F31/(1-$F31)*(DT31+ED31)-DU31)),0)</f>
        <v>0</v>
      </c>
      <c r="EG31" s="84" t="n">
        <f aca="false">DX31-EA31-ED31-EF31</f>
        <v>0</v>
      </c>
      <c r="EH31" s="84" t="n">
        <f aca="false">EA31+ED31+(1-$F31)*EG31</f>
        <v>4307.205232</v>
      </c>
      <c r="EI31" s="84" t="n">
        <f aca="false">EF31+$F31*EG31</f>
        <v>0</v>
      </c>
      <c r="EJ31" s="84" t="n">
        <f aca="false">DT31+ED31+(1-$F31)*EG31</f>
        <v>0</v>
      </c>
      <c r="EK31" s="84" t="n">
        <f aca="false">DU31+EI31</f>
        <v>0</v>
      </c>
      <c r="EL31" s="133" t="n">
        <f aca="false">DY31+$D31*Inputs!$I$13-$D31*$E31</f>
        <v>16928.820928</v>
      </c>
      <c r="EM31" s="84" t="n">
        <f aca="false">EL31*(1+$I31)</f>
        <v>18621.7030208</v>
      </c>
      <c r="EN31" s="133" t="n">
        <f aca="false">EM31*Inputs!$I$14</f>
        <v>3724.34060416</v>
      </c>
      <c r="EO31" s="84" t="n">
        <f aca="false">EM31-EN31</f>
        <v>14897.36241664</v>
      </c>
      <c r="EP31" s="133" t="n">
        <f aca="false">EB31+$D31*Inputs!$I$13</f>
        <v>10723.243368</v>
      </c>
      <c r="EQ31" s="84" t="n">
        <f aca="false">MIN(EN31,EP31)</f>
        <v>3724.34060416</v>
      </c>
      <c r="ER31" s="84" t="n">
        <f aca="false">EP31-EQ31</f>
        <v>6998.90276384</v>
      </c>
      <c r="ES31" s="84" t="n">
        <f aca="false">EE31+$G31*(EP31+EE31)</f>
        <v>0</v>
      </c>
      <c r="ET31" s="84" t="n">
        <f aca="false">MIN(EN31-EQ31,ES31)</f>
        <v>0</v>
      </c>
      <c r="EU31" s="84" t="n">
        <f aca="false">ES31-ET31</f>
        <v>0</v>
      </c>
      <c r="EV31" s="84" t="n">
        <f aca="false">IF($H31=1,MIN(EN31-EQ31-ET31,MAX(0,$F31/(1-$F31)*(EJ31+ET31)-EK31)),0)</f>
        <v>0</v>
      </c>
      <c r="EW31" s="84" t="n">
        <f aca="false">EN31-EQ31-ET31-EV31</f>
        <v>0</v>
      </c>
      <c r="EX31" s="84" t="n">
        <f aca="false">EQ31+ET31+(1-$F31)*EW31</f>
        <v>3724.34060416</v>
      </c>
      <c r="EY31" s="84" t="n">
        <f aca="false">EV31+$F31*EW31</f>
        <v>0</v>
      </c>
      <c r="EZ31" s="84" t="n">
        <f aca="false">EJ31+ET31+(1-$F31)*EW31</f>
        <v>0</v>
      </c>
      <c r="FA31" s="84" t="n">
        <f aca="false">EK31+EY31</f>
        <v>0</v>
      </c>
      <c r="FB31" s="133" t="n">
        <f aca="false">EO31+$D31*Inputs!$J$13-$D31*$E31</f>
        <v>14597.36241664</v>
      </c>
      <c r="FC31" s="84" t="n">
        <f aca="false">FB31*(1+$I31)</f>
        <v>16057.098658304</v>
      </c>
      <c r="FD31" s="133" t="n">
        <f aca="false">FC31*Inputs!$J$14</f>
        <v>3211.4197316608</v>
      </c>
      <c r="FE31" s="84" t="n">
        <f aca="false">FC31-FD31</f>
        <v>12845.6789266432</v>
      </c>
      <c r="FF31" s="133" t="n">
        <f aca="false">ER31+$D31*Inputs!$J$13</f>
        <v>6998.90276384</v>
      </c>
      <c r="FG31" s="84" t="n">
        <f aca="false">MIN(FD31,FF31)</f>
        <v>3211.4197316608</v>
      </c>
      <c r="FH31" s="84" t="n">
        <f aca="false">FF31-FG31</f>
        <v>3787.48303217919</v>
      </c>
      <c r="FI31" s="84" t="n">
        <f aca="false">EU31+$G31*(FF31+EU31)</f>
        <v>0</v>
      </c>
      <c r="FJ31" s="84" t="n">
        <f aca="false">MIN(FD31-FG31,FI31)</f>
        <v>0</v>
      </c>
      <c r="FK31" s="84" t="n">
        <f aca="false">FI31-FJ31</f>
        <v>0</v>
      </c>
      <c r="FL31" s="84" t="n">
        <f aca="false">IF($H31=1,MIN(FD31-FG31-FJ31,MAX(0,$F31/(1-$F31)*(EZ31+FJ31)-FA31)),0)</f>
        <v>0</v>
      </c>
      <c r="FM31" s="84" t="n">
        <f aca="false">FD31-FG31-FJ31-FL31</f>
        <v>0</v>
      </c>
      <c r="FN31" s="84" t="n">
        <f aca="false">FG31+FJ31+(1-$F31)*FM31</f>
        <v>3211.4197316608</v>
      </c>
      <c r="FO31" s="84" t="n">
        <f aca="false">FL31+$F31*FM31</f>
        <v>0</v>
      </c>
      <c r="FP31" s="84" t="n">
        <f aca="false">EZ31+FJ31+(1-$F31)*FM31</f>
        <v>0</v>
      </c>
      <c r="FQ31" s="84" t="n">
        <f aca="false">FA31+FO31</f>
        <v>0</v>
      </c>
      <c r="FR31" s="133" t="n">
        <f aca="false">FE31+$D31*Inputs!$K$13-$D31*$E31</f>
        <v>12545.6789266432</v>
      </c>
      <c r="FS31" s="84" t="n">
        <f aca="false">FR31*(1+$I31)</f>
        <v>13800.2468193075</v>
      </c>
      <c r="FT31" s="133" t="n">
        <f aca="false">FS31*Inputs!$K$14</f>
        <v>2760.04936386151</v>
      </c>
      <c r="FU31" s="84" t="n">
        <f aca="false">FS31-FT31</f>
        <v>11040.197455446</v>
      </c>
      <c r="FV31" s="133" t="n">
        <f aca="false">FH31+$D31*Inputs!$K$13</f>
        <v>3787.48303217919</v>
      </c>
      <c r="FW31" s="84" t="n">
        <f aca="false">MIN(FT31,FV31)</f>
        <v>2760.04936386151</v>
      </c>
      <c r="FX31" s="84" t="n">
        <f aca="false">FV31-FW31</f>
        <v>1027.43366831769</v>
      </c>
      <c r="FY31" s="84" t="n">
        <f aca="false">FK31+$G31*(FV31+FK31)</f>
        <v>0</v>
      </c>
      <c r="FZ31" s="84" t="n">
        <f aca="false">MIN(FT31-FW31,FY31)</f>
        <v>0</v>
      </c>
      <c r="GA31" s="84" t="n">
        <f aca="false">FY31-FZ31</f>
        <v>0</v>
      </c>
      <c r="GB31" s="84" t="n">
        <f aca="false">IF($H31=1,MIN(FT31-FW31-FZ31,MAX(0,$F31/(1-$F31)*(FP31+FZ31)-FQ31)),0)</f>
        <v>0</v>
      </c>
      <c r="GC31" s="84" t="n">
        <f aca="false">FT31-FW31-FZ31-GB31</f>
        <v>0</v>
      </c>
      <c r="GD31" s="84" t="n">
        <f aca="false">FW31+FZ31+(1-$F31)*GC31</f>
        <v>2760.04936386151</v>
      </c>
      <c r="GE31" s="84" t="n">
        <f aca="false">GB31+$F31*GC31</f>
        <v>0</v>
      </c>
      <c r="GF31" s="84" t="n">
        <f aca="false">FP31+FZ31+(1-$F31)*GC31</f>
        <v>0</v>
      </c>
      <c r="GG31" s="84" t="n">
        <f aca="false">FQ31+GE31</f>
        <v>0</v>
      </c>
      <c r="GH31" s="133" t="n">
        <f aca="false">FU31+$D31*Inputs!$L$13-$D31*$E31</f>
        <v>10740.197455446</v>
      </c>
      <c r="GI31" s="84" t="n">
        <f aca="false">GH31*(1+$I31)</f>
        <v>11814.2172009906</v>
      </c>
      <c r="GJ31" s="133" t="n">
        <f aca="false">GI31*Inputs!$L$14</f>
        <v>11814.2172009906</v>
      </c>
      <c r="GK31" s="84" t="n">
        <f aca="false">GI31-GJ31</f>
        <v>0</v>
      </c>
      <c r="GL31" s="133" t="n">
        <f aca="false">FX31+$D31*Inputs!$L$13</f>
        <v>1027.43366831769</v>
      </c>
      <c r="GM31" s="84" t="n">
        <f aca="false">MIN(GJ31,GL31)</f>
        <v>1027.43366831769</v>
      </c>
      <c r="GN31" s="84" t="n">
        <f aca="false">GL31-GM31</f>
        <v>0</v>
      </c>
      <c r="GO31" s="84" t="n">
        <f aca="false">GA31+$G31*(GL31+GA31)</f>
        <v>0</v>
      </c>
      <c r="GP31" s="84" t="n">
        <f aca="false">MIN(GJ31-GM31,GO31)</f>
        <v>0</v>
      </c>
      <c r="GQ31" s="84" t="n">
        <f aca="false">GO31-GP31</f>
        <v>0</v>
      </c>
      <c r="GR31" s="84" t="n">
        <f aca="false">IF($H31=1,MIN(GJ31-GM31-GP31,MAX(0,$F31/(1-$F31)*(GF31+GP31)-GG31)),0)</f>
        <v>0</v>
      </c>
      <c r="GS31" s="84" t="n">
        <f aca="false">GJ31-GM31-GP31-GR31</f>
        <v>10786.7835326729</v>
      </c>
      <c r="GT31" s="84" t="n">
        <f aca="false">GM31+GP31+(1-$F31)*GS31</f>
        <v>9656.86049445604</v>
      </c>
      <c r="GU31" s="84" t="n">
        <f aca="false">GR31+$F31*GS31</f>
        <v>2157.35670653459</v>
      </c>
      <c r="GV31" s="84" t="n">
        <f aca="false">GF31+GP31+(1-$F31)*GS31</f>
        <v>8629.42682613835</v>
      </c>
      <c r="GW31" s="84" t="n">
        <f aca="false">GG31+GU31</f>
        <v>2157.35670653459</v>
      </c>
    </row>
    <row r="32" customFormat="false" ht="15" hidden="false" customHeight="false" outlineLevel="0" collapsed="false">
      <c r="A32" s="5" t="s">
        <v>635</v>
      </c>
      <c r="B32" s="5" t="s">
        <v>636</v>
      </c>
      <c r="C32" s="135" t="n">
        <v>11</v>
      </c>
      <c r="D32" s="47" t="n">
        <f aca="false">Inputs!$C$6</f>
        <v>20000</v>
      </c>
      <c r="E32" s="35" t="n">
        <f aca="false">Inputs!$C$18</f>
        <v>0.015</v>
      </c>
      <c r="F32" s="36" t="n">
        <f aca="false">Inputs!$C$20</f>
        <v>0.2</v>
      </c>
      <c r="G32" s="30" t="n">
        <v>0</v>
      </c>
      <c r="H32" s="27" t="n">
        <v>0</v>
      </c>
      <c r="I32" s="132" t="n">
        <f aca="false">Inputs!$C$38+$C32*Inputs!$C$39</f>
        <v>0.11</v>
      </c>
      <c r="J32" s="36" t="n">
        <f aca="false">Inputs!$C$9</f>
        <v>0.15</v>
      </c>
      <c r="K32" s="89" t="n">
        <f aca="false">IRR(W32:AG32,0.1)</f>
        <v>0.0733823151849494</v>
      </c>
      <c r="L32" s="45" t="n">
        <f aca="false">W32+NPV($J32,X32:AG32)</f>
        <v>-4982.93509740619</v>
      </c>
      <c r="M32" s="45" t="n">
        <f aca="false">SUM(BF32,BV32,CL32,DB32,DR32,EH32,EX32,FN32,GD32,GT32)</f>
        <v>30120.5278503752</v>
      </c>
      <c r="N32" s="43" t="n">
        <f aca="false">IF($D32*SUM(Inputs!$C$13:$L$13)=0,0,M32/($D32*SUM(Inputs!$C$13:$L$13)))</f>
        <v>1.50602639251876</v>
      </c>
      <c r="O32" s="42" t="n">
        <f aca="false">$D32*$E32*COLUMNS(Inputs!$C$13:$L$13)</f>
        <v>3000</v>
      </c>
      <c r="P32" s="45" t="n">
        <f aca="false">SUM(BG32,BW32,CM32,DC32,DS32,EI32,EY32,FO32,GE32,GU32)</f>
        <v>2530.13196259379</v>
      </c>
      <c r="Q32" s="42" t="n">
        <f aca="false">PV($J32,COLUMNS(Inputs!$C$13:$L$13),-$D32*$E32,0,1)</f>
        <v>1731.47517591971</v>
      </c>
      <c r="R32" s="45" t="n">
        <f aca="false">NPV($J32,BG32,BW32,CM32,DC32,DS32,EI32,EY32,FO32,GE32,GU32)</f>
        <v>625.409925623286</v>
      </c>
      <c r="S32" s="45" t="n">
        <f aca="false">Q32+R32</f>
        <v>2356.88510154299</v>
      </c>
      <c r="T32" s="32" t="n">
        <f aca="false">IF(S32=0,0,Q32/S32)</f>
        <v>0.734645560271969</v>
      </c>
      <c r="U32" s="45" t="n">
        <f aca="false">ROUND(ABS(GK32)+ABS(SUM(AV32,BL32,CB32,CR32,DH32,DX32,EN32,FD32,FT32,GJ32)-M32-P32)+ABS(S32-(AH32+NPV($J32,AI32:AR32))),6)</f>
        <v>0</v>
      </c>
      <c r="W32" s="133" t="n">
        <f aca="false">-$D32*Inputs!$C$13</f>
        <v>-4000</v>
      </c>
      <c r="X32" s="133" t="n">
        <f aca="false">BF32-$D32*Inputs!$D$13</f>
        <v>-4000</v>
      </c>
      <c r="Y32" s="133" t="n">
        <f aca="false">BV32-$D32*Inputs!$E$13</f>
        <v>-4000</v>
      </c>
      <c r="Z32" s="133" t="n">
        <f aca="false">CL32-$D32*Inputs!$F$13</f>
        <v>-4000</v>
      </c>
      <c r="AA32" s="133" t="n">
        <f aca="false">DB32-$D32*Inputs!$G$13</f>
        <v>-4000</v>
      </c>
      <c r="AB32" s="133" t="n">
        <f aca="false">DR32-$D32*Inputs!$H$13</f>
        <v>5115.516078174</v>
      </c>
      <c r="AC32" s="133" t="n">
        <f aca="false">EH32-$D32*Inputs!$I$13</f>
        <v>4475.97827741851</v>
      </c>
      <c r="AD32" s="133" t="n">
        <f aca="false">EX32-$D32*Inputs!$J$13</f>
        <v>3908.06871034764</v>
      </c>
      <c r="AE32" s="133" t="n">
        <f aca="false">FN32-$D32*Inputs!$K$13</f>
        <v>3403.76501478871</v>
      </c>
      <c r="AF32" s="133" t="n">
        <f aca="false">GD32-$D32*Inputs!$L$13</f>
        <v>2955.94333313237</v>
      </c>
      <c r="AG32" s="84" t="n">
        <f aca="false">GT32</f>
        <v>10261.2564365139</v>
      </c>
      <c r="AH32" s="84" t="n">
        <f aca="false">$D32*$E32</f>
        <v>300</v>
      </c>
      <c r="AI32" s="84" t="n">
        <f aca="false">BG32+$D32*$E32</f>
        <v>300</v>
      </c>
      <c r="AJ32" s="84" t="n">
        <f aca="false">BW32+$D32*$E32</f>
        <v>300</v>
      </c>
      <c r="AK32" s="84" t="n">
        <f aca="false">CM32+$D32*$E32</f>
        <v>300</v>
      </c>
      <c r="AL32" s="84" t="n">
        <f aca="false">DC32+$D32*$E32</f>
        <v>300</v>
      </c>
      <c r="AM32" s="84" t="n">
        <f aca="false">DS32+$D32*$E32</f>
        <v>300</v>
      </c>
      <c r="AN32" s="84" t="n">
        <f aca="false">EI32+$D32*$E32</f>
        <v>300</v>
      </c>
      <c r="AO32" s="84" t="n">
        <f aca="false">EY32+$D32*$E32</f>
        <v>300</v>
      </c>
      <c r="AP32" s="84" t="n">
        <f aca="false">FO32+$D32*$E32</f>
        <v>300</v>
      </c>
      <c r="AQ32" s="84" t="n">
        <f aca="false">GE32+$D32*$E32</f>
        <v>300</v>
      </c>
      <c r="AR32" s="84" t="n">
        <f aca="false">GU32</f>
        <v>2530.13196259379</v>
      </c>
      <c r="AT32" s="133" t="n">
        <f aca="false">$D32*Inputs!$C$13-$D32*$E32</f>
        <v>3700</v>
      </c>
      <c r="AU32" s="84" t="n">
        <f aca="false">AT32*(1+$I32)</f>
        <v>4107</v>
      </c>
      <c r="AV32" s="133" t="n">
        <f aca="false">AU32*Inputs!$C$14</f>
        <v>0</v>
      </c>
      <c r="AW32" s="84" t="n">
        <f aca="false">AU32-AV32</f>
        <v>4107</v>
      </c>
      <c r="AX32" s="133" t="n">
        <f aca="false">$D32*Inputs!$C$13</f>
        <v>4000</v>
      </c>
      <c r="AY32" s="84" t="n">
        <f aca="false">MIN(AV32,AX32)</f>
        <v>0</v>
      </c>
      <c r="AZ32" s="84" t="n">
        <f aca="false">AX32-AY32</f>
        <v>4000</v>
      </c>
      <c r="BA32" s="84" t="n">
        <f aca="false">$G32*AX32</f>
        <v>0</v>
      </c>
      <c r="BB32" s="84" t="n">
        <f aca="false">MIN(AV32-AY32,BA32)</f>
        <v>0</v>
      </c>
      <c r="BC32" s="84" t="n">
        <f aca="false">BA32-BB32</f>
        <v>0</v>
      </c>
      <c r="BD32" s="84" t="n">
        <f aca="false">IF($H32=1,MIN(AV32-AY32-BB32,MAX(0,$F32/(1-$F32)*BB32)),0)</f>
        <v>0</v>
      </c>
      <c r="BE32" s="84" t="n">
        <f aca="false">AV32-AY32-BB32-BD32</f>
        <v>0</v>
      </c>
      <c r="BF32" s="84" t="n">
        <f aca="false">AY32+BB32+(1-$F32)*BE32</f>
        <v>0</v>
      </c>
      <c r="BG32" s="84" t="n">
        <f aca="false">BD32+$F32*BE32</f>
        <v>0</v>
      </c>
      <c r="BH32" s="84" t="n">
        <f aca="false">BB32+(1-$F32)*BE32</f>
        <v>0</v>
      </c>
      <c r="BI32" s="84" t="n">
        <f aca="false">BG32</f>
        <v>0</v>
      </c>
      <c r="BJ32" s="133" t="n">
        <f aca="false">AW32+$D32*Inputs!$D$13-$D32*$E32</f>
        <v>7807</v>
      </c>
      <c r="BK32" s="84" t="n">
        <f aca="false">BJ32*(1+$I32)</f>
        <v>8665.77</v>
      </c>
      <c r="BL32" s="133" t="n">
        <f aca="false">BK32*Inputs!$D$14</f>
        <v>0</v>
      </c>
      <c r="BM32" s="84" t="n">
        <f aca="false">BK32-BL32</f>
        <v>8665.77</v>
      </c>
      <c r="BN32" s="133" t="n">
        <f aca="false">AZ32+$D32*Inputs!$D$13</f>
        <v>8000</v>
      </c>
      <c r="BO32" s="84" t="n">
        <f aca="false">MIN(BL32,BN32)</f>
        <v>0</v>
      </c>
      <c r="BP32" s="84" t="n">
        <f aca="false">BN32-BO32</f>
        <v>8000</v>
      </c>
      <c r="BQ32" s="84" t="n">
        <f aca="false">BC32+$G32*(BN32+BC32)</f>
        <v>0</v>
      </c>
      <c r="BR32" s="84" t="n">
        <f aca="false">MIN(BL32-BO32,BQ32)</f>
        <v>0</v>
      </c>
      <c r="BS32" s="84" t="n">
        <f aca="false">BQ32-BR32</f>
        <v>0</v>
      </c>
      <c r="BT32" s="84" t="n">
        <f aca="false">IF($H32=1,MIN(BL32-BO32-BR32,MAX(0,$F32/(1-$F32)*(BH32+BR32)-BI32)),0)</f>
        <v>0</v>
      </c>
      <c r="BU32" s="84" t="n">
        <f aca="false">BL32-BO32-BR32-BT32</f>
        <v>0</v>
      </c>
      <c r="BV32" s="84" t="n">
        <f aca="false">BO32+BR32+(1-$F32)*BU32</f>
        <v>0</v>
      </c>
      <c r="BW32" s="84" t="n">
        <f aca="false">BT32+$F32*BU32</f>
        <v>0</v>
      </c>
      <c r="BX32" s="84" t="n">
        <f aca="false">BH32+BR32+(1-$F32)*BU32</f>
        <v>0</v>
      </c>
      <c r="BY32" s="84" t="n">
        <f aca="false">BI32+BW32</f>
        <v>0</v>
      </c>
      <c r="BZ32" s="133" t="n">
        <f aca="false">BM32+$D32*Inputs!$E$13-$D32*$E32</f>
        <v>12365.77</v>
      </c>
      <c r="CA32" s="84" t="n">
        <f aca="false">BZ32*(1+$I32)</f>
        <v>13726.0047</v>
      </c>
      <c r="CB32" s="133" t="n">
        <f aca="false">CA32*Inputs!$E$14</f>
        <v>0</v>
      </c>
      <c r="CC32" s="84" t="n">
        <f aca="false">CA32-CB32</f>
        <v>13726.0047</v>
      </c>
      <c r="CD32" s="133" t="n">
        <f aca="false">BP32+$D32*Inputs!$E$13</f>
        <v>12000</v>
      </c>
      <c r="CE32" s="84" t="n">
        <f aca="false">MIN(CB32,CD32)</f>
        <v>0</v>
      </c>
      <c r="CF32" s="84" t="n">
        <f aca="false">CD32-CE32</f>
        <v>12000</v>
      </c>
      <c r="CG32" s="84" t="n">
        <f aca="false">BS32+$G32*(CD32+BS32)</f>
        <v>0</v>
      </c>
      <c r="CH32" s="84" t="n">
        <f aca="false">MIN(CB32-CE32,CG32)</f>
        <v>0</v>
      </c>
      <c r="CI32" s="84" t="n">
        <f aca="false">CG32-CH32</f>
        <v>0</v>
      </c>
      <c r="CJ32" s="84" t="n">
        <f aca="false">IF($H32=1,MIN(CB32-CE32-CH32,MAX(0,$F32/(1-$F32)*(BX32+CH32)-BY32)),0)</f>
        <v>0</v>
      </c>
      <c r="CK32" s="84" t="n">
        <f aca="false">CB32-CE32-CH32-CJ32</f>
        <v>0</v>
      </c>
      <c r="CL32" s="84" t="n">
        <f aca="false">CE32+CH32+(1-$F32)*CK32</f>
        <v>0</v>
      </c>
      <c r="CM32" s="84" t="n">
        <f aca="false">CJ32+$F32*CK32</f>
        <v>0</v>
      </c>
      <c r="CN32" s="84" t="n">
        <f aca="false">BX32+CH32+(1-$F32)*CK32</f>
        <v>0</v>
      </c>
      <c r="CO32" s="84" t="n">
        <f aca="false">BY32+CM32</f>
        <v>0</v>
      </c>
      <c r="CP32" s="133" t="n">
        <f aca="false">CC32+$D32*Inputs!$F$13-$D32*$E32</f>
        <v>17426.0047</v>
      </c>
      <c r="CQ32" s="84" t="n">
        <f aca="false">CP32*(1+$I32)</f>
        <v>19342.865217</v>
      </c>
      <c r="CR32" s="133" t="n">
        <f aca="false">CQ32*Inputs!$F$14</f>
        <v>0</v>
      </c>
      <c r="CS32" s="84" t="n">
        <f aca="false">CQ32-CR32</f>
        <v>19342.865217</v>
      </c>
      <c r="CT32" s="133" t="n">
        <f aca="false">CF32+$D32*Inputs!$F$13</f>
        <v>16000</v>
      </c>
      <c r="CU32" s="84" t="n">
        <f aca="false">MIN(CR32,CT32)</f>
        <v>0</v>
      </c>
      <c r="CV32" s="84" t="n">
        <f aca="false">CT32-CU32</f>
        <v>16000</v>
      </c>
      <c r="CW32" s="84" t="n">
        <f aca="false">CI32+$G32*(CT32+CI32)</f>
        <v>0</v>
      </c>
      <c r="CX32" s="84" t="n">
        <f aca="false">MIN(CR32-CU32,CW32)</f>
        <v>0</v>
      </c>
      <c r="CY32" s="84" t="n">
        <f aca="false">CW32-CX32</f>
        <v>0</v>
      </c>
      <c r="CZ32" s="84" t="n">
        <f aca="false">IF($H32=1,MIN(CR32-CU32-CX32,MAX(0,$F32/(1-$F32)*(CN32+CX32)-CO32)),0)</f>
        <v>0</v>
      </c>
      <c r="DA32" s="84" t="n">
        <f aca="false">CR32-CU32-CX32-CZ32</f>
        <v>0</v>
      </c>
      <c r="DB32" s="84" t="n">
        <f aca="false">CU32+CX32+(1-$F32)*DA32</f>
        <v>0</v>
      </c>
      <c r="DC32" s="84" t="n">
        <f aca="false">CZ32+$F32*DA32</f>
        <v>0</v>
      </c>
      <c r="DD32" s="84" t="n">
        <f aca="false">CN32+CX32+(1-$F32)*DA32</f>
        <v>0</v>
      </c>
      <c r="DE32" s="84" t="n">
        <f aca="false">CO32+DC32</f>
        <v>0</v>
      </c>
      <c r="DF32" s="133" t="n">
        <f aca="false">CS32+$D32*Inputs!$G$13-$D32*$E32</f>
        <v>23042.865217</v>
      </c>
      <c r="DG32" s="84" t="n">
        <f aca="false">DF32*(1+$I32)</f>
        <v>25577.58039087</v>
      </c>
      <c r="DH32" s="133" t="n">
        <f aca="false">DG32*Inputs!$G$14</f>
        <v>5115.516078174</v>
      </c>
      <c r="DI32" s="84" t="n">
        <f aca="false">DG32-DH32</f>
        <v>20462.064312696</v>
      </c>
      <c r="DJ32" s="133" t="n">
        <f aca="false">CV32+$D32*Inputs!$G$13</f>
        <v>20000</v>
      </c>
      <c r="DK32" s="84" t="n">
        <f aca="false">MIN(DH32,DJ32)</f>
        <v>5115.516078174</v>
      </c>
      <c r="DL32" s="84" t="n">
        <f aca="false">DJ32-DK32</f>
        <v>14884.483921826</v>
      </c>
      <c r="DM32" s="84" t="n">
        <f aca="false">CY32+$G32*(DJ32+CY32)</f>
        <v>0</v>
      </c>
      <c r="DN32" s="84" t="n">
        <f aca="false">MIN(DH32-DK32,DM32)</f>
        <v>0</v>
      </c>
      <c r="DO32" s="84" t="n">
        <f aca="false">DM32-DN32</f>
        <v>0</v>
      </c>
      <c r="DP32" s="84" t="n">
        <f aca="false">IF($H32=1,MIN(DH32-DK32-DN32,MAX(0,$F32/(1-$F32)*(DD32+DN32)-DE32)),0)</f>
        <v>0</v>
      </c>
      <c r="DQ32" s="84" t="n">
        <f aca="false">DH32-DK32-DN32-DP32</f>
        <v>0</v>
      </c>
      <c r="DR32" s="84" t="n">
        <f aca="false">DK32+DN32+(1-$F32)*DQ32</f>
        <v>5115.516078174</v>
      </c>
      <c r="DS32" s="84" t="n">
        <f aca="false">DP32+$F32*DQ32</f>
        <v>0</v>
      </c>
      <c r="DT32" s="84" t="n">
        <f aca="false">DD32+DN32+(1-$F32)*DQ32</f>
        <v>0</v>
      </c>
      <c r="DU32" s="84" t="n">
        <f aca="false">DE32+DS32</f>
        <v>0</v>
      </c>
      <c r="DV32" s="133" t="n">
        <f aca="false">DI32+$D32*Inputs!$H$13-$D32*$E32</f>
        <v>20162.064312696</v>
      </c>
      <c r="DW32" s="84" t="n">
        <f aca="false">DV32*(1+$I32)</f>
        <v>22379.8913870926</v>
      </c>
      <c r="DX32" s="133" t="n">
        <f aca="false">DW32*Inputs!$H$14</f>
        <v>4475.97827741851</v>
      </c>
      <c r="DY32" s="84" t="n">
        <f aca="false">DW32-DX32</f>
        <v>17903.9131096741</v>
      </c>
      <c r="DZ32" s="133" t="n">
        <f aca="false">DL32+$D32*Inputs!$H$13</f>
        <v>14884.483921826</v>
      </c>
      <c r="EA32" s="84" t="n">
        <f aca="false">MIN(DX32,DZ32)</f>
        <v>4475.97827741851</v>
      </c>
      <c r="EB32" s="84" t="n">
        <f aca="false">DZ32-EA32</f>
        <v>10408.5056444075</v>
      </c>
      <c r="EC32" s="84" t="n">
        <f aca="false">DO32+$G32*(DZ32+DO32)</f>
        <v>0</v>
      </c>
      <c r="ED32" s="84" t="n">
        <f aca="false">MIN(DX32-EA32,EC32)</f>
        <v>0</v>
      </c>
      <c r="EE32" s="84" t="n">
        <f aca="false">EC32-ED32</f>
        <v>0</v>
      </c>
      <c r="EF32" s="84" t="n">
        <f aca="false">IF($H32=1,MIN(DX32-EA32-ED32,MAX(0,$F32/(1-$F32)*(DT32+ED32)-DU32)),0)</f>
        <v>0</v>
      </c>
      <c r="EG32" s="84" t="n">
        <f aca="false">DX32-EA32-ED32-EF32</f>
        <v>0</v>
      </c>
      <c r="EH32" s="84" t="n">
        <f aca="false">EA32+ED32+(1-$F32)*EG32</f>
        <v>4475.97827741851</v>
      </c>
      <c r="EI32" s="84" t="n">
        <f aca="false">EF32+$F32*EG32</f>
        <v>0</v>
      </c>
      <c r="EJ32" s="84" t="n">
        <f aca="false">DT32+ED32+(1-$F32)*EG32</f>
        <v>0</v>
      </c>
      <c r="EK32" s="84" t="n">
        <f aca="false">DU32+EI32</f>
        <v>0</v>
      </c>
      <c r="EL32" s="133" t="n">
        <f aca="false">DY32+$D32*Inputs!$I$13-$D32*$E32</f>
        <v>17603.9131096741</v>
      </c>
      <c r="EM32" s="84" t="n">
        <f aca="false">EL32*(1+$I32)</f>
        <v>19540.3435517382</v>
      </c>
      <c r="EN32" s="133" t="n">
        <f aca="false">EM32*Inputs!$I$14</f>
        <v>3908.06871034764</v>
      </c>
      <c r="EO32" s="84" t="n">
        <f aca="false">EM32-EN32</f>
        <v>15632.2748413906</v>
      </c>
      <c r="EP32" s="133" t="n">
        <f aca="false">EB32+$D32*Inputs!$I$13</f>
        <v>10408.5056444075</v>
      </c>
      <c r="EQ32" s="84" t="n">
        <f aca="false">MIN(EN32,EP32)</f>
        <v>3908.06871034764</v>
      </c>
      <c r="ER32" s="84" t="n">
        <f aca="false">EP32-EQ32</f>
        <v>6500.43693405984</v>
      </c>
      <c r="ES32" s="84" t="n">
        <f aca="false">EE32+$G32*(EP32+EE32)</f>
        <v>0</v>
      </c>
      <c r="ET32" s="84" t="n">
        <f aca="false">MIN(EN32-EQ32,ES32)</f>
        <v>0</v>
      </c>
      <c r="EU32" s="84" t="n">
        <f aca="false">ES32-ET32</f>
        <v>0</v>
      </c>
      <c r="EV32" s="84" t="n">
        <f aca="false">IF($H32=1,MIN(EN32-EQ32-ET32,MAX(0,$F32/(1-$F32)*(EJ32+ET32)-EK32)),0)</f>
        <v>0</v>
      </c>
      <c r="EW32" s="84" t="n">
        <f aca="false">EN32-EQ32-ET32-EV32</f>
        <v>0</v>
      </c>
      <c r="EX32" s="84" t="n">
        <f aca="false">EQ32+ET32+(1-$F32)*EW32</f>
        <v>3908.06871034764</v>
      </c>
      <c r="EY32" s="84" t="n">
        <f aca="false">EV32+$F32*EW32</f>
        <v>0</v>
      </c>
      <c r="EZ32" s="84" t="n">
        <f aca="false">EJ32+ET32+(1-$F32)*EW32</f>
        <v>0</v>
      </c>
      <c r="FA32" s="84" t="n">
        <f aca="false">EK32+EY32</f>
        <v>0</v>
      </c>
      <c r="FB32" s="133" t="n">
        <f aca="false">EO32+$D32*Inputs!$J$13-$D32*$E32</f>
        <v>15332.2748413906</v>
      </c>
      <c r="FC32" s="84" t="n">
        <f aca="false">FB32*(1+$I32)</f>
        <v>17018.8250739435</v>
      </c>
      <c r="FD32" s="133" t="n">
        <f aca="false">FC32*Inputs!$J$14</f>
        <v>3403.76501478871</v>
      </c>
      <c r="FE32" s="84" t="n">
        <f aca="false">FC32-FD32</f>
        <v>13615.0600591548</v>
      </c>
      <c r="FF32" s="133" t="n">
        <f aca="false">ER32+$D32*Inputs!$J$13</f>
        <v>6500.43693405984</v>
      </c>
      <c r="FG32" s="84" t="n">
        <f aca="false">MIN(FD32,FF32)</f>
        <v>3403.76501478871</v>
      </c>
      <c r="FH32" s="84" t="n">
        <f aca="false">FF32-FG32</f>
        <v>3096.67191927114</v>
      </c>
      <c r="FI32" s="84" t="n">
        <f aca="false">EU32+$G32*(FF32+EU32)</f>
        <v>0</v>
      </c>
      <c r="FJ32" s="84" t="n">
        <f aca="false">MIN(FD32-FG32,FI32)</f>
        <v>0</v>
      </c>
      <c r="FK32" s="84" t="n">
        <f aca="false">FI32-FJ32</f>
        <v>0</v>
      </c>
      <c r="FL32" s="84" t="n">
        <f aca="false">IF($H32=1,MIN(FD32-FG32-FJ32,MAX(0,$F32/(1-$F32)*(EZ32+FJ32)-FA32)),0)</f>
        <v>0</v>
      </c>
      <c r="FM32" s="84" t="n">
        <f aca="false">FD32-FG32-FJ32-FL32</f>
        <v>0</v>
      </c>
      <c r="FN32" s="84" t="n">
        <f aca="false">FG32+FJ32+(1-$F32)*FM32</f>
        <v>3403.76501478871</v>
      </c>
      <c r="FO32" s="84" t="n">
        <f aca="false">FL32+$F32*FM32</f>
        <v>0</v>
      </c>
      <c r="FP32" s="84" t="n">
        <f aca="false">EZ32+FJ32+(1-$F32)*FM32</f>
        <v>0</v>
      </c>
      <c r="FQ32" s="84" t="n">
        <f aca="false">FA32+FO32</f>
        <v>0</v>
      </c>
      <c r="FR32" s="133" t="n">
        <f aca="false">FE32+$D32*Inputs!$K$13-$D32*$E32</f>
        <v>13315.0600591548</v>
      </c>
      <c r="FS32" s="84" t="n">
        <f aca="false">FR32*(1+$I32)</f>
        <v>14779.7166656619</v>
      </c>
      <c r="FT32" s="133" t="n">
        <f aca="false">FS32*Inputs!$K$14</f>
        <v>2955.94333313237</v>
      </c>
      <c r="FU32" s="84" t="n">
        <f aca="false">FS32-FT32</f>
        <v>11823.7733325295</v>
      </c>
      <c r="FV32" s="133" t="n">
        <f aca="false">FH32+$D32*Inputs!$K$13</f>
        <v>3096.67191927114</v>
      </c>
      <c r="FW32" s="84" t="n">
        <f aca="false">MIN(FT32,FV32)</f>
        <v>2955.94333313237</v>
      </c>
      <c r="FX32" s="84" t="n">
        <f aca="false">FV32-FW32</f>
        <v>140.728586138769</v>
      </c>
      <c r="FY32" s="84" t="n">
        <f aca="false">FK32+$G32*(FV32+FK32)</f>
        <v>0</v>
      </c>
      <c r="FZ32" s="84" t="n">
        <f aca="false">MIN(FT32-FW32,FY32)</f>
        <v>0</v>
      </c>
      <c r="GA32" s="84" t="n">
        <f aca="false">FY32-FZ32</f>
        <v>0</v>
      </c>
      <c r="GB32" s="84" t="n">
        <f aca="false">IF($H32=1,MIN(FT32-FW32-FZ32,MAX(0,$F32/(1-$F32)*(FP32+FZ32)-FQ32)),0)</f>
        <v>0</v>
      </c>
      <c r="GC32" s="84" t="n">
        <f aca="false">FT32-FW32-FZ32-GB32</f>
        <v>0</v>
      </c>
      <c r="GD32" s="84" t="n">
        <f aca="false">FW32+FZ32+(1-$F32)*GC32</f>
        <v>2955.94333313237</v>
      </c>
      <c r="GE32" s="84" t="n">
        <f aca="false">GB32+$F32*GC32</f>
        <v>0</v>
      </c>
      <c r="GF32" s="84" t="n">
        <f aca="false">FP32+FZ32+(1-$F32)*GC32</f>
        <v>0</v>
      </c>
      <c r="GG32" s="84" t="n">
        <f aca="false">FQ32+GE32</f>
        <v>0</v>
      </c>
      <c r="GH32" s="133" t="n">
        <f aca="false">FU32+$D32*Inputs!$L$13-$D32*$E32</f>
        <v>11523.7733325295</v>
      </c>
      <c r="GI32" s="84" t="n">
        <f aca="false">GH32*(1+$I32)</f>
        <v>12791.3883991077</v>
      </c>
      <c r="GJ32" s="133" t="n">
        <f aca="false">GI32*Inputs!$L$14</f>
        <v>12791.3883991077</v>
      </c>
      <c r="GK32" s="84" t="n">
        <f aca="false">GI32-GJ32</f>
        <v>0</v>
      </c>
      <c r="GL32" s="133" t="n">
        <f aca="false">FX32+$D32*Inputs!$L$13</f>
        <v>140.728586138769</v>
      </c>
      <c r="GM32" s="84" t="n">
        <f aca="false">MIN(GJ32,GL32)</f>
        <v>140.728586138769</v>
      </c>
      <c r="GN32" s="84" t="n">
        <f aca="false">GL32-GM32</f>
        <v>0</v>
      </c>
      <c r="GO32" s="84" t="n">
        <f aca="false">GA32+$G32*(GL32+GA32)</f>
        <v>0</v>
      </c>
      <c r="GP32" s="84" t="n">
        <f aca="false">MIN(GJ32-GM32,GO32)</f>
        <v>0</v>
      </c>
      <c r="GQ32" s="84" t="n">
        <f aca="false">GO32-GP32</f>
        <v>0</v>
      </c>
      <c r="GR32" s="84" t="n">
        <f aca="false">IF($H32=1,MIN(GJ32-GM32-GP32,MAX(0,$F32/(1-$F32)*(GF32+GP32)-GG32)),0)</f>
        <v>0</v>
      </c>
      <c r="GS32" s="84" t="n">
        <f aca="false">GJ32-GM32-GP32-GR32</f>
        <v>12650.659812969</v>
      </c>
      <c r="GT32" s="84" t="n">
        <f aca="false">GM32+GP32+(1-$F32)*GS32</f>
        <v>10261.2564365139</v>
      </c>
      <c r="GU32" s="84" t="n">
        <f aca="false">GR32+$F32*GS32</f>
        <v>2530.13196259379</v>
      </c>
      <c r="GV32" s="84" t="n">
        <f aca="false">GF32+GP32+(1-$F32)*GS32</f>
        <v>10120.5278503752</v>
      </c>
      <c r="GW32" s="84" t="n">
        <f aca="false">GG32+GU32</f>
        <v>2530.13196259379</v>
      </c>
    </row>
    <row r="33" customFormat="false" ht="15" hidden="false" customHeight="false" outlineLevel="0" collapsed="false">
      <c r="A33" s="5" t="s">
        <v>635</v>
      </c>
      <c r="B33" s="5" t="s">
        <v>636</v>
      </c>
      <c r="C33" s="135" t="n">
        <v>12</v>
      </c>
      <c r="D33" s="47" t="n">
        <f aca="false">Inputs!$C$6</f>
        <v>20000</v>
      </c>
      <c r="E33" s="35" t="n">
        <f aca="false">Inputs!$C$18</f>
        <v>0.015</v>
      </c>
      <c r="F33" s="36" t="n">
        <f aca="false">Inputs!$C$20</f>
        <v>0.2</v>
      </c>
      <c r="G33" s="30" t="n">
        <v>0</v>
      </c>
      <c r="H33" s="27" t="n">
        <v>0</v>
      </c>
      <c r="I33" s="132" t="n">
        <f aca="false">Inputs!$C$38+$C33*Inputs!$C$39</f>
        <v>0.12</v>
      </c>
      <c r="J33" s="36" t="n">
        <f aca="false">Inputs!$C$9</f>
        <v>0.15</v>
      </c>
      <c r="K33" s="89" t="n">
        <f aca="false">IRR(W33:AG33,0.1)</f>
        <v>0.0825791858593733</v>
      </c>
      <c r="L33" s="45" t="n">
        <f aca="false">W33+NPV($J33,X33:AG33)</f>
        <v>-4480.48867305447</v>
      </c>
      <c r="M33" s="45" t="n">
        <f aca="false">SUM(BF33,BV33,CL33,DB33,DR33,EH33,EX33,FN33,GD33,GT33)</f>
        <v>31698.464962433</v>
      </c>
      <c r="N33" s="43" t="n">
        <f aca="false">IF($D33*SUM(Inputs!$C$13:$L$13)=0,0,M33/($D33*SUM(Inputs!$C$13:$L$13)))</f>
        <v>1.58492324812165</v>
      </c>
      <c r="O33" s="42" t="n">
        <f aca="false">$D33*$E33*COLUMNS(Inputs!$C$13:$L$13)</f>
        <v>3000</v>
      </c>
      <c r="P33" s="45" t="n">
        <f aca="false">SUM(BG33,BW33,CM33,DC33,DS33,EI33,EY33,FO33,GE33,GU33)</f>
        <v>2924.61624060826</v>
      </c>
      <c r="Q33" s="42" t="n">
        <f aca="false">PV($J33,COLUMNS(Inputs!$C$13:$L$13),-$D33*$E33,0,1)</f>
        <v>1731.47517591971</v>
      </c>
      <c r="R33" s="45" t="n">
        <f aca="false">NPV($J33,BG33,BW33,CM33,DC33,DS33,EI33,EY33,FO33,GE33,GU33)</f>
        <v>728.742868637482</v>
      </c>
      <c r="S33" s="45" t="n">
        <f aca="false">Q33+R33</f>
        <v>2460.21804455719</v>
      </c>
      <c r="T33" s="32" t="n">
        <f aca="false">IF(S33=0,0,Q33/S33)</f>
        <v>0.703789316459287</v>
      </c>
      <c r="U33" s="45" t="n">
        <f aca="false">ROUND(ABS(GK33)+ABS(SUM(AV33,BL33,CB33,CR33,DH33,DX33,EN33,FD33,FT33,GJ33)-M33-P33)+ABS(S33-(AH33+NPV($J33,AI33:AR33))),6)</f>
        <v>0</v>
      </c>
      <c r="W33" s="133" t="n">
        <f aca="false">-$D33*Inputs!$C$13</f>
        <v>-4000</v>
      </c>
      <c r="X33" s="133" t="n">
        <f aca="false">BF33-$D33*Inputs!$D$13</f>
        <v>-4000</v>
      </c>
      <c r="Y33" s="133" t="n">
        <f aca="false">BV33-$D33*Inputs!$E$13</f>
        <v>-4000</v>
      </c>
      <c r="Z33" s="133" t="n">
        <f aca="false">CL33-$D33*Inputs!$F$13</f>
        <v>-4000</v>
      </c>
      <c r="AA33" s="133" t="n">
        <f aca="false">DB33-$D33*Inputs!$G$13</f>
        <v>-4000</v>
      </c>
      <c r="AB33" s="133" t="n">
        <f aca="false">DR33-$D33*Inputs!$H$13</f>
        <v>5265.239891968</v>
      </c>
      <c r="AC33" s="133" t="n">
        <f aca="false">EH33-$D33*Inputs!$I$13</f>
        <v>4650.45494320333</v>
      </c>
      <c r="AD33" s="133" t="n">
        <f aca="false">EX33-$D33*Inputs!$J$13</f>
        <v>4099.60762911018</v>
      </c>
      <c r="AE33" s="133" t="n">
        <f aca="false">FN33-$D33*Inputs!$K$13</f>
        <v>3606.04843568273</v>
      </c>
      <c r="AF33" s="133" t="n">
        <f aca="false">GD33-$D33*Inputs!$L$13</f>
        <v>3006.78533870453</v>
      </c>
      <c r="AG33" s="84" t="n">
        <f aca="false">GT33</f>
        <v>11070.3287237643</v>
      </c>
      <c r="AH33" s="84" t="n">
        <f aca="false">$D33*$E33</f>
        <v>300</v>
      </c>
      <c r="AI33" s="84" t="n">
        <f aca="false">BG33+$D33*$E33</f>
        <v>300</v>
      </c>
      <c r="AJ33" s="84" t="n">
        <f aca="false">BW33+$D33*$E33</f>
        <v>300</v>
      </c>
      <c r="AK33" s="84" t="n">
        <f aca="false">CM33+$D33*$E33</f>
        <v>300</v>
      </c>
      <c r="AL33" s="84" t="n">
        <f aca="false">DC33+$D33*$E33</f>
        <v>300</v>
      </c>
      <c r="AM33" s="84" t="n">
        <f aca="false">DS33+$D33*$E33</f>
        <v>300</v>
      </c>
      <c r="AN33" s="84" t="n">
        <f aca="false">EI33+$D33*$E33</f>
        <v>300</v>
      </c>
      <c r="AO33" s="84" t="n">
        <f aca="false">EY33+$D33*$E33</f>
        <v>300</v>
      </c>
      <c r="AP33" s="84" t="n">
        <f aca="false">FO33+$D33*$E33</f>
        <v>300</v>
      </c>
      <c r="AQ33" s="84" t="n">
        <f aca="false">GE33+$D33*$E33</f>
        <v>457.034059667193</v>
      </c>
      <c r="AR33" s="84" t="n">
        <f aca="false">GU33</f>
        <v>2767.58218094106</v>
      </c>
      <c r="AT33" s="133" t="n">
        <f aca="false">$D33*Inputs!$C$13-$D33*$E33</f>
        <v>3700</v>
      </c>
      <c r="AU33" s="84" t="n">
        <f aca="false">AT33*(1+$I33)</f>
        <v>4144</v>
      </c>
      <c r="AV33" s="133" t="n">
        <f aca="false">AU33*Inputs!$C$14</f>
        <v>0</v>
      </c>
      <c r="AW33" s="84" t="n">
        <f aca="false">AU33-AV33</f>
        <v>4144</v>
      </c>
      <c r="AX33" s="133" t="n">
        <f aca="false">$D33*Inputs!$C$13</f>
        <v>4000</v>
      </c>
      <c r="AY33" s="84" t="n">
        <f aca="false">MIN(AV33,AX33)</f>
        <v>0</v>
      </c>
      <c r="AZ33" s="84" t="n">
        <f aca="false">AX33-AY33</f>
        <v>4000</v>
      </c>
      <c r="BA33" s="84" t="n">
        <f aca="false">$G33*AX33</f>
        <v>0</v>
      </c>
      <c r="BB33" s="84" t="n">
        <f aca="false">MIN(AV33-AY33,BA33)</f>
        <v>0</v>
      </c>
      <c r="BC33" s="84" t="n">
        <f aca="false">BA33-BB33</f>
        <v>0</v>
      </c>
      <c r="BD33" s="84" t="n">
        <f aca="false">IF($H33=1,MIN(AV33-AY33-BB33,MAX(0,$F33/(1-$F33)*BB33)),0)</f>
        <v>0</v>
      </c>
      <c r="BE33" s="84" t="n">
        <f aca="false">AV33-AY33-BB33-BD33</f>
        <v>0</v>
      </c>
      <c r="BF33" s="84" t="n">
        <f aca="false">AY33+BB33+(1-$F33)*BE33</f>
        <v>0</v>
      </c>
      <c r="BG33" s="84" t="n">
        <f aca="false">BD33+$F33*BE33</f>
        <v>0</v>
      </c>
      <c r="BH33" s="84" t="n">
        <f aca="false">BB33+(1-$F33)*BE33</f>
        <v>0</v>
      </c>
      <c r="BI33" s="84" t="n">
        <f aca="false">BG33</f>
        <v>0</v>
      </c>
      <c r="BJ33" s="133" t="n">
        <f aca="false">AW33+$D33*Inputs!$D$13-$D33*$E33</f>
        <v>7844</v>
      </c>
      <c r="BK33" s="84" t="n">
        <f aca="false">BJ33*(1+$I33)</f>
        <v>8785.28</v>
      </c>
      <c r="BL33" s="133" t="n">
        <f aca="false">BK33*Inputs!$D$14</f>
        <v>0</v>
      </c>
      <c r="BM33" s="84" t="n">
        <f aca="false">BK33-BL33</f>
        <v>8785.28</v>
      </c>
      <c r="BN33" s="133" t="n">
        <f aca="false">AZ33+$D33*Inputs!$D$13</f>
        <v>8000</v>
      </c>
      <c r="BO33" s="84" t="n">
        <f aca="false">MIN(BL33,BN33)</f>
        <v>0</v>
      </c>
      <c r="BP33" s="84" t="n">
        <f aca="false">BN33-BO33</f>
        <v>8000</v>
      </c>
      <c r="BQ33" s="84" t="n">
        <f aca="false">BC33+$G33*(BN33+BC33)</f>
        <v>0</v>
      </c>
      <c r="BR33" s="84" t="n">
        <f aca="false">MIN(BL33-BO33,BQ33)</f>
        <v>0</v>
      </c>
      <c r="BS33" s="84" t="n">
        <f aca="false">BQ33-BR33</f>
        <v>0</v>
      </c>
      <c r="BT33" s="84" t="n">
        <f aca="false">IF($H33=1,MIN(BL33-BO33-BR33,MAX(0,$F33/(1-$F33)*(BH33+BR33)-BI33)),0)</f>
        <v>0</v>
      </c>
      <c r="BU33" s="84" t="n">
        <f aca="false">BL33-BO33-BR33-BT33</f>
        <v>0</v>
      </c>
      <c r="BV33" s="84" t="n">
        <f aca="false">BO33+BR33+(1-$F33)*BU33</f>
        <v>0</v>
      </c>
      <c r="BW33" s="84" t="n">
        <f aca="false">BT33+$F33*BU33</f>
        <v>0</v>
      </c>
      <c r="BX33" s="84" t="n">
        <f aca="false">BH33+BR33+(1-$F33)*BU33</f>
        <v>0</v>
      </c>
      <c r="BY33" s="84" t="n">
        <f aca="false">BI33+BW33</f>
        <v>0</v>
      </c>
      <c r="BZ33" s="133" t="n">
        <f aca="false">BM33+$D33*Inputs!$E$13-$D33*$E33</f>
        <v>12485.28</v>
      </c>
      <c r="CA33" s="84" t="n">
        <f aca="false">BZ33*(1+$I33)</f>
        <v>13983.5136</v>
      </c>
      <c r="CB33" s="133" t="n">
        <f aca="false">CA33*Inputs!$E$14</f>
        <v>0</v>
      </c>
      <c r="CC33" s="84" t="n">
        <f aca="false">CA33-CB33</f>
        <v>13983.5136</v>
      </c>
      <c r="CD33" s="133" t="n">
        <f aca="false">BP33+$D33*Inputs!$E$13</f>
        <v>12000</v>
      </c>
      <c r="CE33" s="84" t="n">
        <f aca="false">MIN(CB33,CD33)</f>
        <v>0</v>
      </c>
      <c r="CF33" s="84" t="n">
        <f aca="false">CD33-CE33</f>
        <v>12000</v>
      </c>
      <c r="CG33" s="84" t="n">
        <f aca="false">BS33+$G33*(CD33+BS33)</f>
        <v>0</v>
      </c>
      <c r="CH33" s="84" t="n">
        <f aca="false">MIN(CB33-CE33,CG33)</f>
        <v>0</v>
      </c>
      <c r="CI33" s="84" t="n">
        <f aca="false">CG33-CH33</f>
        <v>0</v>
      </c>
      <c r="CJ33" s="84" t="n">
        <f aca="false">IF($H33=1,MIN(CB33-CE33-CH33,MAX(0,$F33/(1-$F33)*(BX33+CH33)-BY33)),0)</f>
        <v>0</v>
      </c>
      <c r="CK33" s="84" t="n">
        <f aca="false">CB33-CE33-CH33-CJ33</f>
        <v>0</v>
      </c>
      <c r="CL33" s="84" t="n">
        <f aca="false">CE33+CH33+(1-$F33)*CK33</f>
        <v>0</v>
      </c>
      <c r="CM33" s="84" t="n">
        <f aca="false">CJ33+$F33*CK33</f>
        <v>0</v>
      </c>
      <c r="CN33" s="84" t="n">
        <f aca="false">BX33+CH33+(1-$F33)*CK33</f>
        <v>0</v>
      </c>
      <c r="CO33" s="84" t="n">
        <f aca="false">BY33+CM33</f>
        <v>0</v>
      </c>
      <c r="CP33" s="133" t="n">
        <f aca="false">CC33+$D33*Inputs!$F$13-$D33*$E33</f>
        <v>17683.5136</v>
      </c>
      <c r="CQ33" s="84" t="n">
        <f aca="false">CP33*(1+$I33)</f>
        <v>19805.535232</v>
      </c>
      <c r="CR33" s="133" t="n">
        <f aca="false">CQ33*Inputs!$F$14</f>
        <v>0</v>
      </c>
      <c r="CS33" s="84" t="n">
        <f aca="false">CQ33-CR33</f>
        <v>19805.535232</v>
      </c>
      <c r="CT33" s="133" t="n">
        <f aca="false">CF33+$D33*Inputs!$F$13</f>
        <v>16000</v>
      </c>
      <c r="CU33" s="84" t="n">
        <f aca="false">MIN(CR33,CT33)</f>
        <v>0</v>
      </c>
      <c r="CV33" s="84" t="n">
        <f aca="false">CT33-CU33</f>
        <v>16000</v>
      </c>
      <c r="CW33" s="84" t="n">
        <f aca="false">CI33+$G33*(CT33+CI33)</f>
        <v>0</v>
      </c>
      <c r="CX33" s="84" t="n">
        <f aca="false">MIN(CR33-CU33,CW33)</f>
        <v>0</v>
      </c>
      <c r="CY33" s="84" t="n">
        <f aca="false">CW33-CX33</f>
        <v>0</v>
      </c>
      <c r="CZ33" s="84" t="n">
        <f aca="false">IF($H33=1,MIN(CR33-CU33-CX33,MAX(0,$F33/(1-$F33)*(CN33+CX33)-CO33)),0)</f>
        <v>0</v>
      </c>
      <c r="DA33" s="84" t="n">
        <f aca="false">CR33-CU33-CX33-CZ33</f>
        <v>0</v>
      </c>
      <c r="DB33" s="84" t="n">
        <f aca="false">CU33+CX33+(1-$F33)*DA33</f>
        <v>0</v>
      </c>
      <c r="DC33" s="84" t="n">
        <f aca="false">CZ33+$F33*DA33</f>
        <v>0</v>
      </c>
      <c r="DD33" s="84" t="n">
        <f aca="false">CN33+CX33+(1-$F33)*DA33</f>
        <v>0</v>
      </c>
      <c r="DE33" s="84" t="n">
        <f aca="false">CO33+DC33</f>
        <v>0</v>
      </c>
      <c r="DF33" s="133" t="n">
        <f aca="false">CS33+$D33*Inputs!$G$13-$D33*$E33</f>
        <v>23505.535232</v>
      </c>
      <c r="DG33" s="84" t="n">
        <f aca="false">DF33*(1+$I33)</f>
        <v>26326.19945984</v>
      </c>
      <c r="DH33" s="133" t="n">
        <f aca="false">DG33*Inputs!$G$14</f>
        <v>5265.239891968</v>
      </c>
      <c r="DI33" s="84" t="n">
        <f aca="false">DG33-DH33</f>
        <v>21060.959567872</v>
      </c>
      <c r="DJ33" s="133" t="n">
        <f aca="false">CV33+$D33*Inputs!$G$13</f>
        <v>20000</v>
      </c>
      <c r="DK33" s="84" t="n">
        <f aca="false">MIN(DH33,DJ33)</f>
        <v>5265.239891968</v>
      </c>
      <c r="DL33" s="84" t="n">
        <f aca="false">DJ33-DK33</f>
        <v>14734.760108032</v>
      </c>
      <c r="DM33" s="84" t="n">
        <f aca="false">CY33+$G33*(DJ33+CY33)</f>
        <v>0</v>
      </c>
      <c r="DN33" s="84" t="n">
        <f aca="false">MIN(DH33-DK33,DM33)</f>
        <v>0</v>
      </c>
      <c r="DO33" s="84" t="n">
        <f aca="false">DM33-DN33</f>
        <v>0</v>
      </c>
      <c r="DP33" s="84" t="n">
        <f aca="false">IF($H33=1,MIN(DH33-DK33-DN33,MAX(0,$F33/(1-$F33)*(DD33+DN33)-DE33)),0)</f>
        <v>0</v>
      </c>
      <c r="DQ33" s="84" t="n">
        <f aca="false">DH33-DK33-DN33-DP33</f>
        <v>0</v>
      </c>
      <c r="DR33" s="84" t="n">
        <f aca="false">DK33+DN33+(1-$F33)*DQ33</f>
        <v>5265.239891968</v>
      </c>
      <c r="DS33" s="84" t="n">
        <f aca="false">DP33+$F33*DQ33</f>
        <v>0</v>
      </c>
      <c r="DT33" s="84" t="n">
        <f aca="false">DD33+DN33+(1-$F33)*DQ33</f>
        <v>0</v>
      </c>
      <c r="DU33" s="84" t="n">
        <f aca="false">DE33+DS33</f>
        <v>0</v>
      </c>
      <c r="DV33" s="133" t="n">
        <f aca="false">DI33+$D33*Inputs!$H$13-$D33*$E33</f>
        <v>20760.959567872</v>
      </c>
      <c r="DW33" s="84" t="n">
        <f aca="false">DV33*(1+$I33)</f>
        <v>23252.2747160167</v>
      </c>
      <c r="DX33" s="133" t="n">
        <f aca="false">DW33*Inputs!$H$14</f>
        <v>4650.45494320333</v>
      </c>
      <c r="DY33" s="84" t="n">
        <f aca="false">DW33-DX33</f>
        <v>18601.8197728133</v>
      </c>
      <c r="DZ33" s="133" t="n">
        <f aca="false">DL33+$D33*Inputs!$H$13</f>
        <v>14734.760108032</v>
      </c>
      <c r="EA33" s="84" t="n">
        <f aca="false">MIN(DX33,DZ33)</f>
        <v>4650.45494320333</v>
      </c>
      <c r="EB33" s="84" t="n">
        <f aca="false">DZ33-EA33</f>
        <v>10084.3051648287</v>
      </c>
      <c r="EC33" s="84" t="n">
        <f aca="false">DO33+$G33*(DZ33+DO33)</f>
        <v>0</v>
      </c>
      <c r="ED33" s="84" t="n">
        <f aca="false">MIN(DX33-EA33,EC33)</f>
        <v>0</v>
      </c>
      <c r="EE33" s="84" t="n">
        <f aca="false">EC33-ED33</f>
        <v>0</v>
      </c>
      <c r="EF33" s="84" t="n">
        <f aca="false">IF($H33=1,MIN(DX33-EA33-ED33,MAX(0,$F33/(1-$F33)*(DT33+ED33)-DU33)),0)</f>
        <v>0</v>
      </c>
      <c r="EG33" s="84" t="n">
        <f aca="false">DX33-EA33-ED33-EF33</f>
        <v>0</v>
      </c>
      <c r="EH33" s="84" t="n">
        <f aca="false">EA33+ED33+(1-$F33)*EG33</f>
        <v>4650.45494320333</v>
      </c>
      <c r="EI33" s="84" t="n">
        <f aca="false">EF33+$F33*EG33</f>
        <v>0</v>
      </c>
      <c r="EJ33" s="84" t="n">
        <f aca="false">DT33+ED33+(1-$F33)*EG33</f>
        <v>0</v>
      </c>
      <c r="EK33" s="84" t="n">
        <f aca="false">DU33+EI33</f>
        <v>0</v>
      </c>
      <c r="EL33" s="133" t="n">
        <f aca="false">DY33+$D33*Inputs!$I$13-$D33*$E33</f>
        <v>18301.8197728133</v>
      </c>
      <c r="EM33" s="84" t="n">
        <f aca="false">EL33*(1+$I33)</f>
        <v>20498.0381455509</v>
      </c>
      <c r="EN33" s="133" t="n">
        <f aca="false">EM33*Inputs!$I$14</f>
        <v>4099.60762911018</v>
      </c>
      <c r="EO33" s="84" t="n">
        <f aca="false">EM33-EN33</f>
        <v>16398.4305164407</v>
      </c>
      <c r="EP33" s="133" t="n">
        <f aca="false">EB33+$D33*Inputs!$I$13</f>
        <v>10084.3051648287</v>
      </c>
      <c r="EQ33" s="84" t="n">
        <f aca="false">MIN(EN33,EP33)</f>
        <v>4099.60762911018</v>
      </c>
      <c r="ER33" s="84" t="n">
        <f aca="false">EP33-EQ33</f>
        <v>5984.69753571848</v>
      </c>
      <c r="ES33" s="84" t="n">
        <f aca="false">EE33+$G33*(EP33+EE33)</f>
        <v>0</v>
      </c>
      <c r="ET33" s="84" t="n">
        <f aca="false">MIN(EN33-EQ33,ES33)</f>
        <v>0</v>
      </c>
      <c r="EU33" s="84" t="n">
        <f aca="false">ES33-ET33</f>
        <v>0</v>
      </c>
      <c r="EV33" s="84" t="n">
        <f aca="false">IF($H33=1,MIN(EN33-EQ33-ET33,MAX(0,$F33/(1-$F33)*(EJ33+ET33)-EK33)),0)</f>
        <v>0</v>
      </c>
      <c r="EW33" s="84" t="n">
        <f aca="false">EN33-EQ33-ET33-EV33</f>
        <v>0</v>
      </c>
      <c r="EX33" s="84" t="n">
        <f aca="false">EQ33+ET33+(1-$F33)*EW33</f>
        <v>4099.60762911018</v>
      </c>
      <c r="EY33" s="84" t="n">
        <f aca="false">EV33+$F33*EW33</f>
        <v>0</v>
      </c>
      <c r="EZ33" s="84" t="n">
        <f aca="false">EJ33+ET33+(1-$F33)*EW33</f>
        <v>0</v>
      </c>
      <c r="FA33" s="84" t="n">
        <f aca="false">EK33+EY33</f>
        <v>0</v>
      </c>
      <c r="FB33" s="133" t="n">
        <f aca="false">EO33+$D33*Inputs!$J$13-$D33*$E33</f>
        <v>16098.4305164407</v>
      </c>
      <c r="FC33" s="84" t="n">
        <f aca="false">FB33*(1+$I33)</f>
        <v>18030.2421784136</v>
      </c>
      <c r="FD33" s="133" t="n">
        <f aca="false">FC33*Inputs!$J$14</f>
        <v>3606.04843568273</v>
      </c>
      <c r="FE33" s="84" t="n">
        <f aca="false">FC33-FD33</f>
        <v>14424.1937427309</v>
      </c>
      <c r="FF33" s="133" t="n">
        <f aca="false">ER33+$D33*Inputs!$J$13</f>
        <v>5984.69753571848</v>
      </c>
      <c r="FG33" s="84" t="n">
        <f aca="false">MIN(FD33,FF33)</f>
        <v>3606.04843568273</v>
      </c>
      <c r="FH33" s="84" t="n">
        <f aca="false">FF33-FG33</f>
        <v>2378.64910003576</v>
      </c>
      <c r="FI33" s="84" t="n">
        <f aca="false">EU33+$G33*(FF33+EU33)</f>
        <v>0</v>
      </c>
      <c r="FJ33" s="84" t="n">
        <f aca="false">MIN(FD33-FG33,FI33)</f>
        <v>0</v>
      </c>
      <c r="FK33" s="84" t="n">
        <f aca="false">FI33-FJ33</f>
        <v>0</v>
      </c>
      <c r="FL33" s="84" t="n">
        <f aca="false">IF($H33=1,MIN(FD33-FG33-FJ33,MAX(0,$F33/(1-$F33)*(EZ33+FJ33)-FA33)),0)</f>
        <v>0</v>
      </c>
      <c r="FM33" s="84" t="n">
        <f aca="false">FD33-FG33-FJ33-FL33</f>
        <v>0</v>
      </c>
      <c r="FN33" s="84" t="n">
        <f aca="false">FG33+FJ33+(1-$F33)*FM33</f>
        <v>3606.04843568273</v>
      </c>
      <c r="FO33" s="84" t="n">
        <f aca="false">FL33+$F33*FM33</f>
        <v>0</v>
      </c>
      <c r="FP33" s="84" t="n">
        <f aca="false">EZ33+FJ33+(1-$F33)*FM33</f>
        <v>0</v>
      </c>
      <c r="FQ33" s="84" t="n">
        <f aca="false">FA33+FO33</f>
        <v>0</v>
      </c>
      <c r="FR33" s="133" t="n">
        <f aca="false">FE33+$D33*Inputs!$K$13-$D33*$E33</f>
        <v>14124.1937427309</v>
      </c>
      <c r="FS33" s="84" t="n">
        <f aca="false">FR33*(1+$I33)</f>
        <v>15819.0969918586</v>
      </c>
      <c r="FT33" s="133" t="n">
        <f aca="false">FS33*Inputs!$K$14</f>
        <v>3163.81939837172</v>
      </c>
      <c r="FU33" s="84" t="n">
        <f aca="false">FS33-FT33</f>
        <v>12655.2775934869</v>
      </c>
      <c r="FV33" s="133" t="n">
        <f aca="false">FH33+$D33*Inputs!$K$13</f>
        <v>2378.64910003576</v>
      </c>
      <c r="FW33" s="84" t="n">
        <f aca="false">MIN(FT33,FV33)</f>
        <v>2378.64910003576</v>
      </c>
      <c r="FX33" s="84" t="n">
        <f aca="false">FV33-FW33</f>
        <v>0</v>
      </c>
      <c r="FY33" s="84" t="n">
        <f aca="false">FK33+$G33*(FV33+FK33)</f>
        <v>0</v>
      </c>
      <c r="FZ33" s="84" t="n">
        <f aca="false">MIN(FT33-FW33,FY33)</f>
        <v>0</v>
      </c>
      <c r="GA33" s="84" t="n">
        <f aca="false">FY33-FZ33</f>
        <v>0</v>
      </c>
      <c r="GB33" s="84" t="n">
        <f aca="false">IF($H33=1,MIN(FT33-FW33-FZ33,MAX(0,$F33/(1-$F33)*(FP33+FZ33)-FQ33)),0)</f>
        <v>0</v>
      </c>
      <c r="GC33" s="84" t="n">
        <f aca="false">FT33-FW33-FZ33-GB33</f>
        <v>785.170298335964</v>
      </c>
      <c r="GD33" s="84" t="n">
        <f aca="false">FW33+FZ33+(1-$F33)*GC33</f>
        <v>3006.78533870453</v>
      </c>
      <c r="GE33" s="84" t="n">
        <f aca="false">GB33+$F33*GC33</f>
        <v>157.034059667193</v>
      </c>
      <c r="GF33" s="84" t="n">
        <f aca="false">FP33+FZ33+(1-$F33)*GC33</f>
        <v>628.136238668771</v>
      </c>
      <c r="GG33" s="84" t="n">
        <f aca="false">FQ33+GE33</f>
        <v>157.034059667193</v>
      </c>
      <c r="GH33" s="133" t="n">
        <f aca="false">FU33+$D33*Inputs!$L$13-$D33*$E33</f>
        <v>12355.2775934869</v>
      </c>
      <c r="GI33" s="84" t="n">
        <f aca="false">GH33*(1+$I33)</f>
        <v>13837.9109047053</v>
      </c>
      <c r="GJ33" s="133" t="n">
        <f aca="false">GI33*Inputs!$L$14</f>
        <v>13837.9109047053</v>
      </c>
      <c r="GK33" s="84" t="n">
        <f aca="false">GI33-GJ33</f>
        <v>0</v>
      </c>
      <c r="GL33" s="133" t="n">
        <f aca="false">FX33+$D33*Inputs!$L$13</f>
        <v>0</v>
      </c>
      <c r="GM33" s="84" t="n">
        <f aca="false">MIN(GJ33,GL33)</f>
        <v>0</v>
      </c>
      <c r="GN33" s="84" t="n">
        <f aca="false">GL33-GM33</f>
        <v>0</v>
      </c>
      <c r="GO33" s="84" t="n">
        <f aca="false">GA33+$G33*(GL33+GA33)</f>
        <v>0</v>
      </c>
      <c r="GP33" s="84" t="n">
        <f aca="false">MIN(GJ33-GM33,GO33)</f>
        <v>0</v>
      </c>
      <c r="GQ33" s="84" t="n">
        <f aca="false">GO33-GP33</f>
        <v>0</v>
      </c>
      <c r="GR33" s="84" t="n">
        <f aca="false">IF($H33=1,MIN(GJ33-GM33-GP33,MAX(0,$F33/(1-$F33)*(GF33+GP33)-GG33)),0)</f>
        <v>0</v>
      </c>
      <c r="GS33" s="84" t="n">
        <f aca="false">GJ33-GM33-GP33-GR33</f>
        <v>13837.9109047053</v>
      </c>
      <c r="GT33" s="84" t="n">
        <f aca="false">GM33+GP33+(1-$F33)*GS33</f>
        <v>11070.3287237643</v>
      </c>
      <c r="GU33" s="84" t="n">
        <f aca="false">GR33+$F33*GS33</f>
        <v>2767.58218094106</v>
      </c>
      <c r="GV33" s="84" t="n">
        <f aca="false">GF33+GP33+(1-$F33)*GS33</f>
        <v>11698.464962433</v>
      </c>
      <c r="GW33" s="84" t="n">
        <f aca="false">GG33+GU33</f>
        <v>2924.61624060826</v>
      </c>
    </row>
    <row r="34" customFormat="false" ht="15" hidden="false" customHeight="false" outlineLevel="0" collapsed="false">
      <c r="A34" s="5" t="s">
        <v>635</v>
      </c>
      <c r="B34" s="5" t="s">
        <v>636</v>
      </c>
      <c r="C34" s="135" t="n">
        <v>13</v>
      </c>
      <c r="D34" s="47" t="n">
        <f aca="false">Inputs!$C$6</f>
        <v>20000</v>
      </c>
      <c r="E34" s="35" t="n">
        <f aca="false">Inputs!$C$18</f>
        <v>0.015</v>
      </c>
      <c r="F34" s="36" t="n">
        <f aca="false">Inputs!$C$20</f>
        <v>0.2</v>
      </c>
      <c r="G34" s="30" t="n">
        <v>0</v>
      </c>
      <c r="H34" s="27" t="n">
        <v>0</v>
      </c>
      <c r="I34" s="132" t="n">
        <f aca="false">Inputs!$C$38+$C34*Inputs!$C$39</f>
        <v>0.13</v>
      </c>
      <c r="J34" s="36" t="n">
        <f aca="false">Inputs!$C$9</f>
        <v>0.15</v>
      </c>
      <c r="K34" s="89" t="n">
        <f aca="false">IRR(W34:AG34,0.1)</f>
        <v>0.0918189906534683</v>
      </c>
      <c r="L34" s="45" t="n">
        <f aca="false">W34+NPV($J34,X34:AG34)</f>
        <v>-3952.36655664077</v>
      </c>
      <c r="M34" s="45" t="n">
        <f aca="false">SUM(BF34,BV34,CL34,DB34,DR34,EH34,EX34,FN34,GD34,GT34)</f>
        <v>33367.987474039</v>
      </c>
      <c r="N34" s="43" t="n">
        <f aca="false">IF($D34*SUM(Inputs!$C$13:$L$13)=0,0,M34/($D34*SUM(Inputs!$C$13:$L$13)))</f>
        <v>1.66839937370195</v>
      </c>
      <c r="O34" s="42" t="n">
        <f aca="false">$D34*$E34*COLUMNS(Inputs!$C$13:$L$13)</f>
        <v>3000</v>
      </c>
      <c r="P34" s="45" t="n">
        <f aca="false">SUM(BG34,BW34,CM34,DC34,DS34,EI34,EY34,FO34,GE34,GU34)</f>
        <v>3341.99686850974</v>
      </c>
      <c r="Q34" s="42" t="n">
        <f aca="false">PV($J34,COLUMNS(Inputs!$C$13:$L$13),-$D34*$E34,0,1)</f>
        <v>1731.47517591971</v>
      </c>
      <c r="R34" s="45" t="n">
        <f aca="false">NPV($J34,BG34,BW34,CM34,DC34,DS34,EI34,EY34,FO34,GE34,GU34)</f>
        <v>839.081585382229</v>
      </c>
      <c r="S34" s="45" t="n">
        <f aca="false">Q34+R34</f>
        <v>2570.55676130194</v>
      </c>
      <c r="T34" s="32" t="n">
        <f aca="false">IF(S34=0,0,Q34/S34)</f>
        <v>0.673579825968422</v>
      </c>
      <c r="U34" s="45" t="n">
        <f aca="false">ROUND(ABS(GK34)+ABS(SUM(AV34,BL34,CB34,CR34,DH34,DX34,EN34,FD34,FT34,GJ34)-M34-P34)+ABS(S34-(AH34+NPV($J34,AI34:AR34))),6)</f>
        <v>0</v>
      </c>
      <c r="W34" s="133" t="n">
        <f aca="false">-$D34*Inputs!$C$13</f>
        <v>-4000</v>
      </c>
      <c r="X34" s="133" t="n">
        <f aca="false">BF34-$D34*Inputs!$D$13</f>
        <v>-4000</v>
      </c>
      <c r="Y34" s="133" t="n">
        <f aca="false">BV34-$D34*Inputs!$E$13</f>
        <v>-4000</v>
      </c>
      <c r="Z34" s="133" t="n">
        <f aca="false">CL34-$D34*Inputs!$F$13</f>
        <v>-4000</v>
      </c>
      <c r="AA34" s="133" t="n">
        <f aca="false">DB34-$D34*Inputs!$G$13</f>
        <v>-4000</v>
      </c>
      <c r="AB34" s="133" t="n">
        <f aca="false">DR34-$D34*Inputs!$H$13</f>
        <v>5418.802284082</v>
      </c>
      <c r="AC34" s="133" t="n">
        <f aca="false">EH34-$D34*Inputs!$I$13</f>
        <v>4830.79726481013</v>
      </c>
      <c r="AD34" s="133" t="n">
        <f aca="false">EX34-$D34*Inputs!$J$13</f>
        <v>4299.24072738835</v>
      </c>
      <c r="AE34" s="133" t="n">
        <f aca="false">FN34-$D34*Inputs!$K$13</f>
        <v>3818.71361755907</v>
      </c>
      <c r="AF34" s="133" t="n">
        <f aca="false">GD34-$D34*Inputs!$L$13</f>
        <v>3033.94290945081</v>
      </c>
      <c r="AG34" s="84" t="n">
        <f aca="false">GT34</f>
        <v>11966.4906707486</v>
      </c>
      <c r="AH34" s="84" t="n">
        <f aca="false">$D34*$E34</f>
        <v>300</v>
      </c>
      <c r="AI34" s="84" t="n">
        <f aca="false">BG34+$D34*$E34</f>
        <v>300</v>
      </c>
      <c r="AJ34" s="84" t="n">
        <f aca="false">BW34+$D34*$E34</f>
        <v>300</v>
      </c>
      <c r="AK34" s="84" t="n">
        <f aca="false">CM34+$D34*$E34</f>
        <v>300</v>
      </c>
      <c r="AL34" s="84" t="n">
        <f aca="false">DC34+$D34*$E34</f>
        <v>300</v>
      </c>
      <c r="AM34" s="84" t="n">
        <f aca="false">DS34+$D34*$E34</f>
        <v>300</v>
      </c>
      <c r="AN34" s="84" t="n">
        <f aca="false">EI34+$D34*$E34</f>
        <v>300</v>
      </c>
      <c r="AO34" s="84" t="n">
        <f aca="false">EY34+$D34*$E34</f>
        <v>300</v>
      </c>
      <c r="AP34" s="84" t="n">
        <f aca="false">FO34+$D34*$E34</f>
        <v>300</v>
      </c>
      <c r="AQ34" s="84" t="n">
        <f aca="false">GE34+$D34*$E34</f>
        <v>650.37420082259</v>
      </c>
      <c r="AR34" s="84" t="n">
        <f aca="false">GU34</f>
        <v>2991.62266768715</v>
      </c>
      <c r="AT34" s="133" t="n">
        <f aca="false">$D34*Inputs!$C$13-$D34*$E34</f>
        <v>3700</v>
      </c>
      <c r="AU34" s="84" t="n">
        <f aca="false">AT34*(1+$I34)</f>
        <v>4181</v>
      </c>
      <c r="AV34" s="133" t="n">
        <f aca="false">AU34*Inputs!$C$14</f>
        <v>0</v>
      </c>
      <c r="AW34" s="84" t="n">
        <f aca="false">AU34-AV34</f>
        <v>4181</v>
      </c>
      <c r="AX34" s="133" t="n">
        <f aca="false">$D34*Inputs!$C$13</f>
        <v>4000</v>
      </c>
      <c r="AY34" s="84" t="n">
        <f aca="false">MIN(AV34,AX34)</f>
        <v>0</v>
      </c>
      <c r="AZ34" s="84" t="n">
        <f aca="false">AX34-AY34</f>
        <v>4000</v>
      </c>
      <c r="BA34" s="84" t="n">
        <f aca="false">$G34*AX34</f>
        <v>0</v>
      </c>
      <c r="BB34" s="84" t="n">
        <f aca="false">MIN(AV34-AY34,BA34)</f>
        <v>0</v>
      </c>
      <c r="BC34" s="84" t="n">
        <f aca="false">BA34-BB34</f>
        <v>0</v>
      </c>
      <c r="BD34" s="84" t="n">
        <f aca="false">IF($H34=1,MIN(AV34-AY34-BB34,MAX(0,$F34/(1-$F34)*BB34)),0)</f>
        <v>0</v>
      </c>
      <c r="BE34" s="84" t="n">
        <f aca="false">AV34-AY34-BB34-BD34</f>
        <v>0</v>
      </c>
      <c r="BF34" s="84" t="n">
        <f aca="false">AY34+BB34+(1-$F34)*BE34</f>
        <v>0</v>
      </c>
      <c r="BG34" s="84" t="n">
        <f aca="false">BD34+$F34*BE34</f>
        <v>0</v>
      </c>
      <c r="BH34" s="84" t="n">
        <f aca="false">BB34+(1-$F34)*BE34</f>
        <v>0</v>
      </c>
      <c r="BI34" s="84" t="n">
        <f aca="false">BG34</f>
        <v>0</v>
      </c>
      <c r="BJ34" s="133" t="n">
        <f aca="false">AW34+$D34*Inputs!$D$13-$D34*$E34</f>
        <v>7881</v>
      </c>
      <c r="BK34" s="84" t="n">
        <f aca="false">BJ34*(1+$I34)</f>
        <v>8905.53</v>
      </c>
      <c r="BL34" s="133" t="n">
        <f aca="false">BK34*Inputs!$D$14</f>
        <v>0</v>
      </c>
      <c r="BM34" s="84" t="n">
        <f aca="false">BK34-BL34</f>
        <v>8905.53</v>
      </c>
      <c r="BN34" s="133" t="n">
        <f aca="false">AZ34+$D34*Inputs!$D$13</f>
        <v>8000</v>
      </c>
      <c r="BO34" s="84" t="n">
        <f aca="false">MIN(BL34,BN34)</f>
        <v>0</v>
      </c>
      <c r="BP34" s="84" t="n">
        <f aca="false">BN34-BO34</f>
        <v>8000</v>
      </c>
      <c r="BQ34" s="84" t="n">
        <f aca="false">BC34+$G34*(BN34+BC34)</f>
        <v>0</v>
      </c>
      <c r="BR34" s="84" t="n">
        <f aca="false">MIN(BL34-BO34,BQ34)</f>
        <v>0</v>
      </c>
      <c r="BS34" s="84" t="n">
        <f aca="false">BQ34-BR34</f>
        <v>0</v>
      </c>
      <c r="BT34" s="84" t="n">
        <f aca="false">IF($H34=1,MIN(BL34-BO34-BR34,MAX(0,$F34/(1-$F34)*(BH34+BR34)-BI34)),0)</f>
        <v>0</v>
      </c>
      <c r="BU34" s="84" t="n">
        <f aca="false">BL34-BO34-BR34-BT34</f>
        <v>0</v>
      </c>
      <c r="BV34" s="84" t="n">
        <f aca="false">BO34+BR34+(1-$F34)*BU34</f>
        <v>0</v>
      </c>
      <c r="BW34" s="84" t="n">
        <f aca="false">BT34+$F34*BU34</f>
        <v>0</v>
      </c>
      <c r="BX34" s="84" t="n">
        <f aca="false">BH34+BR34+(1-$F34)*BU34</f>
        <v>0</v>
      </c>
      <c r="BY34" s="84" t="n">
        <f aca="false">BI34+BW34</f>
        <v>0</v>
      </c>
      <c r="BZ34" s="133" t="n">
        <f aca="false">BM34+$D34*Inputs!$E$13-$D34*$E34</f>
        <v>12605.53</v>
      </c>
      <c r="CA34" s="84" t="n">
        <f aca="false">BZ34*(1+$I34)</f>
        <v>14244.2489</v>
      </c>
      <c r="CB34" s="133" t="n">
        <f aca="false">CA34*Inputs!$E$14</f>
        <v>0</v>
      </c>
      <c r="CC34" s="84" t="n">
        <f aca="false">CA34-CB34</f>
        <v>14244.2489</v>
      </c>
      <c r="CD34" s="133" t="n">
        <f aca="false">BP34+$D34*Inputs!$E$13</f>
        <v>12000</v>
      </c>
      <c r="CE34" s="84" t="n">
        <f aca="false">MIN(CB34,CD34)</f>
        <v>0</v>
      </c>
      <c r="CF34" s="84" t="n">
        <f aca="false">CD34-CE34</f>
        <v>12000</v>
      </c>
      <c r="CG34" s="84" t="n">
        <f aca="false">BS34+$G34*(CD34+BS34)</f>
        <v>0</v>
      </c>
      <c r="CH34" s="84" t="n">
        <f aca="false">MIN(CB34-CE34,CG34)</f>
        <v>0</v>
      </c>
      <c r="CI34" s="84" t="n">
        <f aca="false">CG34-CH34</f>
        <v>0</v>
      </c>
      <c r="CJ34" s="84" t="n">
        <f aca="false">IF($H34=1,MIN(CB34-CE34-CH34,MAX(0,$F34/(1-$F34)*(BX34+CH34)-BY34)),0)</f>
        <v>0</v>
      </c>
      <c r="CK34" s="84" t="n">
        <f aca="false">CB34-CE34-CH34-CJ34</f>
        <v>0</v>
      </c>
      <c r="CL34" s="84" t="n">
        <f aca="false">CE34+CH34+(1-$F34)*CK34</f>
        <v>0</v>
      </c>
      <c r="CM34" s="84" t="n">
        <f aca="false">CJ34+$F34*CK34</f>
        <v>0</v>
      </c>
      <c r="CN34" s="84" t="n">
        <f aca="false">BX34+CH34+(1-$F34)*CK34</f>
        <v>0</v>
      </c>
      <c r="CO34" s="84" t="n">
        <f aca="false">BY34+CM34</f>
        <v>0</v>
      </c>
      <c r="CP34" s="133" t="n">
        <f aca="false">CC34+$D34*Inputs!$F$13-$D34*$E34</f>
        <v>17944.2489</v>
      </c>
      <c r="CQ34" s="84" t="n">
        <f aca="false">CP34*(1+$I34)</f>
        <v>20277.001257</v>
      </c>
      <c r="CR34" s="133" t="n">
        <f aca="false">CQ34*Inputs!$F$14</f>
        <v>0</v>
      </c>
      <c r="CS34" s="84" t="n">
        <f aca="false">CQ34-CR34</f>
        <v>20277.001257</v>
      </c>
      <c r="CT34" s="133" t="n">
        <f aca="false">CF34+$D34*Inputs!$F$13</f>
        <v>16000</v>
      </c>
      <c r="CU34" s="84" t="n">
        <f aca="false">MIN(CR34,CT34)</f>
        <v>0</v>
      </c>
      <c r="CV34" s="84" t="n">
        <f aca="false">CT34-CU34</f>
        <v>16000</v>
      </c>
      <c r="CW34" s="84" t="n">
        <f aca="false">CI34+$G34*(CT34+CI34)</f>
        <v>0</v>
      </c>
      <c r="CX34" s="84" t="n">
        <f aca="false">MIN(CR34-CU34,CW34)</f>
        <v>0</v>
      </c>
      <c r="CY34" s="84" t="n">
        <f aca="false">CW34-CX34</f>
        <v>0</v>
      </c>
      <c r="CZ34" s="84" t="n">
        <f aca="false">IF($H34=1,MIN(CR34-CU34-CX34,MAX(0,$F34/(1-$F34)*(CN34+CX34)-CO34)),0)</f>
        <v>0</v>
      </c>
      <c r="DA34" s="84" t="n">
        <f aca="false">CR34-CU34-CX34-CZ34</f>
        <v>0</v>
      </c>
      <c r="DB34" s="84" t="n">
        <f aca="false">CU34+CX34+(1-$F34)*DA34</f>
        <v>0</v>
      </c>
      <c r="DC34" s="84" t="n">
        <f aca="false">CZ34+$F34*DA34</f>
        <v>0</v>
      </c>
      <c r="DD34" s="84" t="n">
        <f aca="false">CN34+CX34+(1-$F34)*DA34</f>
        <v>0</v>
      </c>
      <c r="DE34" s="84" t="n">
        <f aca="false">CO34+DC34</f>
        <v>0</v>
      </c>
      <c r="DF34" s="133" t="n">
        <f aca="false">CS34+$D34*Inputs!$G$13-$D34*$E34</f>
        <v>23977.001257</v>
      </c>
      <c r="DG34" s="84" t="n">
        <f aca="false">DF34*(1+$I34)</f>
        <v>27094.01142041</v>
      </c>
      <c r="DH34" s="133" t="n">
        <f aca="false">DG34*Inputs!$G$14</f>
        <v>5418.802284082</v>
      </c>
      <c r="DI34" s="84" t="n">
        <f aca="false">DG34-DH34</f>
        <v>21675.209136328</v>
      </c>
      <c r="DJ34" s="133" t="n">
        <f aca="false">CV34+$D34*Inputs!$G$13</f>
        <v>20000</v>
      </c>
      <c r="DK34" s="84" t="n">
        <f aca="false">MIN(DH34,DJ34)</f>
        <v>5418.802284082</v>
      </c>
      <c r="DL34" s="84" t="n">
        <f aca="false">DJ34-DK34</f>
        <v>14581.197715918</v>
      </c>
      <c r="DM34" s="84" t="n">
        <f aca="false">CY34+$G34*(DJ34+CY34)</f>
        <v>0</v>
      </c>
      <c r="DN34" s="84" t="n">
        <f aca="false">MIN(DH34-DK34,DM34)</f>
        <v>0</v>
      </c>
      <c r="DO34" s="84" t="n">
        <f aca="false">DM34-DN34</f>
        <v>0</v>
      </c>
      <c r="DP34" s="84" t="n">
        <f aca="false">IF($H34=1,MIN(DH34-DK34-DN34,MAX(0,$F34/(1-$F34)*(DD34+DN34)-DE34)),0)</f>
        <v>0</v>
      </c>
      <c r="DQ34" s="84" t="n">
        <f aca="false">DH34-DK34-DN34-DP34</f>
        <v>0</v>
      </c>
      <c r="DR34" s="84" t="n">
        <f aca="false">DK34+DN34+(1-$F34)*DQ34</f>
        <v>5418.802284082</v>
      </c>
      <c r="DS34" s="84" t="n">
        <f aca="false">DP34+$F34*DQ34</f>
        <v>0</v>
      </c>
      <c r="DT34" s="84" t="n">
        <f aca="false">DD34+DN34+(1-$F34)*DQ34</f>
        <v>0</v>
      </c>
      <c r="DU34" s="84" t="n">
        <f aca="false">DE34+DS34</f>
        <v>0</v>
      </c>
      <c r="DV34" s="133" t="n">
        <f aca="false">DI34+$D34*Inputs!$H$13-$D34*$E34</f>
        <v>21375.209136328</v>
      </c>
      <c r="DW34" s="84" t="n">
        <f aca="false">DV34*(1+$I34)</f>
        <v>24153.9863240506</v>
      </c>
      <c r="DX34" s="133" t="n">
        <f aca="false">DW34*Inputs!$H$14</f>
        <v>4830.79726481013</v>
      </c>
      <c r="DY34" s="84" t="n">
        <f aca="false">DW34-DX34</f>
        <v>19323.1890592405</v>
      </c>
      <c r="DZ34" s="133" t="n">
        <f aca="false">DL34+$D34*Inputs!$H$13</f>
        <v>14581.197715918</v>
      </c>
      <c r="EA34" s="84" t="n">
        <f aca="false">MIN(DX34,DZ34)</f>
        <v>4830.79726481013</v>
      </c>
      <c r="EB34" s="84" t="n">
        <f aca="false">DZ34-EA34</f>
        <v>9750.40045110788</v>
      </c>
      <c r="EC34" s="84" t="n">
        <f aca="false">DO34+$G34*(DZ34+DO34)</f>
        <v>0</v>
      </c>
      <c r="ED34" s="84" t="n">
        <f aca="false">MIN(DX34-EA34,EC34)</f>
        <v>0</v>
      </c>
      <c r="EE34" s="84" t="n">
        <f aca="false">EC34-ED34</f>
        <v>0</v>
      </c>
      <c r="EF34" s="84" t="n">
        <f aca="false">IF($H34=1,MIN(DX34-EA34-ED34,MAX(0,$F34/(1-$F34)*(DT34+ED34)-DU34)),0)</f>
        <v>0</v>
      </c>
      <c r="EG34" s="84" t="n">
        <f aca="false">DX34-EA34-ED34-EF34</f>
        <v>0</v>
      </c>
      <c r="EH34" s="84" t="n">
        <f aca="false">EA34+ED34+(1-$F34)*EG34</f>
        <v>4830.79726481013</v>
      </c>
      <c r="EI34" s="84" t="n">
        <f aca="false">EF34+$F34*EG34</f>
        <v>0</v>
      </c>
      <c r="EJ34" s="84" t="n">
        <f aca="false">DT34+ED34+(1-$F34)*EG34</f>
        <v>0</v>
      </c>
      <c r="EK34" s="84" t="n">
        <f aca="false">DU34+EI34</f>
        <v>0</v>
      </c>
      <c r="EL34" s="133" t="n">
        <f aca="false">DY34+$D34*Inputs!$I$13-$D34*$E34</f>
        <v>19023.1890592405</v>
      </c>
      <c r="EM34" s="84" t="n">
        <f aca="false">EL34*(1+$I34)</f>
        <v>21496.2036369418</v>
      </c>
      <c r="EN34" s="133" t="n">
        <f aca="false">EM34*Inputs!$I$14</f>
        <v>4299.24072738835</v>
      </c>
      <c r="EO34" s="84" t="n">
        <f aca="false">EM34-EN34</f>
        <v>17196.9629095534</v>
      </c>
      <c r="EP34" s="133" t="n">
        <f aca="false">EB34+$D34*Inputs!$I$13</f>
        <v>9750.40045110788</v>
      </c>
      <c r="EQ34" s="84" t="n">
        <f aca="false">MIN(EN34,EP34)</f>
        <v>4299.24072738835</v>
      </c>
      <c r="ER34" s="84" t="n">
        <f aca="false">EP34-EQ34</f>
        <v>5451.15972371952</v>
      </c>
      <c r="ES34" s="84" t="n">
        <f aca="false">EE34+$G34*(EP34+EE34)</f>
        <v>0</v>
      </c>
      <c r="ET34" s="84" t="n">
        <f aca="false">MIN(EN34-EQ34,ES34)</f>
        <v>0</v>
      </c>
      <c r="EU34" s="84" t="n">
        <f aca="false">ES34-ET34</f>
        <v>0</v>
      </c>
      <c r="EV34" s="84" t="n">
        <f aca="false">IF($H34=1,MIN(EN34-EQ34-ET34,MAX(0,$F34/(1-$F34)*(EJ34+ET34)-EK34)),0)</f>
        <v>0</v>
      </c>
      <c r="EW34" s="84" t="n">
        <f aca="false">EN34-EQ34-ET34-EV34</f>
        <v>0</v>
      </c>
      <c r="EX34" s="84" t="n">
        <f aca="false">EQ34+ET34+(1-$F34)*EW34</f>
        <v>4299.24072738835</v>
      </c>
      <c r="EY34" s="84" t="n">
        <f aca="false">EV34+$F34*EW34</f>
        <v>0</v>
      </c>
      <c r="EZ34" s="84" t="n">
        <f aca="false">EJ34+ET34+(1-$F34)*EW34</f>
        <v>0</v>
      </c>
      <c r="FA34" s="84" t="n">
        <f aca="false">EK34+EY34</f>
        <v>0</v>
      </c>
      <c r="FB34" s="133" t="n">
        <f aca="false">EO34+$D34*Inputs!$J$13-$D34*$E34</f>
        <v>16896.9629095534</v>
      </c>
      <c r="FC34" s="84" t="n">
        <f aca="false">FB34*(1+$I34)</f>
        <v>19093.5680877954</v>
      </c>
      <c r="FD34" s="133" t="n">
        <f aca="false">FC34*Inputs!$J$14</f>
        <v>3818.71361755907</v>
      </c>
      <c r="FE34" s="84" t="n">
        <f aca="false">FC34-FD34</f>
        <v>15274.8544702363</v>
      </c>
      <c r="FF34" s="133" t="n">
        <f aca="false">ER34+$D34*Inputs!$J$13</f>
        <v>5451.15972371952</v>
      </c>
      <c r="FG34" s="84" t="n">
        <f aca="false">MIN(FD34,FF34)</f>
        <v>3818.71361755907</v>
      </c>
      <c r="FH34" s="84" t="n">
        <f aca="false">FF34-FG34</f>
        <v>1632.44610616045</v>
      </c>
      <c r="FI34" s="84" t="n">
        <f aca="false">EU34+$G34*(FF34+EU34)</f>
        <v>0</v>
      </c>
      <c r="FJ34" s="84" t="n">
        <f aca="false">MIN(FD34-FG34,FI34)</f>
        <v>0</v>
      </c>
      <c r="FK34" s="84" t="n">
        <f aca="false">FI34-FJ34</f>
        <v>0</v>
      </c>
      <c r="FL34" s="84" t="n">
        <f aca="false">IF($H34=1,MIN(FD34-FG34-FJ34,MAX(0,$F34/(1-$F34)*(EZ34+FJ34)-FA34)),0)</f>
        <v>0</v>
      </c>
      <c r="FM34" s="84" t="n">
        <f aca="false">FD34-FG34-FJ34-FL34</f>
        <v>0</v>
      </c>
      <c r="FN34" s="84" t="n">
        <f aca="false">FG34+FJ34+(1-$F34)*FM34</f>
        <v>3818.71361755907</v>
      </c>
      <c r="FO34" s="84" t="n">
        <f aca="false">FL34+$F34*FM34</f>
        <v>0</v>
      </c>
      <c r="FP34" s="84" t="n">
        <f aca="false">EZ34+FJ34+(1-$F34)*FM34</f>
        <v>0</v>
      </c>
      <c r="FQ34" s="84" t="n">
        <f aca="false">FA34+FO34</f>
        <v>0</v>
      </c>
      <c r="FR34" s="133" t="n">
        <f aca="false">FE34+$D34*Inputs!$K$13-$D34*$E34</f>
        <v>14974.8544702363</v>
      </c>
      <c r="FS34" s="84" t="n">
        <f aca="false">FR34*(1+$I34)</f>
        <v>16921.585551367</v>
      </c>
      <c r="FT34" s="133" t="n">
        <f aca="false">FS34*Inputs!$K$14</f>
        <v>3384.3171102734</v>
      </c>
      <c r="FU34" s="84" t="n">
        <f aca="false">FS34-FT34</f>
        <v>13537.2684410936</v>
      </c>
      <c r="FV34" s="133" t="n">
        <f aca="false">FH34+$D34*Inputs!$K$13</f>
        <v>1632.44610616045</v>
      </c>
      <c r="FW34" s="84" t="n">
        <f aca="false">MIN(FT34,FV34)</f>
        <v>1632.44610616045</v>
      </c>
      <c r="FX34" s="84" t="n">
        <f aca="false">FV34-FW34</f>
        <v>0</v>
      </c>
      <c r="FY34" s="84" t="n">
        <f aca="false">FK34+$G34*(FV34+FK34)</f>
        <v>0</v>
      </c>
      <c r="FZ34" s="84" t="n">
        <f aca="false">MIN(FT34-FW34,FY34)</f>
        <v>0</v>
      </c>
      <c r="GA34" s="84" t="n">
        <f aca="false">FY34-FZ34</f>
        <v>0</v>
      </c>
      <c r="GB34" s="84" t="n">
        <f aca="false">IF($H34=1,MIN(FT34-FW34-FZ34,MAX(0,$F34/(1-$F34)*(FP34+FZ34)-FQ34)),0)</f>
        <v>0</v>
      </c>
      <c r="GC34" s="84" t="n">
        <f aca="false">FT34-FW34-FZ34-GB34</f>
        <v>1751.87100411295</v>
      </c>
      <c r="GD34" s="84" t="n">
        <f aca="false">FW34+FZ34+(1-$F34)*GC34</f>
        <v>3033.94290945081</v>
      </c>
      <c r="GE34" s="84" t="n">
        <f aca="false">GB34+$F34*GC34</f>
        <v>350.37420082259</v>
      </c>
      <c r="GF34" s="84" t="n">
        <f aca="false">FP34+FZ34+(1-$F34)*GC34</f>
        <v>1401.49680329036</v>
      </c>
      <c r="GG34" s="84" t="n">
        <f aca="false">FQ34+GE34</f>
        <v>350.37420082259</v>
      </c>
      <c r="GH34" s="133" t="n">
        <f aca="false">FU34+$D34*Inputs!$L$13-$D34*$E34</f>
        <v>13237.2684410936</v>
      </c>
      <c r="GI34" s="84" t="n">
        <f aca="false">GH34*(1+$I34)</f>
        <v>14958.1133384358</v>
      </c>
      <c r="GJ34" s="133" t="n">
        <f aca="false">GI34*Inputs!$L$14</f>
        <v>14958.1133384358</v>
      </c>
      <c r="GK34" s="84" t="n">
        <f aca="false">GI34-GJ34</f>
        <v>0</v>
      </c>
      <c r="GL34" s="133" t="n">
        <f aca="false">FX34+$D34*Inputs!$L$13</f>
        <v>0</v>
      </c>
      <c r="GM34" s="84" t="n">
        <f aca="false">MIN(GJ34,GL34)</f>
        <v>0</v>
      </c>
      <c r="GN34" s="84" t="n">
        <f aca="false">GL34-GM34</f>
        <v>0</v>
      </c>
      <c r="GO34" s="84" t="n">
        <f aca="false">GA34+$G34*(GL34+GA34)</f>
        <v>0</v>
      </c>
      <c r="GP34" s="84" t="n">
        <f aca="false">MIN(GJ34-GM34,GO34)</f>
        <v>0</v>
      </c>
      <c r="GQ34" s="84" t="n">
        <f aca="false">GO34-GP34</f>
        <v>0</v>
      </c>
      <c r="GR34" s="84" t="n">
        <f aca="false">IF($H34=1,MIN(GJ34-GM34-GP34,MAX(0,$F34/(1-$F34)*(GF34+GP34)-GG34)),0)</f>
        <v>0</v>
      </c>
      <c r="GS34" s="84" t="n">
        <f aca="false">GJ34-GM34-GP34-GR34</f>
        <v>14958.1133384358</v>
      </c>
      <c r="GT34" s="84" t="n">
        <f aca="false">GM34+GP34+(1-$F34)*GS34</f>
        <v>11966.4906707486</v>
      </c>
      <c r="GU34" s="84" t="n">
        <f aca="false">GR34+$F34*GS34</f>
        <v>2991.62266768715</v>
      </c>
      <c r="GV34" s="84" t="n">
        <f aca="false">GF34+GP34+(1-$F34)*GS34</f>
        <v>13367.987474039</v>
      </c>
      <c r="GW34" s="84" t="n">
        <f aca="false">GG34+GU34</f>
        <v>3341.99686850974</v>
      </c>
    </row>
    <row r="35" customFormat="false" ht="15" hidden="false" customHeight="false" outlineLevel="0" collapsed="false">
      <c r="A35" s="5" t="s">
        <v>635</v>
      </c>
      <c r="B35" s="5" t="s">
        <v>636</v>
      </c>
      <c r="C35" s="135" t="n">
        <v>14</v>
      </c>
      <c r="D35" s="47" t="n">
        <f aca="false">Inputs!$C$6</f>
        <v>20000</v>
      </c>
      <c r="E35" s="35" t="n">
        <f aca="false">Inputs!$C$18</f>
        <v>0.015</v>
      </c>
      <c r="F35" s="36" t="n">
        <f aca="false">Inputs!$C$20</f>
        <v>0.2</v>
      </c>
      <c r="G35" s="30" t="n">
        <v>0</v>
      </c>
      <c r="H35" s="27" t="n">
        <v>0</v>
      </c>
      <c r="I35" s="132" t="n">
        <f aca="false">Inputs!$C$38+$C35*Inputs!$C$39</f>
        <v>0.14</v>
      </c>
      <c r="J35" s="36" t="n">
        <f aca="false">Inputs!$C$9</f>
        <v>0.15</v>
      </c>
      <c r="K35" s="89" t="n">
        <f aca="false">IRR(W35:AG35,0.1)</f>
        <v>0.10110885463485</v>
      </c>
      <c r="L35" s="45" t="n">
        <f aca="false">W35+NPV($J35,X35:AG35)</f>
        <v>-3396.15503629748</v>
      </c>
      <c r="M35" s="45" t="n">
        <f aca="false">SUM(BF35,BV35,CL35,DB35,DR35,EH35,EX35,FN35,GD35,GT35)</f>
        <v>35134.0819037035</v>
      </c>
      <c r="N35" s="43" t="n">
        <f aca="false">IF($D35*SUM(Inputs!$C$13:$L$13)=0,0,M35/($D35*SUM(Inputs!$C$13:$L$13)))</f>
        <v>1.75670409518517</v>
      </c>
      <c r="O35" s="42" t="n">
        <f aca="false">$D35*$E35*COLUMNS(Inputs!$C$13:$L$13)</f>
        <v>3000</v>
      </c>
      <c r="P35" s="45" t="n">
        <f aca="false">SUM(BG35,BW35,CM35,DC35,DS35,EI35,EY35,FO35,GE35,GU35)</f>
        <v>3783.52047592587</v>
      </c>
      <c r="Q35" s="42" t="n">
        <f aca="false">PV($J35,COLUMNS(Inputs!$C$13:$L$13),-$D35*$E35,0,1)</f>
        <v>1731.47517591971</v>
      </c>
      <c r="R35" s="45" t="n">
        <f aca="false">NPV($J35,BG35,BW35,CM35,DC35,DS35,EI35,EY35,FO35,GE35,GU35)</f>
        <v>955.70301115641</v>
      </c>
      <c r="S35" s="45" t="n">
        <f aca="false">Q35+R35</f>
        <v>2687.17818707612</v>
      </c>
      <c r="T35" s="32" t="n">
        <f aca="false">IF(S35=0,0,Q35/S35)</f>
        <v>0.644346989807811</v>
      </c>
      <c r="U35" s="45" t="n">
        <f aca="false">ROUND(ABS(GK35)+ABS(SUM(AV35,BL35,CB35,CR35,DH35,DX35,EN35,FD35,FT35,GJ35)-M35-P35)+ABS(S35-(AH35+NPV($J35,AI35:AR35))),6)</f>
        <v>0</v>
      </c>
      <c r="W35" s="133" t="n">
        <f aca="false">-$D35*Inputs!$C$13</f>
        <v>-4000</v>
      </c>
      <c r="X35" s="133" t="n">
        <f aca="false">BF35-$D35*Inputs!$D$13</f>
        <v>-4000</v>
      </c>
      <c r="Y35" s="133" t="n">
        <f aca="false">BV35-$D35*Inputs!$E$13</f>
        <v>-4000</v>
      </c>
      <c r="Z35" s="133" t="n">
        <f aca="false">CL35-$D35*Inputs!$F$13</f>
        <v>-4000</v>
      </c>
      <c r="AA35" s="133" t="n">
        <f aca="false">DB35-$D35*Inputs!$G$13</f>
        <v>-4000</v>
      </c>
      <c r="AB35" s="133" t="n">
        <f aca="false">DR35-$D35*Inputs!$H$13</f>
        <v>5576.283869376</v>
      </c>
      <c r="AC35" s="133" t="n">
        <f aca="false">EH35-$D35*Inputs!$I$13</f>
        <v>5017.17088887091</v>
      </c>
      <c r="AD35" s="133" t="n">
        <f aca="false">EX35-$D35*Inputs!$J$13</f>
        <v>4507.25985065027</v>
      </c>
      <c r="AE35" s="133" t="n">
        <f aca="false">FN35-$D35*Inputs!$K$13</f>
        <v>4042.22098379305</v>
      </c>
      <c r="AF35" s="133" t="n">
        <f aca="false">GD35-$D35*Inputs!$L$13</f>
        <v>3065.89731123736</v>
      </c>
      <c r="AG35" s="84" t="n">
        <f aca="false">GT35</f>
        <v>12925.2489997759</v>
      </c>
      <c r="AH35" s="84" t="n">
        <f aca="false">$D35*$E35</f>
        <v>300</v>
      </c>
      <c r="AI35" s="84" t="n">
        <f aca="false">BG35+$D35*$E35</f>
        <v>300</v>
      </c>
      <c r="AJ35" s="84" t="n">
        <f aca="false">BW35+$D35*$E35</f>
        <v>300</v>
      </c>
      <c r="AK35" s="84" t="n">
        <f aca="false">CM35+$D35*$E35</f>
        <v>300</v>
      </c>
      <c r="AL35" s="84" t="n">
        <f aca="false">DC35+$D35*$E35</f>
        <v>300</v>
      </c>
      <c r="AM35" s="84" t="n">
        <f aca="false">DS35+$D35*$E35</f>
        <v>300</v>
      </c>
      <c r="AN35" s="84" t="n">
        <f aca="false">EI35+$D35*$E35</f>
        <v>300</v>
      </c>
      <c r="AO35" s="84" t="n">
        <f aca="false">EY35+$D35*$E35</f>
        <v>300</v>
      </c>
      <c r="AP35" s="84" t="n">
        <f aca="false">FO35+$D35*$E35</f>
        <v>300</v>
      </c>
      <c r="AQ35" s="84" t="n">
        <f aca="false">GE35+$D35*$E35</f>
        <v>852.208225981901</v>
      </c>
      <c r="AR35" s="84" t="n">
        <f aca="false">GU35</f>
        <v>3231.31224994397</v>
      </c>
      <c r="AT35" s="133" t="n">
        <f aca="false">$D35*Inputs!$C$13-$D35*$E35</f>
        <v>3700</v>
      </c>
      <c r="AU35" s="84" t="n">
        <f aca="false">AT35*(1+$I35)</f>
        <v>4218</v>
      </c>
      <c r="AV35" s="133" t="n">
        <f aca="false">AU35*Inputs!$C$14</f>
        <v>0</v>
      </c>
      <c r="AW35" s="84" t="n">
        <f aca="false">AU35-AV35</f>
        <v>4218</v>
      </c>
      <c r="AX35" s="133" t="n">
        <f aca="false">$D35*Inputs!$C$13</f>
        <v>4000</v>
      </c>
      <c r="AY35" s="84" t="n">
        <f aca="false">MIN(AV35,AX35)</f>
        <v>0</v>
      </c>
      <c r="AZ35" s="84" t="n">
        <f aca="false">AX35-AY35</f>
        <v>4000</v>
      </c>
      <c r="BA35" s="84" t="n">
        <f aca="false">$G35*AX35</f>
        <v>0</v>
      </c>
      <c r="BB35" s="84" t="n">
        <f aca="false">MIN(AV35-AY35,BA35)</f>
        <v>0</v>
      </c>
      <c r="BC35" s="84" t="n">
        <f aca="false">BA35-BB35</f>
        <v>0</v>
      </c>
      <c r="BD35" s="84" t="n">
        <f aca="false">IF($H35=1,MIN(AV35-AY35-BB35,MAX(0,$F35/(1-$F35)*BB35)),0)</f>
        <v>0</v>
      </c>
      <c r="BE35" s="84" t="n">
        <f aca="false">AV35-AY35-BB35-BD35</f>
        <v>0</v>
      </c>
      <c r="BF35" s="84" t="n">
        <f aca="false">AY35+BB35+(1-$F35)*BE35</f>
        <v>0</v>
      </c>
      <c r="BG35" s="84" t="n">
        <f aca="false">BD35+$F35*BE35</f>
        <v>0</v>
      </c>
      <c r="BH35" s="84" t="n">
        <f aca="false">BB35+(1-$F35)*BE35</f>
        <v>0</v>
      </c>
      <c r="BI35" s="84" t="n">
        <f aca="false">BG35</f>
        <v>0</v>
      </c>
      <c r="BJ35" s="133" t="n">
        <f aca="false">AW35+$D35*Inputs!$D$13-$D35*$E35</f>
        <v>7918</v>
      </c>
      <c r="BK35" s="84" t="n">
        <f aca="false">BJ35*(1+$I35)</f>
        <v>9026.52</v>
      </c>
      <c r="BL35" s="133" t="n">
        <f aca="false">BK35*Inputs!$D$14</f>
        <v>0</v>
      </c>
      <c r="BM35" s="84" t="n">
        <f aca="false">BK35-BL35</f>
        <v>9026.52</v>
      </c>
      <c r="BN35" s="133" t="n">
        <f aca="false">AZ35+$D35*Inputs!$D$13</f>
        <v>8000</v>
      </c>
      <c r="BO35" s="84" t="n">
        <f aca="false">MIN(BL35,BN35)</f>
        <v>0</v>
      </c>
      <c r="BP35" s="84" t="n">
        <f aca="false">BN35-BO35</f>
        <v>8000</v>
      </c>
      <c r="BQ35" s="84" t="n">
        <f aca="false">BC35+$G35*(BN35+BC35)</f>
        <v>0</v>
      </c>
      <c r="BR35" s="84" t="n">
        <f aca="false">MIN(BL35-BO35,BQ35)</f>
        <v>0</v>
      </c>
      <c r="BS35" s="84" t="n">
        <f aca="false">BQ35-BR35</f>
        <v>0</v>
      </c>
      <c r="BT35" s="84" t="n">
        <f aca="false">IF($H35=1,MIN(BL35-BO35-BR35,MAX(0,$F35/(1-$F35)*(BH35+BR35)-BI35)),0)</f>
        <v>0</v>
      </c>
      <c r="BU35" s="84" t="n">
        <f aca="false">BL35-BO35-BR35-BT35</f>
        <v>0</v>
      </c>
      <c r="BV35" s="84" t="n">
        <f aca="false">BO35+BR35+(1-$F35)*BU35</f>
        <v>0</v>
      </c>
      <c r="BW35" s="84" t="n">
        <f aca="false">BT35+$F35*BU35</f>
        <v>0</v>
      </c>
      <c r="BX35" s="84" t="n">
        <f aca="false">BH35+BR35+(1-$F35)*BU35</f>
        <v>0</v>
      </c>
      <c r="BY35" s="84" t="n">
        <f aca="false">BI35+BW35</f>
        <v>0</v>
      </c>
      <c r="BZ35" s="133" t="n">
        <f aca="false">BM35+$D35*Inputs!$E$13-$D35*$E35</f>
        <v>12726.52</v>
      </c>
      <c r="CA35" s="84" t="n">
        <f aca="false">BZ35*(1+$I35)</f>
        <v>14508.2328</v>
      </c>
      <c r="CB35" s="133" t="n">
        <f aca="false">CA35*Inputs!$E$14</f>
        <v>0</v>
      </c>
      <c r="CC35" s="84" t="n">
        <f aca="false">CA35-CB35</f>
        <v>14508.2328</v>
      </c>
      <c r="CD35" s="133" t="n">
        <f aca="false">BP35+$D35*Inputs!$E$13</f>
        <v>12000</v>
      </c>
      <c r="CE35" s="84" t="n">
        <f aca="false">MIN(CB35,CD35)</f>
        <v>0</v>
      </c>
      <c r="CF35" s="84" t="n">
        <f aca="false">CD35-CE35</f>
        <v>12000</v>
      </c>
      <c r="CG35" s="84" t="n">
        <f aca="false">BS35+$G35*(CD35+BS35)</f>
        <v>0</v>
      </c>
      <c r="CH35" s="84" t="n">
        <f aca="false">MIN(CB35-CE35,CG35)</f>
        <v>0</v>
      </c>
      <c r="CI35" s="84" t="n">
        <f aca="false">CG35-CH35</f>
        <v>0</v>
      </c>
      <c r="CJ35" s="84" t="n">
        <f aca="false">IF($H35=1,MIN(CB35-CE35-CH35,MAX(0,$F35/(1-$F35)*(BX35+CH35)-BY35)),0)</f>
        <v>0</v>
      </c>
      <c r="CK35" s="84" t="n">
        <f aca="false">CB35-CE35-CH35-CJ35</f>
        <v>0</v>
      </c>
      <c r="CL35" s="84" t="n">
        <f aca="false">CE35+CH35+(1-$F35)*CK35</f>
        <v>0</v>
      </c>
      <c r="CM35" s="84" t="n">
        <f aca="false">CJ35+$F35*CK35</f>
        <v>0</v>
      </c>
      <c r="CN35" s="84" t="n">
        <f aca="false">BX35+CH35+(1-$F35)*CK35</f>
        <v>0</v>
      </c>
      <c r="CO35" s="84" t="n">
        <f aca="false">BY35+CM35</f>
        <v>0</v>
      </c>
      <c r="CP35" s="133" t="n">
        <f aca="false">CC35+$D35*Inputs!$F$13-$D35*$E35</f>
        <v>18208.2328</v>
      </c>
      <c r="CQ35" s="84" t="n">
        <f aca="false">CP35*(1+$I35)</f>
        <v>20757.385392</v>
      </c>
      <c r="CR35" s="133" t="n">
        <f aca="false">CQ35*Inputs!$F$14</f>
        <v>0</v>
      </c>
      <c r="CS35" s="84" t="n">
        <f aca="false">CQ35-CR35</f>
        <v>20757.385392</v>
      </c>
      <c r="CT35" s="133" t="n">
        <f aca="false">CF35+$D35*Inputs!$F$13</f>
        <v>16000</v>
      </c>
      <c r="CU35" s="84" t="n">
        <f aca="false">MIN(CR35,CT35)</f>
        <v>0</v>
      </c>
      <c r="CV35" s="84" t="n">
        <f aca="false">CT35-CU35</f>
        <v>16000</v>
      </c>
      <c r="CW35" s="84" t="n">
        <f aca="false">CI35+$G35*(CT35+CI35)</f>
        <v>0</v>
      </c>
      <c r="CX35" s="84" t="n">
        <f aca="false">MIN(CR35-CU35,CW35)</f>
        <v>0</v>
      </c>
      <c r="CY35" s="84" t="n">
        <f aca="false">CW35-CX35</f>
        <v>0</v>
      </c>
      <c r="CZ35" s="84" t="n">
        <f aca="false">IF($H35=1,MIN(CR35-CU35-CX35,MAX(0,$F35/(1-$F35)*(CN35+CX35)-CO35)),0)</f>
        <v>0</v>
      </c>
      <c r="DA35" s="84" t="n">
        <f aca="false">CR35-CU35-CX35-CZ35</f>
        <v>0</v>
      </c>
      <c r="DB35" s="84" t="n">
        <f aca="false">CU35+CX35+(1-$F35)*DA35</f>
        <v>0</v>
      </c>
      <c r="DC35" s="84" t="n">
        <f aca="false">CZ35+$F35*DA35</f>
        <v>0</v>
      </c>
      <c r="DD35" s="84" t="n">
        <f aca="false">CN35+CX35+(1-$F35)*DA35</f>
        <v>0</v>
      </c>
      <c r="DE35" s="84" t="n">
        <f aca="false">CO35+DC35</f>
        <v>0</v>
      </c>
      <c r="DF35" s="133" t="n">
        <f aca="false">CS35+$D35*Inputs!$G$13-$D35*$E35</f>
        <v>24457.385392</v>
      </c>
      <c r="DG35" s="84" t="n">
        <f aca="false">DF35*(1+$I35)</f>
        <v>27881.41934688</v>
      </c>
      <c r="DH35" s="133" t="n">
        <f aca="false">DG35*Inputs!$G$14</f>
        <v>5576.283869376</v>
      </c>
      <c r="DI35" s="84" t="n">
        <f aca="false">DG35-DH35</f>
        <v>22305.135477504</v>
      </c>
      <c r="DJ35" s="133" t="n">
        <f aca="false">CV35+$D35*Inputs!$G$13</f>
        <v>20000</v>
      </c>
      <c r="DK35" s="84" t="n">
        <f aca="false">MIN(DH35,DJ35)</f>
        <v>5576.283869376</v>
      </c>
      <c r="DL35" s="84" t="n">
        <f aca="false">DJ35-DK35</f>
        <v>14423.716130624</v>
      </c>
      <c r="DM35" s="84" t="n">
        <f aca="false">CY35+$G35*(DJ35+CY35)</f>
        <v>0</v>
      </c>
      <c r="DN35" s="84" t="n">
        <f aca="false">MIN(DH35-DK35,DM35)</f>
        <v>0</v>
      </c>
      <c r="DO35" s="84" t="n">
        <f aca="false">DM35-DN35</f>
        <v>0</v>
      </c>
      <c r="DP35" s="84" t="n">
        <f aca="false">IF($H35=1,MIN(DH35-DK35-DN35,MAX(0,$F35/(1-$F35)*(DD35+DN35)-DE35)),0)</f>
        <v>0</v>
      </c>
      <c r="DQ35" s="84" t="n">
        <f aca="false">DH35-DK35-DN35-DP35</f>
        <v>0</v>
      </c>
      <c r="DR35" s="84" t="n">
        <f aca="false">DK35+DN35+(1-$F35)*DQ35</f>
        <v>5576.283869376</v>
      </c>
      <c r="DS35" s="84" t="n">
        <f aca="false">DP35+$F35*DQ35</f>
        <v>0</v>
      </c>
      <c r="DT35" s="84" t="n">
        <f aca="false">DD35+DN35+(1-$F35)*DQ35</f>
        <v>0</v>
      </c>
      <c r="DU35" s="84" t="n">
        <f aca="false">DE35+DS35</f>
        <v>0</v>
      </c>
      <c r="DV35" s="133" t="n">
        <f aca="false">DI35+$D35*Inputs!$H$13-$D35*$E35</f>
        <v>22005.135477504</v>
      </c>
      <c r="DW35" s="84" t="n">
        <f aca="false">DV35*(1+$I35)</f>
        <v>25085.8544443546</v>
      </c>
      <c r="DX35" s="133" t="n">
        <f aca="false">DW35*Inputs!$H$14</f>
        <v>5017.17088887091</v>
      </c>
      <c r="DY35" s="84" t="n">
        <f aca="false">DW35-DX35</f>
        <v>20068.6835554837</v>
      </c>
      <c r="DZ35" s="133" t="n">
        <f aca="false">DL35+$D35*Inputs!$H$13</f>
        <v>14423.716130624</v>
      </c>
      <c r="EA35" s="84" t="n">
        <f aca="false">MIN(DX35,DZ35)</f>
        <v>5017.17088887091</v>
      </c>
      <c r="EB35" s="84" t="n">
        <f aca="false">DZ35-EA35</f>
        <v>9406.54524175308</v>
      </c>
      <c r="EC35" s="84" t="n">
        <f aca="false">DO35+$G35*(DZ35+DO35)</f>
        <v>0</v>
      </c>
      <c r="ED35" s="84" t="n">
        <f aca="false">MIN(DX35-EA35,EC35)</f>
        <v>0</v>
      </c>
      <c r="EE35" s="84" t="n">
        <f aca="false">EC35-ED35</f>
        <v>0</v>
      </c>
      <c r="EF35" s="84" t="n">
        <f aca="false">IF($H35=1,MIN(DX35-EA35-ED35,MAX(0,$F35/(1-$F35)*(DT35+ED35)-DU35)),0)</f>
        <v>0</v>
      </c>
      <c r="EG35" s="84" t="n">
        <f aca="false">DX35-EA35-ED35-EF35</f>
        <v>0</v>
      </c>
      <c r="EH35" s="84" t="n">
        <f aca="false">EA35+ED35+(1-$F35)*EG35</f>
        <v>5017.17088887091</v>
      </c>
      <c r="EI35" s="84" t="n">
        <f aca="false">EF35+$F35*EG35</f>
        <v>0</v>
      </c>
      <c r="EJ35" s="84" t="n">
        <f aca="false">DT35+ED35+(1-$F35)*EG35</f>
        <v>0</v>
      </c>
      <c r="EK35" s="84" t="n">
        <f aca="false">DU35+EI35</f>
        <v>0</v>
      </c>
      <c r="EL35" s="133" t="n">
        <f aca="false">DY35+$D35*Inputs!$I$13-$D35*$E35</f>
        <v>19768.6835554837</v>
      </c>
      <c r="EM35" s="84" t="n">
        <f aca="false">EL35*(1+$I35)</f>
        <v>22536.2992532514</v>
      </c>
      <c r="EN35" s="133" t="n">
        <f aca="false">EM35*Inputs!$I$14</f>
        <v>4507.25985065027</v>
      </c>
      <c r="EO35" s="84" t="n">
        <f aca="false">EM35-EN35</f>
        <v>18029.0394026011</v>
      </c>
      <c r="EP35" s="133" t="n">
        <f aca="false">EB35+$D35*Inputs!$I$13</f>
        <v>9406.54524175308</v>
      </c>
      <c r="EQ35" s="84" t="n">
        <f aca="false">MIN(EN35,EP35)</f>
        <v>4507.25985065027</v>
      </c>
      <c r="ER35" s="84" t="n">
        <f aca="false">EP35-EQ35</f>
        <v>4899.28539110281</v>
      </c>
      <c r="ES35" s="84" t="n">
        <f aca="false">EE35+$G35*(EP35+EE35)</f>
        <v>0</v>
      </c>
      <c r="ET35" s="84" t="n">
        <f aca="false">MIN(EN35-EQ35,ES35)</f>
        <v>0</v>
      </c>
      <c r="EU35" s="84" t="n">
        <f aca="false">ES35-ET35</f>
        <v>0</v>
      </c>
      <c r="EV35" s="84" t="n">
        <f aca="false">IF($H35=1,MIN(EN35-EQ35-ET35,MAX(0,$F35/(1-$F35)*(EJ35+ET35)-EK35)),0)</f>
        <v>0</v>
      </c>
      <c r="EW35" s="84" t="n">
        <f aca="false">EN35-EQ35-ET35-EV35</f>
        <v>0</v>
      </c>
      <c r="EX35" s="84" t="n">
        <f aca="false">EQ35+ET35+(1-$F35)*EW35</f>
        <v>4507.25985065027</v>
      </c>
      <c r="EY35" s="84" t="n">
        <f aca="false">EV35+$F35*EW35</f>
        <v>0</v>
      </c>
      <c r="EZ35" s="84" t="n">
        <f aca="false">EJ35+ET35+(1-$F35)*EW35</f>
        <v>0</v>
      </c>
      <c r="FA35" s="84" t="n">
        <f aca="false">EK35+EY35</f>
        <v>0</v>
      </c>
      <c r="FB35" s="133" t="n">
        <f aca="false">EO35+$D35*Inputs!$J$13-$D35*$E35</f>
        <v>17729.0394026011</v>
      </c>
      <c r="FC35" s="84" t="n">
        <f aca="false">FB35*(1+$I35)</f>
        <v>20211.1049189653</v>
      </c>
      <c r="FD35" s="133" t="n">
        <f aca="false">FC35*Inputs!$J$14</f>
        <v>4042.22098379305</v>
      </c>
      <c r="FE35" s="84" t="n">
        <f aca="false">FC35-FD35</f>
        <v>16168.8839351722</v>
      </c>
      <c r="FF35" s="133" t="n">
        <f aca="false">ER35+$D35*Inputs!$J$13</f>
        <v>4899.28539110281</v>
      </c>
      <c r="FG35" s="84" t="n">
        <f aca="false">MIN(FD35,FF35)</f>
        <v>4042.22098379305</v>
      </c>
      <c r="FH35" s="84" t="n">
        <f aca="false">FF35-FG35</f>
        <v>857.064407309759</v>
      </c>
      <c r="FI35" s="84" t="n">
        <f aca="false">EU35+$G35*(FF35+EU35)</f>
        <v>0</v>
      </c>
      <c r="FJ35" s="84" t="n">
        <f aca="false">MIN(FD35-FG35,FI35)</f>
        <v>0</v>
      </c>
      <c r="FK35" s="84" t="n">
        <f aca="false">FI35-FJ35</f>
        <v>0</v>
      </c>
      <c r="FL35" s="84" t="n">
        <f aca="false">IF($H35=1,MIN(FD35-FG35-FJ35,MAX(0,$F35/(1-$F35)*(EZ35+FJ35)-FA35)),0)</f>
        <v>0</v>
      </c>
      <c r="FM35" s="84" t="n">
        <f aca="false">FD35-FG35-FJ35-FL35</f>
        <v>0</v>
      </c>
      <c r="FN35" s="84" t="n">
        <f aca="false">FG35+FJ35+(1-$F35)*FM35</f>
        <v>4042.22098379305</v>
      </c>
      <c r="FO35" s="84" t="n">
        <f aca="false">FL35+$F35*FM35</f>
        <v>0</v>
      </c>
      <c r="FP35" s="84" t="n">
        <f aca="false">EZ35+FJ35+(1-$F35)*FM35</f>
        <v>0</v>
      </c>
      <c r="FQ35" s="84" t="n">
        <f aca="false">FA35+FO35</f>
        <v>0</v>
      </c>
      <c r="FR35" s="133" t="n">
        <f aca="false">FE35+$D35*Inputs!$K$13-$D35*$E35</f>
        <v>15868.8839351722</v>
      </c>
      <c r="FS35" s="84" t="n">
        <f aca="false">FR35*(1+$I35)</f>
        <v>18090.5276860963</v>
      </c>
      <c r="FT35" s="133" t="n">
        <f aca="false">FS35*Inputs!$K$14</f>
        <v>3618.10553721926</v>
      </c>
      <c r="FU35" s="84" t="n">
        <f aca="false">FS35-FT35</f>
        <v>14472.4221488771</v>
      </c>
      <c r="FV35" s="133" t="n">
        <f aca="false">FH35+$D35*Inputs!$K$13</f>
        <v>857.064407309759</v>
      </c>
      <c r="FW35" s="84" t="n">
        <f aca="false">MIN(FT35,FV35)</f>
        <v>857.064407309759</v>
      </c>
      <c r="FX35" s="84" t="n">
        <f aca="false">FV35-FW35</f>
        <v>0</v>
      </c>
      <c r="FY35" s="84" t="n">
        <f aca="false">FK35+$G35*(FV35+FK35)</f>
        <v>0</v>
      </c>
      <c r="FZ35" s="84" t="n">
        <f aca="false">MIN(FT35-FW35,FY35)</f>
        <v>0</v>
      </c>
      <c r="GA35" s="84" t="n">
        <f aca="false">FY35-FZ35</f>
        <v>0</v>
      </c>
      <c r="GB35" s="84" t="n">
        <f aca="false">IF($H35=1,MIN(FT35-FW35-FZ35,MAX(0,$F35/(1-$F35)*(FP35+FZ35)-FQ35)),0)</f>
        <v>0</v>
      </c>
      <c r="GC35" s="84" t="n">
        <f aca="false">FT35-FW35-FZ35-GB35</f>
        <v>2761.0411299095</v>
      </c>
      <c r="GD35" s="84" t="n">
        <f aca="false">FW35+FZ35+(1-$F35)*GC35</f>
        <v>3065.89731123736</v>
      </c>
      <c r="GE35" s="84" t="n">
        <f aca="false">GB35+$F35*GC35</f>
        <v>552.208225981901</v>
      </c>
      <c r="GF35" s="84" t="n">
        <f aca="false">FP35+FZ35+(1-$F35)*GC35</f>
        <v>2208.8329039276</v>
      </c>
      <c r="GG35" s="84" t="n">
        <f aca="false">FQ35+GE35</f>
        <v>552.208225981901</v>
      </c>
      <c r="GH35" s="133" t="n">
        <f aca="false">FU35+$D35*Inputs!$L$13-$D35*$E35</f>
        <v>14172.4221488771</v>
      </c>
      <c r="GI35" s="84" t="n">
        <f aca="false">GH35*(1+$I35)</f>
        <v>16156.5612497198</v>
      </c>
      <c r="GJ35" s="133" t="n">
        <f aca="false">GI35*Inputs!$L$14</f>
        <v>16156.5612497198</v>
      </c>
      <c r="GK35" s="84" t="n">
        <f aca="false">GI35-GJ35</f>
        <v>0</v>
      </c>
      <c r="GL35" s="133" t="n">
        <f aca="false">FX35+$D35*Inputs!$L$13</f>
        <v>0</v>
      </c>
      <c r="GM35" s="84" t="n">
        <f aca="false">MIN(GJ35,GL35)</f>
        <v>0</v>
      </c>
      <c r="GN35" s="84" t="n">
        <f aca="false">GL35-GM35</f>
        <v>0</v>
      </c>
      <c r="GO35" s="84" t="n">
        <f aca="false">GA35+$G35*(GL35+GA35)</f>
        <v>0</v>
      </c>
      <c r="GP35" s="84" t="n">
        <f aca="false">MIN(GJ35-GM35,GO35)</f>
        <v>0</v>
      </c>
      <c r="GQ35" s="84" t="n">
        <f aca="false">GO35-GP35</f>
        <v>0</v>
      </c>
      <c r="GR35" s="84" t="n">
        <f aca="false">IF($H35=1,MIN(GJ35-GM35-GP35,MAX(0,$F35/(1-$F35)*(GF35+GP35)-GG35)),0)</f>
        <v>0</v>
      </c>
      <c r="GS35" s="84" t="n">
        <f aca="false">GJ35-GM35-GP35-GR35</f>
        <v>16156.5612497198</v>
      </c>
      <c r="GT35" s="84" t="n">
        <f aca="false">GM35+GP35+(1-$F35)*GS35</f>
        <v>12925.2489997759</v>
      </c>
      <c r="GU35" s="84" t="n">
        <f aca="false">GR35+$F35*GS35</f>
        <v>3231.31224994397</v>
      </c>
      <c r="GV35" s="84" t="n">
        <f aca="false">GF35+GP35+(1-$F35)*GS35</f>
        <v>15134.0819037035</v>
      </c>
      <c r="GW35" s="84" t="n">
        <f aca="false">GG35+GU35</f>
        <v>3783.52047592587</v>
      </c>
    </row>
    <row r="36" customFormat="false" ht="15" hidden="false" customHeight="false" outlineLevel="0" collapsed="false">
      <c r="A36" s="5" t="s">
        <v>635</v>
      </c>
      <c r="B36" s="5" t="s">
        <v>636</v>
      </c>
      <c r="C36" s="135" t="n">
        <v>15</v>
      </c>
      <c r="D36" s="47" t="n">
        <f aca="false">Inputs!$C$6</f>
        <v>20000</v>
      </c>
      <c r="E36" s="35" t="n">
        <f aca="false">Inputs!$C$18</f>
        <v>0.015</v>
      </c>
      <c r="F36" s="36" t="n">
        <f aca="false">Inputs!$C$20</f>
        <v>0.2</v>
      </c>
      <c r="G36" s="30" t="n">
        <v>0</v>
      </c>
      <c r="H36" s="27" t="n">
        <v>0</v>
      </c>
      <c r="I36" s="132" t="n">
        <f aca="false">Inputs!$C$38+$C36*Inputs!$C$39</f>
        <v>0.15</v>
      </c>
      <c r="J36" s="36" t="n">
        <f aca="false">Inputs!$C$9</f>
        <v>0.15</v>
      </c>
      <c r="K36" s="89" t="n">
        <f aca="false">IRR(W36:AG36,0.1)</f>
        <v>0.110445197701687</v>
      </c>
      <c r="L36" s="45" t="n">
        <f aca="false">W36+NPV($J36,X36:AG36)</f>
        <v>-2810.41859881745</v>
      </c>
      <c r="M36" s="45" t="n">
        <f aca="false">SUM(BF36,BV36,CL36,DB36,DR36,EH36,EX36,FN36,GD36,GT36)</f>
        <v>37001.9824698644</v>
      </c>
      <c r="N36" s="43" t="n">
        <f aca="false">IF($D36*SUM(Inputs!$C$13:$L$13)=0,0,M36/($D36*SUM(Inputs!$C$13:$L$13)))</f>
        <v>1.85009912349322</v>
      </c>
      <c r="O36" s="42" t="n">
        <f aca="false">$D36*$E36*COLUMNS(Inputs!$C$13:$L$13)</f>
        <v>3000</v>
      </c>
      <c r="P36" s="45" t="n">
        <f aca="false">SUM(BG36,BW36,CM36,DC36,DS36,EI36,EY36,FO36,GE36,GU36)</f>
        <v>4250.4956174661</v>
      </c>
      <c r="Q36" s="42" t="n">
        <f aca="false">PV($J36,COLUMNS(Inputs!$C$13:$L$13),-$D36*$E36,0,1)</f>
        <v>1731.47517591971</v>
      </c>
      <c r="R36" s="45" t="n">
        <f aca="false">NPV($J36,BG36,BW36,CM36,DC36,DS36,EI36,EY36,FO36,GE36,GU36)</f>
        <v>1078.94342289774</v>
      </c>
      <c r="S36" s="45" t="n">
        <f aca="false">Q36+R36</f>
        <v>2810.41859881745</v>
      </c>
      <c r="T36" s="32" t="n">
        <f aca="false">IF(S36=0,0,Q36/S36)</f>
        <v>0.616091558975687</v>
      </c>
      <c r="U36" s="45" t="n">
        <f aca="false">ROUND(ABS(GK36)+ABS(SUM(AV36,BL36,CB36,CR36,DH36,DX36,EN36,FD36,FT36,GJ36)-M36-P36)+ABS(S36-(AH36+NPV($J36,AI36:AR36))),6)</f>
        <v>0</v>
      </c>
      <c r="W36" s="133" t="n">
        <f aca="false">-$D36*Inputs!$C$13</f>
        <v>-4000</v>
      </c>
      <c r="X36" s="133" t="n">
        <f aca="false">BF36-$D36*Inputs!$D$13</f>
        <v>-4000</v>
      </c>
      <c r="Y36" s="133" t="n">
        <f aca="false">BV36-$D36*Inputs!$E$13</f>
        <v>-4000</v>
      </c>
      <c r="Z36" s="133" t="n">
        <f aca="false">CL36-$D36*Inputs!$F$13</f>
        <v>-4000</v>
      </c>
      <c r="AA36" s="133" t="n">
        <f aca="false">DB36-$D36*Inputs!$G$13</f>
        <v>-4000</v>
      </c>
      <c r="AB36" s="133" t="n">
        <f aca="false">DR36-$D36*Inputs!$H$13</f>
        <v>5737.76644375</v>
      </c>
      <c r="AC36" s="133" t="n">
        <f aca="false">EH36-$D36*Inputs!$I$13</f>
        <v>5209.74512825</v>
      </c>
      <c r="AD36" s="133" t="n">
        <f aca="false">EX36-$D36*Inputs!$J$13</f>
        <v>4723.96551799</v>
      </c>
      <c r="AE36" s="133" t="n">
        <f aca="false">FN36-$D36*Inputs!$K$13</f>
        <v>4277.0482765508</v>
      </c>
      <c r="AF36" s="133" t="n">
        <f aca="false">GD36-$D36*Inputs!$L$13</f>
        <v>3103.00245823323</v>
      </c>
      <c r="AG36" s="84" t="n">
        <f aca="false">GT36</f>
        <v>13950.4546450904</v>
      </c>
      <c r="AH36" s="84" t="n">
        <f aca="false">$D36*$E36</f>
        <v>300</v>
      </c>
      <c r="AI36" s="84" t="n">
        <f aca="false">BG36+$D36*$E36</f>
        <v>300</v>
      </c>
      <c r="AJ36" s="84" t="n">
        <f aca="false">BW36+$D36*$E36</f>
        <v>300</v>
      </c>
      <c r="AK36" s="84" t="n">
        <f aca="false">CM36+$D36*$E36</f>
        <v>300</v>
      </c>
      <c r="AL36" s="84" t="n">
        <f aca="false">DC36+$D36*$E36</f>
        <v>300</v>
      </c>
      <c r="AM36" s="84" t="n">
        <f aca="false">DS36+$D36*$E36</f>
        <v>300</v>
      </c>
      <c r="AN36" s="84" t="n">
        <f aca="false">EI36+$D36*$E36</f>
        <v>300</v>
      </c>
      <c r="AO36" s="84" t="n">
        <f aca="false">EY36+$D36*$E36</f>
        <v>300</v>
      </c>
      <c r="AP36" s="84" t="n">
        <f aca="false">FO36+$D36*$E36</f>
        <v>300</v>
      </c>
      <c r="AQ36" s="84" t="n">
        <f aca="false">GE36+$D36*$E36</f>
        <v>1062.88195619351</v>
      </c>
      <c r="AR36" s="84" t="n">
        <f aca="false">GU36</f>
        <v>3487.6136612726</v>
      </c>
      <c r="AT36" s="133" t="n">
        <f aca="false">$D36*Inputs!$C$13-$D36*$E36</f>
        <v>3700</v>
      </c>
      <c r="AU36" s="84" t="n">
        <f aca="false">AT36*(1+$I36)</f>
        <v>4255</v>
      </c>
      <c r="AV36" s="133" t="n">
        <f aca="false">AU36*Inputs!$C$14</f>
        <v>0</v>
      </c>
      <c r="AW36" s="84" t="n">
        <f aca="false">AU36-AV36</f>
        <v>4255</v>
      </c>
      <c r="AX36" s="133" t="n">
        <f aca="false">$D36*Inputs!$C$13</f>
        <v>4000</v>
      </c>
      <c r="AY36" s="84" t="n">
        <f aca="false">MIN(AV36,AX36)</f>
        <v>0</v>
      </c>
      <c r="AZ36" s="84" t="n">
        <f aca="false">AX36-AY36</f>
        <v>4000</v>
      </c>
      <c r="BA36" s="84" t="n">
        <f aca="false">$G36*AX36</f>
        <v>0</v>
      </c>
      <c r="BB36" s="84" t="n">
        <f aca="false">MIN(AV36-AY36,BA36)</f>
        <v>0</v>
      </c>
      <c r="BC36" s="84" t="n">
        <f aca="false">BA36-BB36</f>
        <v>0</v>
      </c>
      <c r="BD36" s="84" t="n">
        <f aca="false">IF($H36=1,MIN(AV36-AY36-BB36,MAX(0,$F36/(1-$F36)*BB36)),0)</f>
        <v>0</v>
      </c>
      <c r="BE36" s="84" t="n">
        <f aca="false">AV36-AY36-BB36-BD36</f>
        <v>0</v>
      </c>
      <c r="BF36" s="84" t="n">
        <f aca="false">AY36+BB36+(1-$F36)*BE36</f>
        <v>0</v>
      </c>
      <c r="BG36" s="84" t="n">
        <f aca="false">BD36+$F36*BE36</f>
        <v>0</v>
      </c>
      <c r="BH36" s="84" t="n">
        <f aca="false">BB36+(1-$F36)*BE36</f>
        <v>0</v>
      </c>
      <c r="BI36" s="84" t="n">
        <f aca="false">BG36</f>
        <v>0</v>
      </c>
      <c r="BJ36" s="133" t="n">
        <f aca="false">AW36+$D36*Inputs!$D$13-$D36*$E36</f>
        <v>7955</v>
      </c>
      <c r="BK36" s="84" t="n">
        <f aca="false">BJ36*(1+$I36)</f>
        <v>9148.25</v>
      </c>
      <c r="BL36" s="133" t="n">
        <f aca="false">BK36*Inputs!$D$14</f>
        <v>0</v>
      </c>
      <c r="BM36" s="84" t="n">
        <f aca="false">BK36-BL36</f>
        <v>9148.25</v>
      </c>
      <c r="BN36" s="133" t="n">
        <f aca="false">AZ36+$D36*Inputs!$D$13</f>
        <v>8000</v>
      </c>
      <c r="BO36" s="84" t="n">
        <f aca="false">MIN(BL36,BN36)</f>
        <v>0</v>
      </c>
      <c r="BP36" s="84" t="n">
        <f aca="false">BN36-BO36</f>
        <v>8000</v>
      </c>
      <c r="BQ36" s="84" t="n">
        <f aca="false">BC36+$G36*(BN36+BC36)</f>
        <v>0</v>
      </c>
      <c r="BR36" s="84" t="n">
        <f aca="false">MIN(BL36-BO36,BQ36)</f>
        <v>0</v>
      </c>
      <c r="BS36" s="84" t="n">
        <f aca="false">BQ36-BR36</f>
        <v>0</v>
      </c>
      <c r="BT36" s="84" t="n">
        <f aca="false">IF($H36=1,MIN(BL36-BO36-BR36,MAX(0,$F36/(1-$F36)*(BH36+BR36)-BI36)),0)</f>
        <v>0</v>
      </c>
      <c r="BU36" s="84" t="n">
        <f aca="false">BL36-BO36-BR36-BT36</f>
        <v>0</v>
      </c>
      <c r="BV36" s="84" t="n">
        <f aca="false">BO36+BR36+(1-$F36)*BU36</f>
        <v>0</v>
      </c>
      <c r="BW36" s="84" t="n">
        <f aca="false">BT36+$F36*BU36</f>
        <v>0</v>
      </c>
      <c r="BX36" s="84" t="n">
        <f aca="false">BH36+BR36+(1-$F36)*BU36</f>
        <v>0</v>
      </c>
      <c r="BY36" s="84" t="n">
        <f aca="false">BI36+BW36</f>
        <v>0</v>
      </c>
      <c r="BZ36" s="133" t="n">
        <f aca="false">BM36+$D36*Inputs!$E$13-$D36*$E36</f>
        <v>12848.25</v>
      </c>
      <c r="CA36" s="84" t="n">
        <f aca="false">BZ36*(1+$I36)</f>
        <v>14775.4875</v>
      </c>
      <c r="CB36" s="133" t="n">
        <f aca="false">CA36*Inputs!$E$14</f>
        <v>0</v>
      </c>
      <c r="CC36" s="84" t="n">
        <f aca="false">CA36-CB36</f>
        <v>14775.4875</v>
      </c>
      <c r="CD36" s="133" t="n">
        <f aca="false">BP36+$D36*Inputs!$E$13</f>
        <v>12000</v>
      </c>
      <c r="CE36" s="84" t="n">
        <f aca="false">MIN(CB36,CD36)</f>
        <v>0</v>
      </c>
      <c r="CF36" s="84" t="n">
        <f aca="false">CD36-CE36</f>
        <v>12000</v>
      </c>
      <c r="CG36" s="84" t="n">
        <f aca="false">BS36+$G36*(CD36+BS36)</f>
        <v>0</v>
      </c>
      <c r="CH36" s="84" t="n">
        <f aca="false">MIN(CB36-CE36,CG36)</f>
        <v>0</v>
      </c>
      <c r="CI36" s="84" t="n">
        <f aca="false">CG36-CH36</f>
        <v>0</v>
      </c>
      <c r="CJ36" s="84" t="n">
        <f aca="false">IF($H36=1,MIN(CB36-CE36-CH36,MAX(0,$F36/(1-$F36)*(BX36+CH36)-BY36)),0)</f>
        <v>0</v>
      </c>
      <c r="CK36" s="84" t="n">
        <f aca="false">CB36-CE36-CH36-CJ36</f>
        <v>0</v>
      </c>
      <c r="CL36" s="84" t="n">
        <f aca="false">CE36+CH36+(1-$F36)*CK36</f>
        <v>0</v>
      </c>
      <c r="CM36" s="84" t="n">
        <f aca="false">CJ36+$F36*CK36</f>
        <v>0</v>
      </c>
      <c r="CN36" s="84" t="n">
        <f aca="false">BX36+CH36+(1-$F36)*CK36</f>
        <v>0</v>
      </c>
      <c r="CO36" s="84" t="n">
        <f aca="false">BY36+CM36</f>
        <v>0</v>
      </c>
      <c r="CP36" s="133" t="n">
        <f aca="false">CC36+$D36*Inputs!$F$13-$D36*$E36</f>
        <v>18475.4875</v>
      </c>
      <c r="CQ36" s="84" t="n">
        <f aca="false">CP36*(1+$I36)</f>
        <v>21246.810625</v>
      </c>
      <c r="CR36" s="133" t="n">
        <f aca="false">CQ36*Inputs!$F$14</f>
        <v>0</v>
      </c>
      <c r="CS36" s="84" t="n">
        <f aca="false">CQ36-CR36</f>
        <v>21246.810625</v>
      </c>
      <c r="CT36" s="133" t="n">
        <f aca="false">CF36+$D36*Inputs!$F$13</f>
        <v>16000</v>
      </c>
      <c r="CU36" s="84" t="n">
        <f aca="false">MIN(CR36,CT36)</f>
        <v>0</v>
      </c>
      <c r="CV36" s="84" t="n">
        <f aca="false">CT36-CU36</f>
        <v>16000</v>
      </c>
      <c r="CW36" s="84" t="n">
        <f aca="false">CI36+$G36*(CT36+CI36)</f>
        <v>0</v>
      </c>
      <c r="CX36" s="84" t="n">
        <f aca="false">MIN(CR36-CU36,CW36)</f>
        <v>0</v>
      </c>
      <c r="CY36" s="84" t="n">
        <f aca="false">CW36-CX36</f>
        <v>0</v>
      </c>
      <c r="CZ36" s="84" t="n">
        <f aca="false">IF($H36=1,MIN(CR36-CU36-CX36,MAX(0,$F36/(1-$F36)*(CN36+CX36)-CO36)),0)</f>
        <v>0</v>
      </c>
      <c r="DA36" s="84" t="n">
        <f aca="false">CR36-CU36-CX36-CZ36</f>
        <v>0</v>
      </c>
      <c r="DB36" s="84" t="n">
        <f aca="false">CU36+CX36+(1-$F36)*DA36</f>
        <v>0</v>
      </c>
      <c r="DC36" s="84" t="n">
        <f aca="false">CZ36+$F36*DA36</f>
        <v>0</v>
      </c>
      <c r="DD36" s="84" t="n">
        <f aca="false">CN36+CX36+(1-$F36)*DA36</f>
        <v>0</v>
      </c>
      <c r="DE36" s="84" t="n">
        <f aca="false">CO36+DC36</f>
        <v>0</v>
      </c>
      <c r="DF36" s="133" t="n">
        <f aca="false">CS36+$D36*Inputs!$G$13-$D36*$E36</f>
        <v>24946.810625</v>
      </c>
      <c r="DG36" s="84" t="n">
        <f aca="false">DF36*(1+$I36)</f>
        <v>28688.83221875</v>
      </c>
      <c r="DH36" s="133" t="n">
        <f aca="false">DG36*Inputs!$G$14</f>
        <v>5737.76644375</v>
      </c>
      <c r="DI36" s="84" t="n">
        <f aca="false">DG36-DH36</f>
        <v>22951.065775</v>
      </c>
      <c r="DJ36" s="133" t="n">
        <f aca="false">CV36+$D36*Inputs!$G$13</f>
        <v>20000</v>
      </c>
      <c r="DK36" s="84" t="n">
        <f aca="false">MIN(DH36,DJ36)</f>
        <v>5737.76644375</v>
      </c>
      <c r="DL36" s="84" t="n">
        <f aca="false">DJ36-DK36</f>
        <v>14262.23355625</v>
      </c>
      <c r="DM36" s="84" t="n">
        <f aca="false">CY36+$G36*(DJ36+CY36)</f>
        <v>0</v>
      </c>
      <c r="DN36" s="84" t="n">
        <f aca="false">MIN(DH36-DK36,DM36)</f>
        <v>0</v>
      </c>
      <c r="DO36" s="84" t="n">
        <f aca="false">DM36-DN36</f>
        <v>0</v>
      </c>
      <c r="DP36" s="84" t="n">
        <f aca="false">IF($H36=1,MIN(DH36-DK36-DN36,MAX(0,$F36/(1-$F36)*(DD36+DN36)-DE36)),0)</f>
        <v>0</v>
      </c>
      <c r="DQ36" s="84" t="n">
        <f aca="false">DH36-DK36-DN36-DP36</f>
        <v>0</v>
      </c>
      <c r="DR36" s="84" t="n">
        <f aca="false">DK36+DN36+(1-$F36)*DQ36</f>
        <v>5737.76644375</v>
      </c>
      <c r="DS36" s="84" t="n">
        <f aca="false">DP36+$F36*DQ36</f>
        <v>0</v>
      </c>
      <c r="DT36" s="84" t="n">
        <f aca="false">DD36+DN36+(1-$F36)*DQ36</f>
        <v>0</v>
      </c>
      <c r="DU36" s="84" t="n">
        <f aca="false">DE36+DS36</f>
        <v>0</v>
      </c>
      <c r="DV36" s="133" t="n">
        <f aca="false">DI36+$D36*Inputs!$H$13-$D36*$E36</f>
        <v>22651.065775</v>
      </c>
      <c r="DW36" s="84" t="n">
        <f aca="false">DV36*(1+$I36)</f>
        <v>26048.72564125</v>
      </c>
      <c r="DX36" s="133" t="n">
        <f aca="false">DW36*Inputs!$H$14</f>
        <v>5209.74512825</v>
      </c>
      <c r="DY36" s="84" t="n">
        <f aca="false">DW36-DX36</f>
        <v>20838.980513</v>
      </c>
      <c r="DZ36" s="133" t="n">
        <f aca="false">DL36+$D36*Inputs!$H$13</f>
        <v>14262.23355625</v>
      </c>
      <c r="EA36" s="84" t="n">
        <f aca="false">MIN(DX36,DZ36)</f>
        <v>5209.74512825</v>
      </c>
      <c r="EB36" s="84" t="n">
        <f aca="false">DZ36-EA36</f>
        <v>9052.488428</v>
      </c>
      <c r="EC36" s="84" t="n">
        <f aca="false">DO36+$G36*(DZ36+DO36)</f>
        <v>0</v>
      </c>
      <c r="ED36" s="84" t="n">
        <f aca="false">MIN(DX36-EA36,EC36)</f>
        <v>0</v>
      </c>
      <c r="EE36" s="84" t="n">
        <f aca="false">EC36-ED36</f>
        <v>0</v>
      </c>
      <c r="EF36" s="84" t="n">
        <f aca="false">IF($H36=1,MIN(DX36-EA36-ED36,MAX(0,$F36/(1-$F36)*(DT36+ED36)-DU36)),0)</f>
        <v>0</v>
      </c>
      <c r="EG36" s="84" t="n">
        <f aca="false">DX36-EA36-ED36-EF36</f>
        <v>0</v>
      </c>
      <c r="EH36" s="84" t="n">
        <f aca="false">EA36+ED36+(1-$F36)*EG36</f>
        <v>5209.74512825</v>
      </c>
      <c r="EI36" s="84" t="n">
        <f aca="false">EF36+$F36*EG36</f>
        <v>0</v>
      </c>
      <c r="EJ36" s="84" t="n">
        <f aca="false">DT36+ED36+(1-$F36)*EG36</f>
        <v>0</v>
      </c>
      <c r="EK36" s="84" t="n">
        <f aca="false">DU36+EI36</f>
        <v>0</v>
      </c>
      <c r="EL36" s="133" t="n">
        <f aca="false">DY36+$D36*Inputs!$I$13-$D36*$E36</f>
        <v>20538.980513</v>
      </c>
      <c r="EM36" s="84" t="n">
        <f aca="false">EL36*(1+$I36)</f>
        <v>23619.82758995</v>
      </c>
      <c r="EN36" s="133" t="n">
        <f aca="false">EM36*Inputs!$I$14</f>
        <v>4723.96551799</v>
      </c>
      <c r="EO36" s="84" t="n">
        <f aca="false">EM36-EN36</f>
        <v>18895.86207196</v>
      </c>
      <c r="EP36" s="133" t="n">
        <f aca="false">EB36+$D36*Inputs!$I$13</f>
        <v>9052.488428</v>
      </c>
      <c r="EQ36" s="84" t="n">
        <f aca="false">MIN(EN36,EP36)</f>
        <v>4723.96551799</v>
      </c>
      <c r="ER36" s="84" t="n">
        <f aca="false">EP36-EQ36</f>
        <v>4328.52291001</v>
      </c>
      <c r="ES36" s="84" t="n">
        <f aca="false">EE36+$G36*(EP36+EE36)</f>
        <v>0</v>
      </c>
      <c r="ET36" s="84" t="n">
        <f aca="false">MIN(EN36-EQ36,ES36)</f>
        <v>0</v>
      </c>
      <c r="EU36" s="84" t="n">
        <f aca="false">ES36-ET36</f>
        <v>0</v>
      </c>
      <c r="EV36" s="84" t="n">
        <f aca="false">IF($H36=1,MIN(EN36-EQ36-ET36,MAX(0,$F36/(1-$F36)*(EJ36+ET36)-EK36)),0)</f>
        <v>0</v>
      </c>
      <c r="EW36" s="84" t="n">
        <f aca="false">EN36-EQ36-ET36-EV36</f>
        <v>0</v>
      </c>
      <c r="EX36" s="84" t="n">
        <f aca="false">EQ36+ET36+(1-$F36)*EW36</f>
        <v>4723.96551799</v>
      </c>
      <c r="EY36" s="84" t="n">
        <f aca="false">EV36+$F36*EW36</f>
        <v>0</v>
      </c>
      <c r="EZ36" s="84" t="n">
        <f aca="false">EJ36+ET36+(1-$F36)*EW36</f>
        <v>0</v>
      </c>
      <c r="FA36" s="84" t="n">
        <f aca="false">EK36+EY36</f>
        <v>0</v>
      </c>
      <c r="FB36" s="133" t="n">
        <f aca="false">EO36+$D36*Inputs!$J$13-$D36*$E36</f>
        <v>18595.86207196</v>
      </c>
      <c r="FC36" s="84" t="n">
        <f aca="false">FB36*(1+$I36)</f>
        <v>21385.241382754</v>
      </c>
      <c r="FD36" s="133" t="n">
        <f aca="false">FC36*Inputs!$J$14</f>
        <v>4277.0482765508</v>
      </c>
      <c r="FE36" s="84" t="n">
        <f aca="false">FC36-FD36</f>
        <v>17108.1931062032</v>
      </c>
      <c r="FF36" s="133" t="n">
        <f aca="false">ER36+$D36*Inputs!$J$13</f>
        <v>4328.52291001</v>
      </c>
      <c r="FG36" s="84" t="n">
        <f aca="false">MIN(FD36,FF36)</f>
        <v>4277.0482765508</v>
      </c>
      <c r="FH36" s="84" t="n">
        <f aca="false">FF36-FG36</f>
        <v>51.4746334592055</v>
      </c>
      <c r="FI36" s="84" t="n">
        <f aca="false">EU36+$G36*(FF36+EU36)</f>
        <v>0</v>
      </c>
      <c r="FJ36" s="84" t="n">
        <f aca="false">MIN(FD36-FG36,FI36)</f>
        <v>0</v>
      </c>
      <c r="FK36" s="84" t="n">
        <f aca="false">FI36-FJ36</f>
        <v>0</v>
      </c>
      <c r="FL36" s="84" t="n">
        <f aca="false">IF($H36=1,MIN(FD36-FG36-FJ36,MAX(0,$F36/(1-$F36)*(EZ36+FJ36)-FA36)),0)</f>
        <v>0</v>
      </c>
      <c r="FM36" s="84" t="n">
        <f aca="false">FD36-FG36-FJ36-FL36</f>
        <v>0</v>
      </c>
      <c r="FN36" s="84" t="n">
        <f aca="false">FG36+FJ36+(1-$F36)*FM36</f>
        <v>4277.0482765508</v>
      </c>
      <c r="FO36" s="84" t="n">
        <f aca="false">FL36+$F36*FM36</f>
        <v>0</v>
      </c>
      <c r="FP36" s="84" t="n">
        <f aca="false">EZ36+FJ36+(1-$F36)*FM36</f>
        <v>0</v>
      </c>
      <c r="FQ36" s="84" t="n">
        <f aca="false">FA36+FO36</f>
        <v>0</v>
      </c>
      <c r="FR36" s="133" t="n">
        <f aca="false">FE36+$D36*Inputs!$K$13-$D36*$E36</f>
        <v>16808.1931062032</v>
      </c>
      <c r="FS36" s="84" t="n">
        <f aca="false">FR36*(1+$I36)</f>
        <v>19329.4220721337</v>
      </c>
      <c r="FT36" s="133" t="n">
        <f aca="false">FS36*Inputs!$K$14</f>
        <v>3865.88441442673</v>
      </c>
      <c r="FU36" s="84" t="n">
        <f aca="false">FS36-FT36</f>
        <v>15463.5376577069</v>
      </c>
      <c r="FV36" s="133" t="n">
        <f aca="false">FH36+$D36*Inputs!$K$13</f>
        <v>51.4746334592055</v>
      </c>
      <c r="FW36" s="84" t="n">
        <f aca="false">MIN(FT36,FV36)</f>
        <v>51.4746334592055</v>
      </c>
      <c r="FX36" s="84" t="n">
        <f aca="false">FV36-FW36</f>
        <v>0</v>
      </c>
      <c r="FY36" s="84" t="n">
        <f aca="false">FK36+$G36*(FV36+FK36)</f>
        <v>0</v>
      </c>
      <c r="FZ36" s="84" t="n">
        <f aca="false">MIN(FT36-FW36,FY36)</f>
        <v>0</v>
      </c>
      <c r="GA36" s="84" t="n">
        <f aca="false">FY36-FZ36</f>
        <v>0</v>
      </c>
      <c r="GB36" s="84" t="n">
        <f aca="false">IF($H36=1,MIN(FT36-FW36-FZ36,MAX(0,$F36/(1-$F36)*(FP36+FZ36)-FQ36)),0)</f>
        <v>0</v>
      </c>
      <c r="GC36" s="84" t="n">
        <f aca="false">FT36-FW36-FZ36-GB36</f>
        <v>3814.40978096753</v>
      </c>
      <c r="GD36" s="84" t="n">
        <f aca="false">FW36+FZ36+(1-$F36)*GC36</f>
        <v>3103.00245823323</v>
      </c>
      <c r="GE36" s="84" t="n">
        <f aca="false">GB36+$F36*GC36</f>
        <v>762.881956193506</v>
      </c>
      <c r="GF36" s="84" t="n">
        <f aca="false">FP36+FZ36+(1-$F36)*GC36</f>
        <v>3051.52782477402</v>
      </c>
      <c r="GG36" s="84" t="n">
        <f aca="false">FQ36+GE36</f>
        <v>762.881956193506</v>
      </c>
      <c r="GH36" s="133" t="n">
        <f aca="false">FU36+$D36*Inputs!$L$13-$D36*$E36</f>
        <v>15163.5376577069</v>
      </c>
      <c r="GI36" s="84" t="n">
        <f aca="false">GH36*(1+$I36)</f>
        <v>17438.068306363</v>
      </c>
      <c r="GJ36" s="133" t="n">
        <f aca="false">GI36*Inputs!$L$14</f>
        <v>17438.068306363</v>
      </c>
      <c r="GK36" s="84" t="n">
        <f aca="false">GI36-GJ36</f>
        <v>0</v>
      </c>
      <c r="GL36" s="133" t="n">
        <f aca="false">FX36+$D36*Inputs!$L$13</f>
        <v>0</v>
      </c>
      <c r="GM36" s="84" t="n">
        <f aca="false">MIN(GJ36,GL36)</f>
        <v>0</v>
      </c>
      <c r="GN36" s="84" t="n">
        <f aca="false">GL36-GM36</f>
        <v>0</v>
      </c>
      <c r="GO36" s="84" t="n">
        <f aca="false">GA36+$G36*(GL36+GA36)</f>
        <v>0</v>
      </c>
      <c r="GP36" s="84" t="n">
        <f aca="false">MIN(GJ36-GM36,GO36)</f>
        <v>0</v>
      </c>
      <c r="GQ36" s="84" t="n">
        <f aca="false">GO36-GP36</f>
        <v>0</v>
      </c>
      <c r="GR36" s="84" t="n">
        <f aca="false">IF($H36=1,MIN(GJ36-GM36-GP36,MAX(0,$F36/(1-$F36)*(GF36+GP36)-GG36)),0)</f>
        <v>0</v>
      </c>
      <c r="GS36" s="84" t="n">
        <f aca="false">GJ36-GM36-GP36-GR36</f>
        <v>17438.068306363</v>
      </c>
      <c r="GT36" s="84" t="n">
        <f aca="false">GM36+GP36+(1-$F36)*GS36</f>
        <v>13950.4546450904</v>
      </c>
      <c r="GU36" s="84" t="n">
        <f aca="false">GR36+$F36*GS36</f>
        <v>3487.6136612726</v>
      </c>
      <c r="GV36" s="84" t="n">
        <f aca="false">GF36+GP36+(1-$F36)*GS36</f>
        <v>17001.9824698644</v>
      </c>
      <c r="GW36" s="84" t="n">
        <f aca="false">GG36+GU36</f>
        <v>4250.4956174661</v>
      </c>
    </row>
    <row r="37" customFormat="false" ht="15" hidden="false" customHeight="false" outlineLevel="0" collapsed="false">
      <c r="A37" s="5" t="s">
        <v>635</v>
      </c>
      <c r="B37" s="5" t="s">
        <v>636</v>
      </c>
      <c r="C37" s="135" t="n">
        <v>16</v>
      </c>
      <c r="D37" s="47" t="n">
        <f aca="false">Inputs!$C$6</f>
        <v>20000</v>
      </c>
      <c r="E37" s="35" t="n">
        <f aca="false">Inputs!$C$18</f>
        <v>0.015</v>
      </c>
      <c r="F37" s="36" t="n">
        <f aca="false">Inputs!$C$20</f>
        <v>0.2</v>
      </c>
      <c r="G37" s="30" t="n">
        <v>0</v>
      </c>
      <c r="H37" s="27" t="n">
        <v>0</v>
      </c>
      <c r="I37" s="132" t="n">
        <f aca="false">Inputs!$C$38+$C37*Inputs!$C$39</f>
        <v>0.16</v>
      </c>
      <c r="J37" s="36" t="n">
        <f aca="false">Inputs!$C$9</f>
        <v>0.15</v>
      </c>
      <c r="K37" s="89" t="n">
        <f aca="false">IRR(W37:AG37,0.1)</f>
        <v>0.119743396043373</v>
      </c>
      <c r="L37" s="45" t="n">
        <f aca="false">W37+NPV($J37,X37:AG37)</f>
        <v>-2200.3512060495</v>
      </c>
      <c r="M37" s="45" t="n">
        <f aca="false">SUM(BF37,BV37,CL37,DB37,DR37,EH37,EX37,FN37,GD37,GT37)</f>
        <v>38977.1819805275</v>
      </c>
      <c r="N37" s="43" t="n">
        <f aca="false">IF($D37*SUM(Inputs!$C$13:$L$13)=0,0,M37/($D37*SUM(Inputs!$C$13:$L$13)))</f>
        <v>1.94885909902637</v>
      </c>
      <c r="O37" s="42" t="n">
        <f aca="false">$D37*$E37*COLUMNS(Inputs!$C$13:$L$13)</f>
        <v>3000</v>
      </c>
      <c r="P37" s="45" t="n">
        <f aca="false">SUM(BG37,BW37,CM37,DC37,DS37,EI37,EY37,FO37,GE37,GU37)</f>
        <v>4744.29549513187</v>
      </c>
      <c r="Q37" s="42" t="n">
        <f aca="false">PV($J37,COLUMNS(Inputs!$C$13:$L$13),-$D37*$E37,0,1)</f>
        <v>1731.47517591971</v>
      </c>
      <c r="R37" s="45" t="n">
        <f aca="false">NPV($J37,BG37,BW37,CM37,DC37,DS37,EI37,EY37,FO37,GE37,GU37)</f>
        <v>1215.85320453675</v>
      </c>
      <c r="S37" s="45" t="n">
        <f aca="false">Q37+R37</f>
        <v>2947.32838045646</v>
      </c>
      <c r="T37" s="32" t="n">
        <f aca="false">IF(S37=0,0,Q37/S37)</f>
        <v>0.587472772766349</v>
      </c>
      <c r="U37" s="45" t="n">
        <f aca="false">ROUND(ABS(GK37)+ABS(SUM(AV37,BL37,CB37,CR37,DH37,DX37,EN37,FD37,FT37,GJ37)-M37-P37)+ABS(S37-(AH37+NPV($J37,AI37:AR37))),6)</f>
        <v>0</v>
      </c>
      <c r="W37" s="133" t="n">
        <f aca="false">-$D37*Inputs!$C$13</f>
        <v>-4000</v>
      </c>
      <c r="X37" s="133" t="n">
        <f aca="false">BF37-$D37*Inputs!$D$13</f>
        <v>-4000</v>
      </c>
      <c r="Y37" s="133" t="n">
        <f aca="false">BV37-$D37*Inputs!$E$13</f>
        <v>-4000</v>
      </c>
      <c r="Z37" s="133" t="n">
        <f aca="false">CL37-$D37*Inputs!$F$13</f>
        <v>-4000</v>
      </c>
      <c r="AA37" s="133" t="n">
        <f aca="false">DB37-$D37*Inputs!$G$13</f>
        <v>-4000</v>
      </c>
      <c r="AB37" s="133" t="n">
        <f aca="false">DR37-$D37*Inputs!$H$13</f>
        <v>5903.332993024</v>
      </c>
      <c r="AC37" s="133" t="n">
        <f aca="false">EH37-$D37*Inputs!$I$13</f>
        <v>5408.69301752627</v>
      </c>
      <c r="AD37" s="133" t="n">
        <f aca="false">EX37-$D37*Inputs!$J$13</f>
        <v>4949.66712026438</v>
      </c>
      <c r="AE37" s="133" t="n">
        <f aca="false">FN37-$D37*Inputs!$K$13</f>
        <v>4366.61424392135</v>
      </c>
      <c r="AF37" s="133" t="n">
        <f aca="false">GD37-$D37*Inputs!$L$13</f>
        <v>3302.70826343821</v>
      </c>
      <c r="AG37" s="84" t="n">
        <f aca="false">GT37</f>
        <v>15046.1663423533</v>
      </c>
      <c r="AH37" s="84" t="n">
        <f aca="false">$D37*$E37</f>
        <v>300</v>
      </c>
      <c r="AI37" s="84" t="n">
        <f aca="false">BG37+$D37*$E37</f>
        <v>300</v>
      </c>
      <c r="AJ37" s="84" t="n">
        <f aca="false">BW37+$D37*$E37</f>
        <v>300</v>
      </c>
      <c r="AK37" s="84" t="n">
        <f aca="false">CM37+$D37*$E37</f>
        <v>300</v>
      </c>
      <c r="AL37" s="84" t="n">
        <f aca="false">DC37+$D37*$E37</f>
        <v>300</v>
      </c>
      <c r="AM37" s="84" t="n">
        <f aca="false">DS37+$D37*$E37</f>
        <v>300</v>
      </c>
      <c r="AN37" s="84" t="n">
        <f aca="false">EI37+$D37*$E37</f>
        <v>300</v>
      </c>
      <c r="AO37" s="84" t="n">
        <f aca="false">EY37+$D37*$E37</f>
        <v>300</v>
      </c>
      <c r="AP37" s="84" t="n">
        <f aca="false">FO37+$D37*$E37</f>
        <v>457.076843683999</v>
      </c>
      <c r="AQ37" s="84" t="n">
        <f aca="false">GE37+$D37*$E37</f>
        <v>1125.67706585955</v>
      </c>
      <c r="AR37" s="84" t="n">
        <f aca="false">GU37</f>
        <v>3761.54158558832</v>
      </c>
      <c r="AT37" s="133" t="n">
        <f aca="false">$D37*Inputs!$C$13-$D37*$E37</f>
        <v>3700</v>
      </c>
      <c r="AU37" s="84" t="n">
        <f aca="false">AT37*(1+$I37)</f>
        <v>4292</v>
      </c>
      <c r="AV37" s="133" t="n">
        <f aca="false">AU37*Inputs!$C$14</f>
        <v>0</v>
      </c>
      <c r="AW37" s="84" t="n">
        <f aca="false">AU37-AV37</f>
        <v>4292</v>
      </c>
      <c r="AX37" s="133" t="n">
        <f aca="false">$D37*Inputs!$C$13</f>
        <v>4000</v>
      </c>
      <c r="AY37" s="84" t="n">
        <f aca="false">MIN(AV37,AX37)</f>
        <v>0</v>
      </c>
      <c r="AZ37" s="84" t="n">
        <f aca="false">AX37-AY37</f>
        <v>4000</v>
      </c>
      <c r="BA37" s="84" t="n">
        <f aca="false">$G37*AX37</f>
        <v>0</v>
      </c>
      <c r="BB37" s="84" t="n">
        <f aca="false">MIN(AV37-AY37,BA37)</f>
        <v>0</v>
      </c>
      <c r="BC37" s="84" t="n">
        <f aca="false">BA37-BB37</f>
        <v>0</v>
      </c>
      <c r="BD37" s="84" t="n">
        <f aca="false">IF($H37=1,MIN(AV37-AY37-BB37,MAX(0,$F37/(1-$F37)*BB37)),0)</f>
        <v>0</v>
      </c>
      <c r="BE37" s="84" t="n">
        <f aca="false">AV37-AY37-BB37-BD37</f>
        <v>0</v>
      </c>
      <c r="BF37" s="84" t="n">
        <f aca="false">AY37+BB37+(1-$F37)*BE37</f>
        <v>0</v>
      </c>
      <c r="BG37" s="84" t="n">
        <f aca="false">BD37+$F37*BE37</f>
        <v>0</v>
      </c>
      <c r="BH37" s="84" t="n">
        <f aca="false">BB37+(1-$F37)*BE37</f>
        <v>0</v>
      </c>
      <c r="BI37" s="84" t="n">
        <f aca="false">BG37</f>
        <v>0</v>
      </c>
      <c r="BJ37" s="133" t="n">
        <f aca="false">AW37+$D37*Inputs!$D$13-$D37*$E37</f>
        <v>7992</v>
      </c>
      <c r="BK37" s="84" t="n">
        <f aca="false">BJ37*(1+$I37)</f>
        <v>9270.72</v>
      </c>
      <c r="BL37" s="133" t="n">
        <f aca="false">BK37*Inputs!$D$14</f>
        <v>0</v>
      </c>
      <c r="BM37" s="84" t="n">
        <f aca="false">BK37-BL37</f>
        <v>9270.72</v>
      </c>
      <c r="BN37" s="133" t="n">
        <f aca="false">AZ37+$D37*Inputs!$D$13</f>
        <v>8000</v>
      </c>
      <c r="BO37" s="84" t="n">
        <f aca="false">MIN(BL37,BN37)</f>
        <v>0</v>
      </c>
      <c r="BP37" s="84" t="n">
        <f aca="false">BN37-BO37</f>
        <v>8000</v>
      </c>
      <c r="BQ37" s="84" t="n">
        <f aca="false">BC37+$G37*(BN37+BC37)</f>
        <v>0</v>
      </c>
      <c r="BR37" s="84" t="n">
        <f aca="false">MIN(BL37-BO37,BQ37)</f>
        <v>0</v>
      </c>
      <c r="BS37" s="84" t="n">
        <f aca="false">BQ37-BR37</f>
        <v>0</v>
      </c>
      <c r="BT37" s="84" t="n">
        <f aca="false">IF($H37=1,MIN(BL37-BO37-BR37,MAX(0,$F37/(1-$F37)*(BH37+BR37)-BI37)),0)</f>
        <v>0</v>
      </c>
      <c r="BU37" s="84" t="n">
        <f aca="false">BL37-BO37-BR37-BT37</f>
        <v>0</v>
      </c>
      <c r="BV37" s="84" t="n">
        <f aca="false">BO37+BR37+(1-$F37)*BU37</f>
        <v>0</v>
      </c>
      <c r="BW37" s="84" t="n">
        <f aca="false">BT37+$F37*BU37</f>
        <v>0</v>
      </c>
      <c r="BX37" s="84" t="n">
        <f aca="false">BH37+BR37+(1-$F37)*BU37</f>
        <v>0</v>
      </c>
      <c r="BY37" s="84" t="n">
        <f aca="false">BI37+BW37</f>
        <v>0</v>
      </c>
      <c r="BZ37" s="133" t="n">
        <f aca="false">BM37+$D37*Inputs!$E$13-$D37*$E37</f>
        <v>12970.72</v>
      </c>
      <c r="CA37" s="84" t="n">
        <f aca="false">BZ37*(1+$I37)</f>
        <v>15046.0352</v>
      </c>
      <c r="CB37" s="133" t="n">
        <f aca="false">CA37*Inputs!$E$14</f>
        <v>0</v>
      </c>
      <c r="CC37" s="84" t="n">
        <f aca="false">CA37-CB37</f>
        <v>15046.0352</v>
      </c>
      <c r="CD37" s="133" t="n">
        <f aca="false">BP37+$D37*Inputs!$E$13</f>
        <v>12000</v>
      </c>
      <c r="CE37" s="84" t="n">
        <f aca="false">MIN(CB37,CD37)</f>
        <v>0</v>
      </c>
      <c r="CF37" s="84" t="n">
        <f aca="false">CD37-CE37</f>
        <v>12000</v>
      </c>
      <c r="CG37" s="84" t="n">
        <f aca="false">BS37+$G37*(CD37+BS37)</f>
        <v>0</v>
      </c>
      <c r="CH37" s="84" t="n">
        <f aca="false">MIN(CB37-CE37,CG37)</f>
        <v>0</v>
      </c>
      <c r="CI37" s="84" t="n">
        <f aca="false">CG37-CH37</f>
        <v>0</v>
      </c>
      <c r="CJ37" s="84" t="n">
        <f aca="false">IF($H37=1,MIN(CB37-CE37-CH37,MAX(0,$F37/(1-$F37)*(BX37+CH37)-BY37)),0)</f>
        <v>0</v>
      </c>
      <c r="CK37" s="84" t="n">
        <f aca="false">CB37-CE37-CH37-CJ37</f>
        <v>0</v>
      </c>
      <c r="CL37" s="84" t="n">
        <f aca="false">CE37+CH37+(1-$F37)*CK37</f>
        <v>0</v>
      </c>
      <c r="CM37" s="84" t="n">
        <f aca="false">CJ37+$F37*CK37</f>
        <v>0</v>
      </c>
      <c r="CN37" s="84" t="n">
        <f aca="false">BX37+CH37+(1-$F37)*CK37</f>
        <v>0</v>
      </c>
      <c r="CO37" s="84" t="n">
        <f aca="false">BY37+CM37</f>
        <v>0</v>
      </c>
      <c r="CP37" s="133" t="n">
        <f aca="false">CC37+$D37*Inputs!$F$13-$D37*$E37</f>
        <v>18746.0352</v>
      </c>
      <c r="CQ37" s="84" t="n">
        <f aca="false">CP37*(1+$I37)</f>
        <v>21745.400832</v>
      </c>
      <c r="CR37" s="133" t="n">
        <f aca="false">CQ37*Inputs!$F$14</f>
        <v>0</v>
      </c>
      <c r="CS37" s="84" t="n">
        <f aca="false">CQ37-CR37</f>
        <v>21745.400832</v>
      </c>
      <c r="CT37" s="133" t="n">
        <f aca="false">CF37+$D37*Inputs!$F$13</f>
        <v>16000</v>
      </c>
      <c r="CU37" s="84" t="n">
        <f aca="false">MIN(CR37,CT37)</f>
        <v>0</v>
      </c>
      <c r="CV37" s="84" t="n">
        <f aca="false">CT37-CU37</f>
        <v>16000</v>
      </c>
      <c r="CW37" s="84" t="n">
        <f aca="false">CI37+$G37*(CT37+CI37)</f>
        <v>0</v>
      </c>
      <c r="CX37" s="84" t="n">
        <f aca="false">MIN(CR37-CU37,CW37)</f>
        <v>0</v>
      </c>
      <c r="CY37" s="84" t="n">
        <f aca="false">CW37-CX37</f>
        <v>0</v>
      </c>
      <c r="CZ37" s="84" t="n">
        <f aca="false">IF($H37=1,MIN(CR37-CU37-CX37,MAX(0,$F37/(1-$F37)*(CN37+CX37)-CO37)),0)</f>
        <v>0</v>
      </c>
      <c r="DA37" s="84" t="n">
        <f aca="false">CR37-CU37-CX37-CZ37</f>
        <v>0</v>
      </c>
      <c r="DB37" s="84" t="n">
        <f aca="false">CU37+CX37+(1-$F37)*DA37</f>
        <v>0</v>
      </c>
      <c r="DC37" s="84" t="n">
        <f aca="false">CZ37+$F37*DA37</f>
        <v>0</v>
      </c>
      <c r="DD37" s="84" t="n">
        <f aca="false">CN37+CX37+(1-$F37)*DA37</f>
        <v>0</v>
      </c>
      <c r="DE37" s="84" t="n">
        <f aca="false">CO37+DC37</f>
        <v>0</v>
      </c>
      <c r="DF37" s="133" t="n">
        <f aca="false">CS37+$D37*Inputs!$G$13-$D37*$E37</f>
        <v>25445.400832</v>
      </c>
      <c r="DG37" s="84" t="n">
        <f aca="false">DF37*(1+$I37)</f>
        <v>29516.66496512</v>
      </c>
      <c r="DH37" s="133" t="n">
        <f aca="false">DG37*Inputs!$G$14</f>
        <v>5903.332993024</v>
      </c>
      <c r="DI37" s="84" t="n">
        <f aca="false">DG37-DH37</f>
        <v>23613.331972096</v>
      </c>
      <c r="DJ37" s="133" t="n">
        <f aca="false">CV37+$D37*Inputs!$G$13</f>
        <v>20000</v>
      </c>
      <c r="DK37" s="84" t="n">
        <f aca="false">MIN(DH37,DJ37)</f>
        <v>5903.332993024</v>
      </c>
      <c r="DL37" s="84" t="n">
        <f aca="false">DJ37-DK37</f>
        <v>14096.667006976</v>
      </c>
      <c r="DM37" s="84" t="n">
        <f aca="false">CY37+$G37*(DJ37+CY37)</f>
        <v>0</v>
      </c>
      <c r="DN37" s="84" t="n">
        <f aca="false">MIN(DH37-DK37,DM37)</f>
        <v>0</v>
      </c>
      <c r="DO37" s="84" t="n">
        <f aca="false">DM37-DN37</f>
        <v>0</v>
      </c>
      <c r="DP37" s="84" t="n">
        <f aca="false">IF($H37=1,MIN(DH37-DK37-DN37,MAX(0,$F37/(1-$F37)*(DD37+DN37)-DE37)),0)</f>
        <v>0</v>
      </c>
      <c r="DQ37" s="84" t="n">
        <f aca="false">DH37-DK37-DN37-DP37</f>
        <v>0</v>
      </c>
      <c r="DR37" s="84" t="n">
        <f aca="false">DK37+DN37+(1-$F37)*DQ37</f>
        <v>5903.332993024</v>
      </c>
      <c r="DS37" s="84" t="n">
        <f aca="false">DP37+$F37*DQ37</f>
        <v>0</v>
      </c>
      <c r="DT37" s="84" t="n">
        <f aca="false">DD37+DN37+(1-$F37)*DQ37</f>
        <v>0</v>
      </c>
      <c r="DU37" s="84" t="n">
        <f aca="false">DE37+DS37</f>
        <v>0</v>
      </c>
      <c r="DV37" s="133" t="n">
        <f aca="false">DI37+$D37*Inputs!$H$13-$D37*$E37</f>
        <v>23313.331972096</v>
      </c>
      <c r="DW37" s="84" t="n">
        <f aca="false">DV37*(1+$I37)</f>
        <v>27043.4650876314</v>
      </c>
      <c r="DX37" s="133" t="n">
        <f aca="false">DW37*Inputs!$H$14</f>
        <v>5408.69301752627</v>
      </c>
      <c r="DY37" s="84" t="n">
        <f aca="false">DW37-DX37</f>
        <v>21634.7720701051</v>
      </c>
      <c r="DZ37" s="133" t="n">
        <f aca="false">DL37+$D37*Inputs!$H$13</f>
        <v>14096.667006976</v>
      </c>
      <c r="EA37" s="84" t="n">
        <f aca="false">MIN(DX37,DZ37)</f>
        <v>5408.69301752627</v>
      </c>
      <c r="EB37" s="84" t="n">
        <f aca="false">DZ37-EA37</f>
        <v>8687.97398944973</v>
      </c>
      <c r="EC37" s="84" t="n">
        <f aca="false">DO37+$G37*(DZ37+DO37)</f>
        <v>0</v>
      </c>
      <c r="ED37" s="84" t="n">
        <f aca="false">MIN(DX37-EA37,EC37)</f>
        <v>0</v>
      </c>
      <c r="EE37" s="84" t="n">
        <f aca="false">EC37-ED37</f>
        <v>0</v>
      </c>
      <c r="EF37" s="84" t="n">
        <f aca="false">IF($H37=1,MIN(DX37-EA37-ED37,MAX(0,$F37/(1-$F37)*(DT37+ED37)-DU37)),0)</f>
        <v>0</v>
      </c>
      <c r="EG37" s="84" t="n">
        <f aca="false">DX37-EA37-ED37-EF37</f>
        <v>0</v>
      </c>
      <c r="EH37" s="84" t="n">
        <f aca="false">EA37+ED37+(1-$F37)*EG37</f>
        <v>5408.69301752627</v>
      </c>
      <c r="EI37" s="84" t="n">
        <f aca="false">EF37+$F37*EG37</f>
        <v>0</v>
      </c>
      <c r="EJ37" s="84" t="n">
        <f aca="false">DT37+ED37+(1-$F37)*EG37</f>
        <v>0</v>
      </c>
      <c r="EK37" s="84" t="n">
        <f aca="false">DU37+EI37</f>
        <v>0</v>
      </c>
      <c r="EL37" s="133" t="n">
        <f aca="false">DY37+$D37*Inputs!$I$13-$D37*$E37</f>
        <v>21334.7720701051</v>
      </c>
      <c r="EM37" s="84" t="n">
        <f aca="false">EL37*(1+$I37)</f>
        <v>24748.3356013219</v>
      </c>
      <c r="EN37" s="133" t="n">
        <f aca="false">EM37*Inputs!$I$14</f>
        <v>4949.66712026438</v>
      </c>
      <c r="EO37" s="84" t="n">
        <f aca="false">EM37-EN37</f>
        <v>19798.6684810575</v>
      </c>
      <c r="EP37" s="133" t="n">
        <f aca="false">EB37+$D37*Inputs!$I$13</f>
        <v>8687.97398944973</v>
      </c>
      <c r="EQ37" s="84" t="n">
        <f aca="false">MIN(EN37,EP37)</f>
        <v>4949.66712026438</v>
      </c>
      <c r="ER37" s="84" t="n">
        <f aca="false">EP37-EQ37</f>
        <v>3738.30686918535</v>
      </c>
      <c r="ES37" s="84" t="n">
        <f aca="false">EE37+$G37*(EP37+EE37)</f>
        <v>0</v>
      </c>
      <c r="ET37" s="84" t="n">
        <f aca="false">MIN(EN37-EQ37,ES37)</f>
        <v>0</v>
      </c>
      <c r="EU37" s="84" t="n">
        <f aca="false">ES37-ET37</f>
        <v>0</v>
      </c>
      <c r="EV37" s="84" t="n">
        <f aca="false">IF($H37=1,MIN(EN37-EQ37-ET37,MAX(0,$F37/(1-$F37)*(EJ37+ET37)-EK37)),0)</f>
        <v>0</v>
      </c>
      <c r="EW37" s="84" t="n">
        <f aca="false">EN37-EQ37-ET37-EV37</f>
        <v>0</v>
      </c>
      <c r="EX37" s="84" t="n">
        <f aca="false">EQ37+ET37+(1-$F37)*EW37</f>
        <v>4949.66712026438</v>
      </c>
      <c r="EY37" s="84" t="n">
        <f aca="false">EV37+$F37*EW37</f>
        <v>0</v>
      </c>
      <c r="EZ37" s="84" t="n">
        <f aca="false">EJ37+ET37+(1-$F37)*EW37</f>
        <v>0</v>
      </c>
      <c r="FA37" s="84" t="n">
        <f aca="false">EK37+EY37</f>
        <v>0</v>
      </c>
      <c r="FB37" s="133" t="n">
        <f aca="false">EO37+$D37*Inputs!$J$13-$D37*$E37</f>
        <v>19498.6684810575</v>
      </c>
      <c r="FC37" s="84" t="n">
        <f aca="false">FB37*(1+$I37)</f>
        <v>22618.4554380267</v>
      </c>
      <c r="FD37" s="133" t="n">
        <f aca="false">FC37*Inputs!$J$14</f>
        <v>4523.69108760534</v>
      </c>
      <c r="FE37" s="84" t="n">
        <f aca="false">FC37-FD37</f>
        <v>18094.7643504214</v>
      </c>
      <c r="FF37" s="133" t="n">
        <f aca="false">ER37+$D37*Inputs!$J$13</f>
        <v>3738.30686918535</v>
      </c>
      <c r="FG37" s="84" t="n">
        <f aca="false">MIN(FD37,FF37)</f>
        <v>3738.30686918535</v>
      </c>
      <c r="FH37" s="84" t="n">
        <f aca="false">FF37-FG37</f>
        <v>0</v>
      </c>
      <c r="FI37" s="84" t="n">
        <f aca="false">EU37+$G37*(FF37+EU37)</f>
        <v>0</v>
      </c>
      <c r="FJ37" s="84" t="n">
        <f aca="false">MIN(FD37-FG37,FI37)</f>
        <v>0</v>
      </c>
      <c r="FK37" s="84" t="n">
        <f aca="false">FI37-FJ37</f>
        <v>0</v>
      </c>
      <c r="FL37" s="84" t="n">
        <f aca="false">IF($H37=1,MIN(FD37-FG37-FJ37,MAX(0,$F37/(1-$F37)*(EZ37+FJ37)-FA37)),0)</f>
        <v>0</v>
      </c>
      <c r="FM37" s="84" t="n">
        <f aca="false">FD37-FG37-FJ37-FL37</f>
        <v>785.384218419993</v>
      </c>
      <c r="FN37" s="84" t="n">
        <f aca="false">FG37+FJ37+(1-$F37)*FM37</f>
        <v>4366.61424392135</v>
      </c>
      <c r="FO37" s="84" t="n">
        <f aca="false">FL37+$F37*FM37</f>
        <v>157.076843683999</v>
      </c>
      <c r="FP37" s="84" t="n">
        <f aca="false">EZ37+FJ37+(1-$F37)*FM37</f>
        <v>628.307374735995</v>
      </c>
      <c r="FQ37" s="84" t="n">
        <f aca="false">FA37+FO37</f>
        <v>157.076843683999</v>
      </c>
      <c r="FR37" s="133" t="n">
        <f aca="false">FE37+$D37*Inputs!$K$13-$D37*$E37</f>
        <v>17794.7643504214</v>
      </c>
      <c r="FS37" s="84" t="n">
        <f aca="false">FR37*(1+$I37)</f>
        <v>20641.9266464888</v>
      </c>
      <c r="FT37" s="133" t="n">
        <f aca="false">FS37*Inputs!$K$14</f>
        <v>4128.38532929776</v>
      </c>
      <c r="FU37" s="84" t="n">
        <f aca="false">FS37-FT37</f>
        <v>16513.541317191</v>
      </c>
      <c r="FV37" s="133" t="n">
        <f aca="false">FH37+$D37*Inputs!$K$13</f>
        <v>0</v>
      </c>
      <c r="FW37" s="84" t="n">
        <f aca="false">MIN(FT37,FV37)</f>
        <v>0</v>
      </c>
      <c r="FX37" s="84" t="n">
        <f aca="false">FV37-FW37</f>
        <v>0</v>
      </c>
      <c r="FY37" s="84" t="n">
        <f aca="false">FK37+$G37*(FV37+FK37)</f>
        <v>0</v>
      </c>
      <c r="FZ37" s="84" t="n">
        <f aca="false">MIN(FT37-FW37,FY37)</f>
        <v>0</v>
      </c>
      <c r="GA37" s="84" t="n">
        <f aca="false">FY37-FZ37</f>
        <v>0</v>
      </c>
      <c r="GB37" s="84" t="n">
        <f aca="false">IF($H37=1,MIN(FT37-FW37-FZ37,MAX(0,$F37/(1-$F37)*(FP37+FZ37)-FQ37)),0)</f>
        <v>0</v>
      </c>
      <c r="GC37" s="84" t="n">
        <f aca="false">FT37-FW37-FZ37-GB37</f>
        <v>4128.38532929776</v>
      </c>
      <c r="GD37" s="84" t="n">
        <f aca="false">FW37+FZ37+(1-$F37)*GC37</f>
        <v>3302.70826343821</v>
      </c>
      <c r="GE37" s="84" t="n">
        <f aca="false">GB37+$F37*GC37</f>
        <v>825.677065859552</v>
      </c>
      <c r="GF37" s="84" t="n">
        <f aca="false">FP37+FZ37+(1-$F37)*GC37</f>
        <v>3931.0156381742</v>
      </c>
      <c r="GG37" s="84" t="n">
        <f aca="false">FQ37+GE37</f>
        <v>982.75390954355</v>
      </c>
      <c r="GH37" s="133" t="n">
        <f aca="false">FU37+$D37*Inputs!$L$13-$D37*$E37</f>
        <v>16213.541317191</v>
      </c>
      <c r="GI37" s="84" t="n">
        <f aca="false">GH37*(1+$I37)</f>
        <v>18807.7079279416</v>
      </c>
      <c r="GJ37" s="133" t="n">
        <f aca="false">GI37*Inputs!$L$14</f>
        <v>18807.7079279416</v>
      </c>
      <c r="GK37" s="84" t="n">
        <f aca="false">GI37-GJ37</f>
        <v>0</v>
      </c>
      <c r="GL37" s="133" t="n">
        <f aca="false">FX37+$D37*Inputs!$L$13</f>
        <v>0</v>
      </c>
      <c r="GM37" s="84" t="n">
        <f aca="false">MIN(GJ37,GL37)</f>
        <v>0</v>
      </c>
      <c r="GN37" s="84" t="n">
        <f aca="false">GL37-GM37</f>
        <v>0</v>
      </c>
      <c r="GO37" s="84" t="n">
        <f aca="false">GA37+$G37*(GL37+GA37)</f>
        <v>0</v>
      </c>
      <c r="GP37" s="84" t="n">
        <f aca="false">MIN(GJ37-GM37,GO37)</f>
        <v>0</v>
      </c>
      <c r="GQ37" s="84" t="n">
        <f aca="false">GO37-GP37</f>
        <v>0</v>
      </c>
      <c r="GR37" s="84" t="n">
        <f aca="false">IF($H37=1,MIN(GJ37-GM37-GP37,MAX(0,$F37/(1-$F37)*(GF37+GP37)-GG37)),0)</f>
        <v>0</v>
      </c>
      <c r="GS37" s="84" t="n">
        <f aca="false">GJ37-GM37-GP37-GR37</f>
        <v>18807.7079279416</v>
      </c>
      <c r="GT37" s="84" t="n">
        <f aca="false">GM37+GP37+(1-$F37)*GS37</f>
        <v>15046.1663423533</v>
      </c>
      <c r="GU37" s="84" t="n">
        <f aca="false">GR37+$F37*GS37</f>
        <v>3761.54158558832</v>
      </c>
      <c r="GV37" s="84" t="n">
        <f aca="false">GF37+GP37+(1-$F37)*GS37</f>
        <v>18977.1819805275</v>
      </c>
      <c r="GW37" s="84" t="n">
        <f aca="false">GG37+GU37</f>
        <v>4744.29549513187</v>
      </c>
    </row>
    <row r="38" customFormat="false" ht="15" hidden="false" customHeight="false" outlineLevel="0" collapsed="false">
      <c r="A38" s="5" t="s">
        <v>635</v>
      </c>
      <c r="B38" s="5" t="s">
        <v>636</v>
      </c>
      <c r="C38" s="135" t="n">
        <v>17</v>
      </c>
      <c r="D38" s="47" t="n">
        <f aca="false">Inputs!$C$6</f>
        <v>20000</v>
      </c>
      <c r="E38" s="35" t="n">
        <f aca="false">Inputs!$C$18</f>
        <v>0.015</v>
      </c>
      <c r="F38" s="36" t="n">
        <f aca="false">Inputs!$C$20</f>
        <v>0.2</v>
      </c>
      <c r="G38" s="30" t="n">
        <v>0</v>
      </c>
      <c r="H38" s="27" t="n">
        <v>0</v>
      </c>
      <c r="I38" s="132" t="n">
        <f aca="false">Inputs!$C$38+$C38*Inputs!$C$39</f>
        <v>0.17</v>
      </c>
      <c r="J38" s="36" t="n">
        <f aca="false">Inputs!$C$9</f>
        <v>0.15</v>
      </c>
      <c r="K38" s="89" t="n">
        <f aca="false">IRR(W38:AG38,0.1)</f>
        <v>0.129069364918192</v>
      </c>
      <c r="L38" s="45" t="n">
        <f aca="false">W38+NPV($J38,X38:AG38)</f>
        <v>-1558.39537354995</v>
      </c>
      <c r="M38" s="45" t="n">
        <f aca="false">SUM(BF38,BV38,CL38,DB38,DR38,EH38,EX38,FN38,GD38,GT38)</f>
        <v>41065.4431316025</v>
      </c>
      <c r="N38" s="43" t="n">
        <f aca="false">IF($D38*SUM(Inputs!$C$13:$L$13)=0,0,M38/($D38*SUM(Inputs!$C$13:$L$13)))</f>
        <v>2.05327215658012</v>
      </c>
      <c r="O38" s="42" t="n">
        <f aca="false">$D38*$E38*COLUMNS(Inputs!$C$13:$L$13)</f>
        <v>3000</v>
      </c>
      <c r="P38" s="45" t="n">
        <f aca="false">SUM(BG38,BW38,CM38,DC38,DS38,EI38,EY38,FO38,GE38,GU38)</f>
        <v>5266.36078290062</v>
      </c>
      <c r="Q38" s="42" t="n">
        <f aca="false">PV($J38,COLUMNS(Inputs!$C$13:$L$13),-$D38*$E38,0,1)</f>
        <v>1731.47517591971</v>
      </c>
      <c r="R38" s="45" t="n">
        <f aca="false">NPV($J38,BG38,BW38,CM38,DC38,DS38,EI38,EY38,FO38,GE38,GU38)</f>
        <v>1360.81954372</v>
      </c>
      <c r="S38" s="45" t="n">
        <f aca="false">Q38+R38</f>
        <v>3092.29471963971</v>
      </c>
      <c r="T38" s="32" t="n">
        <f aca="false">IF(S38=0,0,Q38/S38)</f>
        <v>0.55993213225208</v>
      </c>
      <c r="U38" s="45" t="n">
        <f aca="false">ROUND(ABS(GK38)+ABS(SUM(AV38,BL38,CB38,CR38,DH38,DX38,EN38,FD38,FT38,GJ38)-M38-P38)+ABS(S38-(AH38+NPV($J38,AI38:AR38))),6)</f>
        <v>0</v>
      </c>
      <c r="W38" s="133" t="n">
        <f aca="false">-$D38*Inputs!$C$13</f>
        <v>-4000</v>
      </c>
      <c r="X38" s="133" t="n">
        <f aca="false">BF38-$D38*Inputs!$D$13</f>
        <v>-4000</v>
      </c>
      <c r="Y38" s="133" t="n">
        <f aca="false">BV38-$D38*Inputs!$E$13</f>
        <v>-4000</v>
      </c>
      <c r="Z38" s="133" t="n">
        <f aca="false">CL38-$D38*Inputs!$F$13</f>
        <v>-4000</v>
      </c>
      <c r="AA38" s="133" t="n">
        <f aca="false">DB38-$D38*Inputs!$G$13</f>
        <v>-4000</v>
      </c>
      <c r="AB38" s="133" t="n">
        <f aca="false">DR38-$D38*Inputs!$H$13</f>
        <v>6073.067701818</v>
      </c>
      <c r="AC38" s="133" t="n">
        <f aca="false">EH38-$D38*Inputs!$I$13</f>
        <v>5614.19136890165</v>
      </c>
      <c r="AD38" s="133" t="n">
        <f aca="false">EX38-$D38*Inputs!$J$13</f>
        <v>5184.68312129194</v>
      </c>
      <c r="AE38" s="133" t="n">
        <f aca="false">FN38-$D38*Inputs!$K$13</f>
        <v>4451.74228282109</v>
      </c>
      <c r="AF38" s="133" t="n">
        <f aca="false">GD38-$D38*Inputs!$L$13</f>
        <v>3525.09835506511</v>
      </c>
      <c r="AG38" s="84" t="n">
        <f aca="false">GT38</f>
        <v>16216.6603017047</v>
      </c>
      <c r="AH38" s="84" t="n">
        <f aca="false">$D38*$E38</f>
        <v>300</v>
      </c>
      <c r="AI38" s="84" t="n">
        <f aca="false">BG38+$D38*$E38</f>
        <v>300</v>
      </c>
      <c r="AJ38" s="84" t="n">
        <f aca="false">BW38+$D38*$E38</f>
        <v>300</v>
      </c>
      <c r="AK38" s="84" t="n">
        <f aca="false">CM38+$D38*$E38</f>
        <v>300</v>
      </c>
      <c r="AL38" s="84" t="n">
        <f aca="false">DC38+$D38*$E38</f>
        <v>300</v>
      </c>
      <c r="AM38" s="84" t="n">
        <f aca="false">DS38+$D38*$E38</f>
        <v>300</v>
      </c>
      <c r="AN38" s="84" t="n">
        <f aca="false">EI38+$D38*$E38</f>
        <v>300</v>
      </c>
      <c r="AO38" s="84" t="n">
        <f aca="false">EY38+$D38*$E38</f>
        <v>300</v>
      </c>
      <c r="AP38" s="84" t="n">
        <f aca="false">FO38+$D38*$E38</f>
        <v>630.921118708169</v>
      </c>
      <c r="AQ38" s="84" t="n">
        <f aca="false">GE38+$D38*$E38</f>
        <v>1181.27458876628</v>
      </c>
      <c r="AR38" s="84" t="n">
        <f aca="false">GU38</f>
        <v>4054.16507542618</v>
      </c>
      <c r="AT38" s="133" t="n">
        <f aca="false">$D38*Inputs!$C$13-$D38*$E38</f>
        <v>3700</v>
      </c>
      <c r="AU38" s="84" t="n">
        <f aca="false">AT38*(1+$I38)</f>
        <v>4329</v>
      </c>
      <c r="AV38" s="133" t="n">
        <f aca="false">AU38*Inputs!$C$14</f>
        <v>0</v>
      </c>
      <c r="AW38" s="84" t="n">
        <f aca="false">AU38-AV38</f>
        <v>4329</v>
      </c>
      <c r="AX38" s="133" t="n">
        <f aca="false">$D38*Inputs!$C$13</f>
        <v>4000</v>
      </c>
      <c r="AY38" s="84" t="n">
        <f aca="false">MIN(AV38,AX38)</f>
        <v>0</v>
      </c>
      <c r="AZ38" s="84" t="n">
        <f aca="false">AX38-AY38</f>
        <v>4000</v>
      </c>
      <c r="BA38" s="84" t="n">
        <f aca="false">$G38*AX38</f>
        <v>0</v>
      </c>
      <c r="BB38" s="84" t="n">
        <f aca="false">MIN(AV38-AY38,BA38)</f>
        <v>0</v>
      </c>
      <c r="BC38" s="84" t="n">
        <f aca="false">BA38-BB38</f>
        <v>0</v>
      </c>
      <c r="BD38" s="84" t="n">
        <f aca="false">IF($H38=1,MIN(AV38-AY38-BB38,MAX(0,$F38/(1-$F38)*BB38)),0)</f>
        <v>0</v>
      </c>
      <c r="BE38" s="84" t="n">
        <f aca="false">AV38-AY38-BB38-BD38</f>
        <v>0</v>
      </c>
      <c r="BF38" s="84" t="n">
        <f aca="false">AY38+BB38+(1-$F38)*BE38</f>
        <v>0</v>
      </c>
      <c r="BG38" s="84" t="n">
        <f aca="false">BD38+$F38*BE38</f>
        <v>0</v>
      </c>
      <c r="BH38" s="84" t="n">
        <f aca="false">BB38+(1-$F38)*BE38</f>
        <v>0</v>
      </c>
      <c r="BI38" s="84" t="n">
        <f aca="false">BG38</f>
        <v>0</v>
      </c>
      <c r="BJ38" s="133" t="n">
        <f aca="false">AW38+$D38*Inputs!$D$13-$D38*$E38</f>
        <v>8029</v>
      </c>
      <c r="BK38" s="84" t="n">
        <f aca="false">BJ38*(1+$I38)</f>
        <v>9393.93</v>
      </c>
      <c r="BL38" s="133" t="n">
        <f aca="false">BK38*Inputs!$D$14</f>
        <v>0</v>
      </c>
      <c r="BM38" s="84" t="n">
        <f aca="false">BK38-BL38</f>
        <v>9393.93</v>
      </c>
      <c r="BN38" s="133" t="n">
        <f aca="false">AZ38+$D38*Inputs!$D$13</f>
        <v>8000</v>
      </c>
      <c r="BO38" s="84" t="n">
        <f aca="false">MIN(BL38,BN38)</f>
        <v>0</v>
      </c>
      <c r="BP38" s="84" t="n">
        <f aca="false">BN38-BO38</f>
        <v>8000</v>
      </c>
      <c r="BQ38" s="84" t="n">
        <f aca="false">BC38+$G38*(BN38+BC38)</f>
        <v>0</v>
      </c>
      <c r="BR38" s="84" t="n">
        <f aca="false">MIN(BL38-BO38,BQ38)</f>
        <v>0</v>
      </c>
      <c r="BS38" s="84" t="n">
        <f aca="false">BQ38-BR38</f>
        <v>0</v>
      </c>
      <c r="BT38" s="84" t="n">
        <f aca="false">IF($H38=1,MIN(BL38-BO38-BR38,MAX(0,$F38/(1-$F38)*(BH38+BR38)-BI38)),0)</f>
        <v>0</v>
      </c>
      <c r="BU38" s="84" t="n">
        <f aca="false">BL38-BO38-BR38-BT38</f>
        <v>0</v>
      </c>
      <c r="BV38" s="84" t="n">
        <f aca="false">BO38+BR38+(1-$F38)*BU38</f>
        <v>0</v>
      </c>
      <c r="BW38" s="84" t="n">
        <f aca="false">BT38+$F38*BU38</f>
        <v>0</v>
      </c>
      <c r="BX38" s="84" t="n">
        <f aca="false">BH38+BR38+(1-$F38)*BU38</f>
        <v>0</v>
      </c>
      <c r="BY38" s="84" t="n">
        <f aca="false">BI38+BW38</f>
        <v>0</v>
      </c>
      <c r="BZ38" s="133" t="n">
        <f aca="false">BM38+$D38*Inputs!$E$13-$D38*$E38</f>
        <v>13093.93</v>
      </c>
      <c r="CA38" s="84" t="n">
        <f aca="false">BZ38*(1+$I38)</f>
        <v>15319.8981</v>
      </c>
      <c r="CB38" s="133" t="n">
        <f aca="false">CA38*Inputs!$E$14</f>
        <v>0</v>
      </c>
      <c r="CC38" s="84" t="n">
        <f aca="false">CA38-CB38</f>
        <v>15319.8981</v>
      </c>
      <c r="CD38" s="133" t="n">
        <f aca="false">BP38+$D38*Inputs!$E$13</f>
        <v>12000</v>
      </c>
      <c r="CE38" s="84" t="n">
        <f aca="false">MIN(CB38,CD38)</f>
        <v>0</v>
      </c>
      <c r="CF38" s="84" t="n">
        <f aca="false">CD38-CE38</f>
        <v>12000</v>
      </c>
      <c r="CG38" s="84" t="n">
        <f aca="false">BS38+$G38*(CD38+BS38)</f>
        <v>0</v>
      </c>
      <c r="CH38" s="84" t="n">
        <f aca="false">MIN(CB38-CE38,CG38)</f>
        <v>0</v>
      </c>
      <c r="CI38" s="84" t="n">
        <f aca="false">CG38-CH38</f>
        <v>0</v>
      </c>
      <c r="CJ38" s="84" t="n">
        <f aca="false">IF($H38=1,MIN(CB38-CE38-CH38,MAX(0,$F38/(1-$F38)*(BX38+CH38)-BY38)),0)</f>
        <v>0</v>
      </c>
      <c r="CK38" s="84" t="n">
        <f aca="false">CB38-CE38-CH38-CJ38</f>
        <v>0</v>
      </c>
      <c r="CL38" s="84" t="n">
        <f aca="false">CE38+CH38+(1-$F38)*CK38</f>
        <v>0</v>
      </c>
      <c r="CM38" s="84" t="n">
        <f aca="false">CJ38+$F38*CK38</f>
        <v>0</v>
      </c>
      <c r="CN38" s="84" t="n">
        <f aca="false">BX38+CH38+(1-$F38)*CK38</f>
        <v>0</v>
      </c>
      <c r="CO38" s="84" t="n">
        <f aca="false">BY38+CM38</f>
        <v>0</v>
      </c>
      <c r="CP38" s="133" t="n">
        <f aca="false">CC38+$D38*Inputs!$F$13-$D38*$E38</f>
        <v>19019.8981</v>
      </c>
      <c r="CQ38" s="84" t="n">
        <f aca="false">CP38*(1+$I38)</f>
        <v>22253.280777</v>
      </c>
      <c r="CR38" s="133" t="n">
        <f aca="false">CQ38*Inputs!$F$14</f>
        <v>0</v>
      </c>
      <c r="CS38" s="84" t="n">
        <f aca="false">CQ38-CR38</f>
        <v>22253.280777</v>
      </c>
      <c r="CT38" s="133" t="n">
        <f aca="false">CF38+$D38*Inputs!$F$13</f>
        <v>16000</v>
      </c>
      <c r="CU38" s="84" t="n">
        <f aca="false">MIN(CR38,CT38)</f>
        <v>0</v>
      </c>
      <c r="CV38" s="84" t="n">
        <f aca="false">CT38-CU38</f>
        <v>16000</v>
      </c>
      <c r="CW38" s="84" t="n">
        <f aca="false">CI38+$G38*(CT38+CI38)</f>
        <v>0</v>
      </c>
      <c r="CX38" s="84" t="n">
        <f aca="false">MIN(CR38-CU38,CW38)</f>
        <v>0</v>
      </c>
      <c r="CY38" s="84" t="n">
        <f aca="false">CW38-CX38</f>
        <v>0</v>
      </c>
      <c r="CZ38" s="84" t="n">
        <f aca="false">IF($H38=1,MIN(CR38-CU38-CX38,MAX(0,$F38/(1-$F38)*(CN38+CX38)-CO38)),0)</f>
        <v>0</v>
      </c>
      <c r="DA38" s="84" t="n">
        <f aca="false">CR38-CU38-CX38-CZ38</f>
        <v>0</v>
      </c>
      <c r="DB38" s="84" t="n">
        <f aca="false">CU38+CX38+(1-$F38)*DA38</f>
        <v>0</v>
      </c>
      <c r="DC38" s="84" t="n">
        <f aca="false">CZ38+$F38*DA38</f>
        <v>0</v>
      </c>
      <c r="DD38" s="84" t="n">
        <f aca="false">CN38+CX38+(1-$F38)*DA38</f>
        <v>0</v>
      </c>
      <c r="DE38" s="84" t="n">
        <f aca="false">CO38+DC38</f>
        <v>0</v>
      </c>
      <c r="DF38" s="133" t="n">
        <f aca="false">CS38+$D38*Inputs!$G$13-$D38*$E38</f>
        <v>25953.280777</v>
      </c>
      <c r="DG38" s="84" t="n">
        <f aca="false">DF38*(1+$I38)</f>
        <v>30365.33850909</v>
      </c>
      <c r="DH38" s="133" t="n">
        <f aca="false">DG38*Inputs!$G$14</f>
        <v>6073.067701818</v>
      </c>
      <c r="DI38" s="84" t="n">
        <f aca="false">DG38-DH38</f>
        <v>24292.270807272</v>
      </c>
      <c r="DJ38" s="133" t="n">
        <f aca="false">CV38+$D38*Inputs!$G$13</f>
        <v>20000</v>
      </c>
      <c r="DK38" s="84" t="n">
        <f aca="false">MIN(DH38,DJ38)</f>
        <v>6073.067701818</v>
      </c>
      <c r="DL38" s="84" t="n">
        <f aca="false">DJ38-DK38</f>
        <v>13926.932298182</v>
      </c>
      <c r="DM38" s="84" t="n">
        <f aca="false">CY38+$G38*(DJ38+CY38)</f>
        <v>0</v>
      </c>
      <c r="DN38" s="84" t="n">
        <f aca="false">MIN(DH38-DK38,DM38)</f>
        <v>0</v>
      </c>
      <c r="DO38" s="84" t="n">
        <f aca="false">DM38-DN38</f>
        <v>0</v>
      </c>
      <c r="DP38" s="84" t="n">
        <f aca="false">IF($H38=1,MIN(DH38-DK38-DN38,MAX(0,$F38/(1-$F38)*(DD38+DN38)-DE38)),0)</f>
        <v>0</v>
      </c>
      <c r="DQ38" s="84" t="n">
        <f aca="false">DH38-DK38-DN38-DP38</f>
        <v>0</v>
      </c>
      <c r="DR38" s="84" t="n">
        <f aca="false">DK38+DN38+(1-$F38)*DQ38</f>
        <v>6073.067701818</v>
      </c>
      <c r="DS38" s="84" t="n">
        <f aca="false">DP38+$F38*DQ38</f>
        <v>0</v>
      </c>
      <c r="DT38" s="84" t="n">
        <f aca="false">DD38+DN38+(1-$F38)*DQ38</f>
        <v>0</v>
      </c>
      <c r="DU38" s="84" t="n">
        <f aca="false">DE38+DS38</f>
        <v>0</v>
      </c>
      <c r="DV38" s="133" t="n">
        <f aca="false">DI38+$D38*Inputs!$H$13-$D38*$E38</f>
        <v>23992.270807272</v>
      </c>
      <c r="DW38" s="84" t="n">
        <f aca="false">DV38*(1+$I38)</f>
        <v>28070.9568445082</v>
      </c>
      <c r="DX38" s="133" t="n">
        <f aca="false">DW38*Inputs!$H$14</f>
        <v>5614.19136890165</v>
      </c>
      <c r="DY38" s="84" t="n">
        <f aca="false">DW38-DX38</f>
        <v>22456.7654756066</v>
      </c>
      <c r="DZ38" s="133" t="n">
        <f aca="false">DL38+$D38*Inputs!$H$13</f>
        <v>13926.932298182</v>
      </c>
      <c r="EA38" s="84" t="n">
        <f aca="false">MIN(DX38,DZ38)</f>
        <v>5614.19136890165</v>
      </c>
      <c r="EB38" s="84" t="n">
        <f aca="false">DZ38-EA38</f>
        <v>8312.74092928035</v>
      </c>
      <c r="EC38" s="84" t="n">
        <f aca="false">DO38+$G38*(DZ38+DO38)</f>
        <v>0</v>
      </c>
      <c r="ED38" s="84" t="n">
        <f aca="false">MIN(DX38-EA38,EC38)</f>
        <v>0</v>
      </c>
      <c r="EE38" s="84" t="n">
        <f aca="false">EC38-ED38</f>
        <v>0</v>
      </c>
      <c r="EF38" s="84" t="n">
        <f aca="false">IF($H38=1,MIN(DX38-EA38-ED38,MAX(0,$F38/(1-$F38)*(DT38+ED38)-DU38)),0)</f>
        <v>0</v>
      </c>
      <c r="EG38" s="84" t="n">
        <f aca="false">DX38-EA38-ED38-EF38</f>
        <v>0</v>
      </c>
      <c r="EH38" s="84" t="n">
        <f aca="false">EA38+ED38+(1-$F38)*EG38</f>
        <v>5614.19136890165</v>
      </c>
      <c r="EI38" s="84" t="n">
        <f aca="false">EF38+$F38*EG38</f>
        <v>0</v>
      </c>
      <c r="EJ38" s="84" t="n">
        <f aca="false">DT38+ED38+(1-$F38)*EG38</f>
        <v>0</v>
      </c>
      <c r="EK38" s="84" t="n">
        <f aca="false">DU38+EI38</f>
        <v>0</v>
      </c>
      <c r="EL38" s="133" t="n">
        <f aca="false">DY38+$D38*Inputs!$I$13-$D38*$E38</f>
        <v>22156.7654756066</v>
      </c>
      <c r="EM38" s="84" t="n">
        <f aca="false">EL38*(1+$I38)</f>
        <v>25923.4156064597</v>
      </c>
      <c r="EN38" s="133" t="n">
        <f aca="false">EM38*Inputs!$I$14</f>
        <v>5184.68312129194</v>
      </c>
      <c r="EO38" s="84" t="n">
        <f aca="false">EM38-EN38</f>
        <v>20738.7324851678</v>
      </c>
      <c r="EP38" s="133" t="n">
        <f aca="false">EB38+$D38*Inputs!$I$13</f>
        <v>8312.74092928035</v>
      </c>
      <c r="EQ38" s="84" t="n">
        <f aca="false">MIN(EN38,EP38)</f>
        <v>5184.68312129194</v>
      </c>
      <c r="ER38" s="84" t="n">
        <f aca="false">EP38-EQ38</f>
        <v>3128.05780798841</v>
      </c>
      <c r="ES38" s="84" t="n">
        <f aca="false">EE38+$G38*(EP38+EE38)</f>
        <v>0</v>
      </c>
      <c r="ET38" s="84" t="n">
        <f aca="false">MIN(EN38-EQ38,ES38)</f>
        <v>0</v>
      </c>
      <c r="EU38" s="84" t="n">
        <f aca="false">ES38-ET38</f>
        <v>0</v>
      </c>
      <c r="EV38" s="84" t="n">
        <f aca="false">IF($H38=1,MIN(EN38-EQ38-ET38,MAX(0,$F38/(1-$F38)*(EJ38+ET38)-EK38)),0)</f>
        <v>0</v>
      </c>
      <c r="EW38" s="84" t="n">
        <f aca="false">EN38-EQ38-ET38-EV38</f>
        <v>0</v>
      </c>
      <c r="EX38" s="84" t="n">
        <f aca="false">EQ38+ET38+(1-$F38)*EW38</f>
        <v>5184.68312129194</v>
      </c>
      <c r="EY38" s="84" t="n">
        <f aca="false">EV38+$F38*EW38</f>
        <v>0</v>
      </c>
      <c r="EZ38" s="84" t="n">
        <f aca="false">EJ38+ET38+(1-$F38)*EW38</f>
        <v>0</v>
      </c>
      <c r="FA38" s="84" t="n">
        <f aca="false">EK38+EY38</f>
        <v>0</v>
      </c>
      <c r="FB38" s="133" t="n">
        <f aca="false">EO38+$D38*Inputs!$J$13-$D38*$E38</f>
        <v>20438.7324851678</v>
      </c>
      <c r="FC38" s="84" t="n">
        <f aca="false">FB38*(1+$I38)</f>
        <v>23913.3170076463</v>
      </c>
      <c r="FD38" s="133" t="n">
        <f aca="false">FC38*Inputs!$J$14</f>
        <v>4782.66340152926</v>
      </c>
      <c r="FE38" s="84" t="n">
        <f aca="false">FC38-FD38</f>
        <v>19130.653606117</v>
      </c>
      <c r="FF38" s="133" t="n">
        <f aca="false">ER38+$D38*Inputs!$J$13</f>
        <v>3128.05780798841</v>
      </c>
      <c r="FG38" s="84" t="n">
        <f aca="false">MIN(FD38,FF38)</f>
        <v>3128.05780798841</v>
      </c>
      <c r="FH38" s="84" t="n">
        <f aca="false">FF38-FG38</f>
        <v>0</v>
      </c>
      <c r="FI38" s="84" t="n">
        <f aca="false">EU38+$G38*(FF38+EU38)</f>
        <v>0</v>
      </c>
      <c r="FJ38" s="84" t="n">
        <f aca="false">MIN(FD38-FG38,FI38)</f>
        <v>0</v>
      </c>
      <c r="FK38" s="84" t="n">
        <f aca="false">FI38-FJ38</f>
        <v>0</v>
      </c>
      <c r="FL38" s="84" t="n">
        <f aca="false">IF($H38=1,MIN(FD38-FG38-FJ38,MAX(0,$F38/(1-$F38)*(EZ38+FJ38)-FA38)),0)</f>
        <v>0</v>
      </c>
      <c r="FM38" s="84" t="n">
        <f aca="false">FD38-FG38-FJ38-FL38</f>
        <v>1654.60559354085</v>
      </c>
      <c r="FN38" s="84" t="n">
        <f aca="false">FG38+FJ38+(1-$F38)*FM38</f>
        <v>4451.74228282109</v>
      </c>
      <c r="FO38" s="84" t="n">
        <f aca="false">FL38+$F38*FM38</f>
        <v>330.921118708169</v>
      </c>
      <c r="FP38" s="84" t="n">
        <f aca="false">EZ38+FJ38+(1-$F38)*FM38</f>
        <v>1323.68447483268</v>
      </c>
      <c r="FQ38" s="84" t="n">
        <f aca="false">FA38+FO38</f>
        <v>330.921118708169</v>
      </c>
      <c r="FR38" s="133" t="n">
        <f aca="false">FE38+$D38*Inputs!$K$13-$D38*$E38</f>
        <v>18830.653606117</v>
      </c>
      <c r="FS38" s="84" t="n">
        <f aca="false">FR38*(1+$I38)</f>
        <v>22031.8647191569</v>
      </c>
      <c r="FT38" s="133" t="n">
        <f aca="false">FS38*Inputs!$K$14</f>
        <v>4406.37294383138</v>
      </c>
      <c r="FU38" s="84" t="n">
        <f aca="false">FS38-FT38</f>
        <v>17625.4917753255</v>
      </c>
      <c r="FV38" s="133" t="n">
        <f aca="false">FH38+$D38*Inputs!$K$13</f>
        <v>0</v>
      </c>
      <c r="FW38" s="84" t="n">
        <f aca="false">MIN(FT38,FV38)</f>
        <v>0</v>
      </c>
      <c r="FX38" s="84" t="n">
        <f aca="false">FV38-FW38</f>
        <v>0</v>
      </c>
      <c r="FY38" s="84" t="n">
        <f aca="false">FK38+$G38*(FV38+FK38)</f>
        <v>0</v>
      </c>
      <c r="FZ38" s="84" t="n">
        <f aca="false">MIN(FT38-FW38,FY38)</f>
        <v>0</v>
      </c>
      <c r="GA38" s="84" t="n">
        <f aca="false">FY38-FZ38</f>
        <v>0</v>
      </c>
      <c r="GB38" s="84" t="n">
        <f aca="false">IF($H38=1,MIN(FT38-FW38-FZ38,MAX(0,$F38/(1-$F38)*(FP38+FZ38)-FQ38)),0)</f>
        <v>0</v>
      </c>
      <c r="GC38" s="84" t="n">
        <f aca="false">FT38-FW38-FZ38-GB38</f>
        <v>4406.37294383138</v>
      </c>
      <c r="GD38" s="84" t="n">
        <f aca="false">FW38+FZ38+(1-$F38)*GC38</f>
        <v>3525.09835506511</v>
      </c>
      <c r="GE38" s="84" t="n">
        <f aca="false">GB38+$F38*GC38</f>
        <v>881.274588766277</v>
      </c>
      <c r="GF38" s="84" t="n">
        <f aca="false">FP38+FZ38+(1-$F38)*GC38</f>
        <v>4848.78282989778</v>
      </c>
      <c r="GG38" s="84" t="n">
        <f aca="false">FQ38+GE38</f>
        <v>1212.19570747445</v>
      </c>
      <c r="GH38" s="133" t="n">
        <f aca="false">FU38+$D38*Inputs!$L$13-$D38*$E38</f>
        <v>17325.4917753255</v>
      </c>
      <c r="GI38" s="84" t="n">
        <f aca="false">GH38*(1+$I38)</f>
        <v>20270.8253771309</v>
      </c>
      <c r="GJ38" s="133" t="n">
        <f aca="false">GI38*Inputs!$L$14</f>
        <v>20270.8253771309</v>
      </c>
      <c r="GK38" s="84" t="n">
        <f aca="false">GI38-GJ38</f>
        <v>0</v>
      </c>
      <c r="GL38" s="133" t="n">
        <f aca="false">FX38+$D38*Inputs!$L$13</f>
        <v>0</v>
      </c>
      <c r="GM38" s="84" t="n">
        <f aca="false">MIN(GJ38,GL38)</f>
        <v>0</v>
      </c>
      <c r="GN38" s="84" t="n">
        <f aca="false">GL38-GM38</f>
        <v>0</v>
      </c>
      <c r="GO38" s="84" t="n">
        <f aca="false">GA38+$G38*(GL38+GA38)</f>
        <v>0</v>
      </c>
      <c r="GP38" s="84" t="n">
        <f aca="false">MIN(GJ38-GM38,GO38)</f>
        <v>0</v>
      </c>
      <c r="GQ38" s="84" t="n">
        <f aca="false">GO38-GP38</f>
        <v>0</v>
      </c>
      <c r="GR38" s="84" t="n">
        <f aca="false">IF($H38=1,MIN(GJ38-GM38-GP38,MAX(0,$F38/(1-$F38)*(GF38+GP38)-GG38)),0)</f>
        <v>0</v>
      </c>
      <c r="GS38" s="84" t="n">
        <f aca="false">GJ38-GM38-GP38-GR38</f>
        <v>20270.8253771309</v>
      </c>
      <c r="GT38" s="84" t="n">
        <f aca="false">GM38+GP38+(1-$F38)*GS38</f>
        <v>16216.6603017047</v>
      </c>
      <c r="GU38" s="84" t="n">
        <f aca="false">GR38+$F38*GS38</f>
        <v>4054.16507542618</v>
      </c>
      <c r="GV38" s="84" t="n">
        <f aca="false">GF38+GP38+(1-$F38)*GS38</f>
        <v>21065.4431316025</v>
      </c>
      <c r="GW38" s="84" t="n">
        <f aca="false">GG38+GU38</f>
        <v>5266.36078290062</v>
      </c>
    </row>
    <row r="39" customFormat="false" ht="15" hidden="false" customHeight="false" outlineLevel="0" collapsed="false">
      <c r="A39" s="5" t="s">
        <v>635</v>
      </c>
      <c r="B39" s="5" t="s">
        <v>636</v>
      </c>
      <c r="C39" s="135" t="n">
        <v>18</v>
      </c>
      <c r="D39" s="47" t="n">
        <f aca="false">Inputs!$C$6</f>
        <v>20000</v>
      </c>
      <c r="E39" s="35" t="n">
        <f aca="false">Inputs!$C$18</f>
        <v>0.015</v>
      </c>
      <c r="F39" s="36" t="n">
        <f aca="false">Inputs!$C$20</f>
        <v>0.2</v>
      </c>
      <c r="G39" s="30" t="n">
        <v>0</v>
      </c>
      <c r="H39" s="27" t="n">
        <v>0</v>
      </c>
      <c r="I39" s="132" t="n">
        <f aca="false">Inputs!$C$38+$C39*Inputs!$C$39</f>
        <v>0.18</v>
      </c>
      <c r="J39" s="36" t="n">
        <f aca="false">Inputs!$C$9</f>
        <v>0.15</v>
      </c>
      <c r="K39" s="89" t="n">
        <f aca="false">IRR(W39:AG39,0.1)</f>
        <v>0.138426292206597</v>
      </c>
      <c r="L39" s="45" t="n">
        <f aca="false">W39+NPV($J39,X39:AG39)</f>
        <v>-882.472862498112</v>
      </c>
      <c r="M39" s="45" t="n">
        <f aca="false">SUM(BF39,BV39,CL39,DB39,DR39,EH39,EX39,FN39,GD39,GT39)</f>
        <v>43272.8102264231</v>
      </c>
      <c r="N39" s="43" t="n">
        <f aca="false">IF($D39*SUM(Inputs!$C$13:$L$13)=0,0,M39/($D39*SUM(Inputs!$C$13:$L$13)))</f>
        <v>2.16364051132116</v>
      </c>
      <c r="O39" s="42" t="n">
        <f aca="false">$D39*$E39*COLUMNS(Inputs!$C$13:$L$13)</f>
        <v>3000</v>
      </c>
      <c r="P39" s="45" t="n">
        <f aca="false">SUM(BG39,BW39,CM39,DC39,DS39,EI39,EY39,FO39,GE39,GU39)</f>
        <v>5818.20255660578</v>
      </c>
      <c r="Q39" s="42" t="n">
        <f aca="false">PV($J39,COLUMNS(Inputs!$C$13:$L$13),-$D39*$E39,0,1)</f>
        <v>1731.47517591971</v>
      </c>
      <c r="R39" s="45" t="n">
        <f aca="false">NPV($J39,BG39,BW39,CM39,DC39,DS39,EI39,EY39,FO39,GE39,GU39)</f>
        <v>1513.80087482</v>
      </c>
      <c r="S39" s="45" t="n">
        <f aca="false">Q39+R39</f>
        <v>3245.2760507397</v>
      </c>
      <c r="T39" s="32" t="n">
        <f aca="false">IF(S39=0,0,Q39/S39)</f>
        <v>0.533537100957883</v>
      </c>
      <c r="U39" s="45" t="n">
        <f aca="false">ROUND(ABS(GK39)+ABS(SUM(AV39,BL39,CB39,CR39,DH39,DX39,EN39,FD39,FT39,GJ39)-M39-P39)+ABS(S39-(AH39+NPV($J39,AI39:AR39))),6)</f>
        <v>0</v>
      </c>
      <c r="W39" s="133" t="n">
        <f aca="false">-$D39*Inputs!$C$13</f>
        <v>-4000</v>
      </c>
      <c r="X39" s="133" t="n">
        <f aca="false">BF39-$D39*Inputs!$D$13</f>
        <v>-4000</v>
      </c>
      <c r="Y39" s="133" t="n">
        <f aca="false">BV39-$D39*Inputs!$E$13</f>
        <v>-4000</v>
      </c>
      <c r="Z39" s="133" t="n">
        <f aca="false">CL39-$D39*Inputs!$F$13</f>
        <v>-4000</v>
      </c>
      <c r="AA39" s="133" t="n">
        <f aca="false">DB39-$D39*Inputs!$G$13</f>
        <v>-4000</v>
      </c>
      <c r="AB39" s="133" t="n">
        <f aca="false">DR39-$D39*Inputs!$H$13</f>
        <v>6247.055962432</v>
      </c>
      <c r="AC39" s="133" t="n">
        <f aca="false">EH39-$D39*Inputs!$I$13</f>
        <v>5826.42082853581</v>
      </c>
      <c r="AD39" s="133" t="n">
        <f aca="false">EX39-$D39*Inputs!$J$13</f>
        <v>5429.3412621378</v>
      </c>
      <c r="AE39" s="133" t="n">
        <f aca="false">FN39-$D39*Inputs!$K$13</f>
        <v>4543.03491054535</v>
      </c>
      <c r="AF39" s="133" t="n">
        <f aca="false">GD39-$D39*Inputs!$L$13</f>
        <v>3760.51700398115</v>
      </c>
      <c r="AG39" s="84" t="n">
        <f aca="false">GT39</f>
        <v>17466.440258791</v>
      </c>
      <c r="AH39" s="84" t="n">
        <f aca="false">$D39*$E39</f>
        <v>300</v>
      </c>
      <c r="AI39" s="84" t="n">
        <f aca="false">BG39+$D39*$E39</f>
        <v>300</v>
      </c>
      <c r="AJ39" s="84" t="n">
        <f aca="false">BW39+$D39*$E39</f>
        <v>300</v>
      </c>
      <c r="AK39" s="84" t="n">
        <f aca="false">CM39+$D39*$E39</f>
        <v>300</v>
      </c>
      <c r="AL39" s="84" t="n">
        <f aca="false">DC39+$D39*$E39</f>
        <v>300</v>
      </c>
      <c r="AM39" s="84" t="n">
        <f aca="false">DS39+$D39*$E39</f>
        <v>300</v>
      </c>
      <c r="AN39" s="84" t="n">
        <f aca="false">EI39+$D39*$E39</f>
        <v>300</v>
      </c>
      <c r="AO39" s="84" t="n">
        <f aca="false">EY39+$D39*$E39</f>
        <v>300</v>
      </c>
      <c r="AP39" s="84" t="n">
        <f aca="false">FO39+$D39*$E39</f>
        <v>811.463240912739</v>
      </c>
      <c r="AQ39" s="84" t="n">
        <f aca="false">GE39+$D39*$E39</f>
        <v>1240.12925099529</v>
      </c>
      <c r="AR39" s="84" t="n">
        <f aca="false">GU39</f>
        <v>4366.61006469775</v>
      </c>
      <c r="AT39" s="133" t="n">
        <f aca="false">$D39*Inputs!$C$13-$D39*$E39</f>
        <v>3700</v>
      </c>
      <c r="AU39" s="84" t="n">
        <f aca="false">AT39*(1+$I39)</f>
        <v>4366</v>
      </c>
      <c r="AV39" s="133" t="n">
        <f aca="false">AU39*Inputs!$C$14</f>
        <v>0</v>
      </c>
      <c r="AW39" s="84" t="n">
        <f aca="false">AU39-AV39</f>
        <v>4366</v>
      </c>
      <c r="AX39" s="133" t="n">
        <f aca="false">$D39*Inputs!$C$13</f>
        <v>4000</v>
      </c>
      <c r="AY39" s="84" t="n">
        <f aca="false">MIN(AV39,AX39)</f>
        <v>0</v>
      </c>
      <c r="AZ39" s="84" t="n">
        <f aca="false">AX39-AY39</f>
        <v>4000</v>
      </c>
      <c r="BA39" s="84" t="n">
        <f aca="false">$G39*AX39</f>
        <v>0</v>
      </c>
      <c r="BB39" s="84" t="n">
        <f aca="false">MIN(AV39-AY39,BA39)</f>
        <v>0</v>
      </c>
      <c r="BC39" s="84" t="n">
        <f aca="false">BA39-BB39</f>
        <v>0</v>
      </c>
      <c r="BD39" s="84" t="n">
        <f aca="false">IF($H39=1,MIN(AV39-AY39-BB39,MAX(0,$F39/(1-$F39)*BB39)),0)</f>
        <v>0</v>
      </c>
      <c r="BE39" s="84" t="n">
        <f aca="false">AV39-AY39-BB39-BD39</f>
        <v>0</v>
      </c>
      <c r="BF39" s="84" t="n">
        <f aca="false">AY39+BB39+(1-$F39)*BE39</f>
        <v>0</v>
      </c>
      <c r="BG39" s="84" t="n">
        <f aca="false">BD39+$F39*BE39</f>
        <v>0</v>
      </c>
      <c r="BH39" s="84" t="n">
        <f aca="false">BB39+(1-$F39)*BE39</f>
        <v>0</v>
      </c>
      <c r="BI39" s="84" t="n">
        <f aca="false">BG39</f>
        <v>0</v>
      </c>
      <c r="BJ39" s="133" t="n">
        <f aca="false">AW39+$D39*Inputs!$D$13-$D39*$E39</f>
        <v>8066</v>
      </c>
      <c r="BK39" s="84" t="n">
        <f aca="false">BJ39*(1+$I39)</f>
        <v>9517.88</v>
      </c>
      <c r="BL39" s="133" t="n">
        <f aca="false">BK39*Inputs!$D$14</f>
        <v>0</v>
      </c>
      <c r="BM39" s="84" t="n">
        <f aca="false">BK39-BL39</f>
        <v>9517.88</v>
      </c>
      <c r="BN39" s="133" t="n">
        <f aca="false">AZ39+$D39*Inputs!$D$13</f>
        <v>8000</v>
      </c>
      <c r="BO39" s="84" t="n">
        <f aca="false">MIN(BL39,BN39)</f>
        <v>0</v>
      </c>
      <c r="BP39" s="84" t="n">
        <f aca="false">BN39-BO39</f>
        <v>8000</v>
      </c>
      <c r="BQ39" s="84" t="n">
        <f aca="false">BC39+$G39*(BN39+BC39)</f>
        <v>0</v>
      </c>
      <c r="BR39" s="84" t="n">
        <f aca="false">MIN(BL39-BO39,BQ39)</f>
        <v>0</v>
      </c>
      <c r="BS39" s="84" t="n">
        <f aca="false">BQ39-BR39</f>
        <v>0</v>
      </c>
      <c r="BT39" s="84" t="n">
        <f aca="false">IF($H39=1,MIN(BL39-BO39-BR39,MAX(0,$F39/(1-$F39)*(BH39+BR39)-BI39)),0)</f>
        <v>0</v>
      </c>
      <c r="BU39" s="84" t="n">
        <f aca="false">BL39-BO39-BR39-BT39</f>
        <v>0</v>
      </c>
      <c r="BV39" s="84" t="n">
        <f aca="false">BO39+BR39+(1-$F39)*BU39</f>
        <v>0</v>
      </c>
      <c r="BW39" s="84" t="n">
        <f aca="false">BT39+$F39*BU39</f>
        <v>0</v>
      </c>
      <c r="BX39" s="84" t="n">
        <f aca="false">BH39+BR39+(1-$F39)*BU39</f>
        <v>0</v>
      </c>
      <c r="BY39" s="84" t="n">
        <f aca="false">BI39+BW39</f>
        <v>0</v>
      </c>
      <c r="BZ39" s="133" t="n">
        <f aca="false">BM39+$D39*Inputs!$E$13-$D39*$E39</f>
        <v>13217.88</v>
      </c>
      <c r="CA39" s="84" t="n">
        <f aca="false">BZ39*(1+$I39)</f>
        <v>15597.0984</v>
      </c>
      <c r="CB39" s="133" t="n">
        <f aca="false">CA39*Inputs!$E$14</f>
        <v>0</v>
      </c>
      <c r="CC39" s="84" t="n">
        <f aca="false">CA39-CB39</f>
        <v>15597.0984</v>
      </c>
      <c r="CD39" s="133" t="n">
        <f aca="false">BP39+$D39*Inputs!$E$13</f>
        <v>12000</v>
      </c>
      <c r="CE39" s="84" t="n">
        <f aca="false">MIN(CB39,CD39)</f>
        <v>0</v>
      </c>
      <c r="CF39" s="84" t="n">
        <f aca="false">CD39-CE39</f>
        <v>12000</v>
      </c>
      <c r="CG39" s="84" t="n">
        <f aca="false">BS39+$G39*(CD39+BS39)</f>
        <v>0</v>
      </c>
      <c r="CH39" s="84" t="n">
        <f aca="false">MIN(CB39-CE39,CG39)</f>
        <v>0</v>
      </c>
      <c r="CI39" s="84" t="n">
        <f aca="false">CG39-CH39</f>
        <v>0</v>
      </c>
      <c r="CJ39" s="84" t="n">
        <f aca="false">IF($H39=1,MIN(CB39-CE39-CH39,MAX(0,$F39/(1-$F39)*(BX39+CH39)-BY39)),0)</f>
        <v>0</v>
      </c>
      <c r="CK39" s="84" t="n">
        <f aca="false">CB39-CE39-CH39-CJ39</f>
        <v>0</v>
      </c>
      <c r="CL39" s="84" t="n">
        <f aca="false">CE39+CH39+(1-$F39)*CK39</f>
        <v>0</v>
      </c>
      <c r="CM39" s="84" t="n">
        <f aca="false">CJ39+$F39*CK39</f>
        <v>0</v>
      </c>
      <c r="CN39" s="84" t="n">
        <f aca="false">BX39+CH39+(1-$F39)*CK39</f>
        <v>0</v>
      </c>
      <c r="CO39" s="84" t="n">
        <f aca="false">BY39+CM39</f>
        <v>0</v>
      </c>
      <c r="CP39" s="133" t="n">
        <f aca="false">CC39+$D39*Inputs!$F$13-$D39*$E39</f>
        <v>19297.0984</v>
      </c>
      <c r="CQ39" s="84" t="n">
        <f aca="false">CP39*(1+$I39)</f>
        <v>22770.576112</v>
      </c>
      <c r="CR39" s="133" t="n">
        <f aca="false">CQ39*Inputs!$F$14</f>
        <v>0</v>
      </c>
      <c r="CS39" s="84" t="n">
        <f aca="false">CQ39-CR39</f>
        <v>22770.576112</v>
      </c>
      <c r="CT39" s="133" t="n">
        <f aca="false">CF39+$D39*Inputs!$F$13</f>
        <v>16000</v>
      </c>
      <c r="CU39" s="84" t="n">
        <f aca="false">MIN(CR39,CT39)</f>
        <v>0</v>
      </c>
      <c r="CV39" s="84" t="n">
        <f aca="false">CT39-CU39</f>
        <v>16000</v>
      </c>
      <c r="CW39" s="84" t="n">
        <f aca="false">CI39+$G39*(CT39+CI39)</f>
        <v>0</v>
      </c>
      <c r="CX39" s="84" t="n">
        <f aca="false">MIN(CR39-CU39,CW39)</f>
        <v>0</v>
      </c>
      <c r="CY39" s="84" t="n">
        <f aca="false">CW39-CX39</f>
        <v>0</v>
      </c>
      <c r="CZ39" s="84" t="n">
        <f aca="false">IF($H39=1,MIN(CR39-CU39-CX39,MAX(0,$F39/(1-$F39)*(CN39+CX39)-CO39)),0)</f>
        <v>0</v>
      </c>
      <c r="DA39" s="84" t="n">
        <f aca="false">CR39-CU39-CX39-CZ39</f>
        <v>0</v>
      </c>
      <c r="DB39" s="84" t="n">
        <f aca="false">CU39+CX39+(1-$F39)*DA39</f>
        <v>0</v>
      </c>
      <c r="DC39" s="84" t="n">
        <f aca="false">CZ39+$F39*DA39</f>
        <v>0</v>
      </c>
      <c r="DD39" s="84" t="n">
        <f aca="false">CN39+CX39+(1-$F39)*DA39</f>
        <v>0</v>
      </c>
      <c r="DE39" s="84" t="n">
        <f aca="false">CO39+DC39</f>
        <v>0</v>
      </c>
      <c r="DF39" s="133" t="n">
        <f aca="false">CS39+$D39*Inputs!$G$13-$D39*$E39</f>
        <v>26470.576112</v>
      </c>
      <c r="DG39" s="84" t="n">
        <f aca="false">DF39*(1+$I39)</f>
        <v>31235.27981216</v>
      </c>
      <c r="DH39" s="133" t="n">
        <f aca="false">DG39*Inputs!$G$14</f>
        <v>6247.055962432</v>
      </c>
      <c r="DI39" s="84" t="n">
        <f aca="false">DG39-DH39</f>
        <v>24988.223849728</v>
      </c>
      <c r="DJ39" s="133" t="n">
        <f aca="false">CV39+$D39*Inputs!$G$13</f>
        <v>20000</v>
      </c>
      <c r="DK39" s="84" t="n">
        <f aca="false">MIN(DH39,DJ39)</f>
        <v>6247.055962432</v>
      </c>
      <c r="DL39" s="84" t="n">
        <f aca="false">DJ39-DK39</f>
        <v>13752.944037568</v>
      </c>
      <c r="DM39" s="84" t="n">
        <f aca="false">CY39+$G39*(DJ39+CY39)</f>
        <v>0</v>
      </c>
      <c r="DN39" s="84" t="n">
        <f aca="false">MIN(DH39-DK39,DM39)</f>
        <v>0</v>
      </c>
      <c r="DO39" s="84" t="n">
        <f aca="false">DM39-DN39</f>
        <v>0</v>
      </c>
      <c r="DP39" s="84" t="n">
        <f aca="false">IF($H39=1,MIN(DH39-DK39-DN39,MAX(0,$F39/(1-$F39)*(DD39+DN39)-DE39)),0)</f>
        <v>0</v>
      </c>
      <c r="DQ39" s="84" t="n">
        <f aca="false">DH39-DK39-DN39-DP39</f>
        <v>0</v>
      </c>
      <c r="DR39" s="84" t="n">
        <f aca="false">DK39+DN39+(1-$F39)*DQ39</f>
        <v>6247.055962432</v>
      </c>
      <c r="DS39" s="84" t="n">
        <f aca="false">DP39+$F39*DQ39</f>
        <v>0</v>
      </c>
      <c r="DT39" s="84" t="n">
        <f aca="false">DD39+DN39+(1-$F39)*DQ39</f>
        <v>0</v>
      </c>
      <c r="DU39" s="84" t="n">
        <f aca="false">DE39+DS39</f>
        <v>0</v>
      </c>
      <c r="DV39" s="133" t="n">
        <f aca="false">DI39+$D39*Inputs!$H$13-$D39*$E39</f>
        <v>24688.223849728</v>
      </c>
      <c r="DW39" s="84" t="n">
        <f aca="false">DV39*(1+$I39)</f>
        <v>29132.104142679</v>
      </c>
      <c r="DX39" s="133" t="n">
        <f aca="false">DW39*Inputs!$H$14</f>
        <v>5826.42082853581</v>
      </c>
      <c r="DY39" s="84" t="n">
        <f aca="false">DW39-DX39</f>
        <v>23305.6833141432</v>
      </c>
      <c r="DZ39" s="133" t="n">
        <f aca="false">DL39+$D39*Inputs!$H$13</f>
        <v>13752.944037568</v>
      </c>
      <c r="EA39" s="84" t="n">
        <f aca="false">MIN(DX39,DZ39)</f>
        <v>5826.42082853581</v>
      </c>
      <c r="EB39" s="84" t="n">
        <f aca="false">DZ39-EA39</f>
        <v>7926.52320903219</v>
      </c>
      <c r="EC39" s="84" t="n">
        <f aca="false">DO39+$G39*(DZ39+DO39)</f>
        <v>0</v>
      </c>
      <c r="ED39" s="84" t="n">
        <f aca="false">MIN(DX39-EA39,EC39)</f>
        <v>0</v>
      </c>
      <c r="EE39" s="84" t="n">
        <f aca="false">EC39-ED39</f>
        <v>0</v>
      </c>
      <c r="EF39" s="84" t="n">
        <f aca="false">IF($H39=1,MIN(DX39-EA39-ED39,MAX(0,$F39/(1-$F39)*(DT39+ED39)-DU39)),0)</f>
        <v>0</v>
      </c>
      <c r="EG39" s="84" t="n">
        <f aca="false">DX39-EA39-ED39-EF39</f>
        <v>0</v>
      </c>
      <c r="EH39" s="84" t="n">
        <f aca="false">EA39+ED39+(1-$F39)*EG39</f>
        <v>5826.42082853581</v>
      </c>
      <c r="EI39" s="84" t="n">
        <f aca="false">EF39+$F39*EG39</f>
        <v>0</v>
      </c>
      <c r="EJ39" s="84" t="n">
        <f aca="false">DT39+ED39+(1-$F39)*EG39</f>
        <v>0</v>
      </c>
      <c r="EK39" s="84" t="n">
        <f aca="false">DU39+EI39</f>
        <v>0</v>
      </c>
      <c r="EL39" s="133" t="n">
        <f aca="false">DY39+$D39*Inputs!$I$13-$D39*$E39</f>
        <v>23005.6833141432</v>
      </c>
      <c r="EM39" s="84" t="n">
        <f aca="false">EL39*(1+$I39)</f>
        <v>27146.706310689</v>
      </c>
      <c r="EN39" s="133" t="n">
        <f aca="false">EM39*Inputs!$I$14</f>
        <v>5429.3412621378</v>
      </c>
      <c r="EO39" s="84" t="n">
        <f aca="false">EM39-EN39</f>
        <v>21717.3650485512</v>
      </c>
      <c r="EP39" s="133" t="n">
        <f aca="false">EB39+$D39*Inputs!$I$13</f>
        <v>7926.52320903219</v>
      </c>
      <c r="EQ39" s="84" t="n">
        <f aca="false">MIN(EN39,EP39)</f>
        <v>5429.3412621378</v>
      </c>
      <c r="ER39" s="84" t="n">
        <f aca="false">EP39-EQ39</f>
        <v>2497.18194689439</v>
      </c>
      <c r="ES39" s="84" t="n">
        <f aca="false">EE39+$G39*(EP39+EE39)</f>
        <v>0</v>
      </c>
      <c r="ET39" s="84" t="n">
        <f aca="false">MIN(EN39-EQ39,ES39)</f>
        <v>0</v>
      </c>
      <c r="EU39" s="84" t="n">
        <f aca="false">ES39-ET39</f>
        <v>0</v>
      </c>
      <c r="EV39" s="84" t="n">
        <f aca="false">IF($H39=1,MIN(EN39-EQ39-ET39,MAX(0,$F39/(1-$F39)*(EJ39+ET39)-EK39)),0)</f>
        <v>0</v>
      </c>
      <c r="EW39" s="84" t="n">
        <f aca="false">EN39-EQ39-ET39-EV39</f>
        <v>0</v>
      </c>
      <c r="EX39" s="84" t="n">
        <f aca="false">EQ39+ET39+(1-$F39)*EW39</f>
        <v>5429.3412621378</v>
      </c>
      <c r="EY39" s="84" t="n">
        <f aca="false">EV39+$F39*EW39</f>
        <v>0</v>
      </c>
      <c r="EZ39" s="84" t="n">
        <f aca="false">EJ39+ET39+(1-$F39)*EW39</f>
        <v>0</v>
      </c>
      <c r="FA39" s="84" t="n">
        <f aca="false">EK39+EY39</f>
        <v>0</v>
      </c>
      <c r="FB39" s="133" t="n">
        <f aca="false">EO39+$D39*Inputs!$J$13-$D39*$E39</f>
        <v>21417.3650485512</v>
      </c>
      <c r="FC39" s="84" t="n">
        <f aca="false">FB39*(1+$I39)</f>
        <v>25272.4907572904</v>
      </c>
      <c r="FD39" s="133" t="n">
        <f aca="false">FC39*Inputs!$J$14</f>
        <v>5054.49815145809</v>
      </c>
      <c r="FE39" s="84" t="n">
        <f aca="false">FC39-FD39</f>
        <v>20217.9926058323</v>
      </c>
      <c r="FF39" s="133" t="n">
        <f aca="false">ER39+$D39*Inputs!$J$13</f>
        <v>2497.18194689439</v>
      </c>
      <c r="FG39" s="84" t="n">
        <f aca="false">MIN(FD39,FF39)</f>
        <v>2497.18194689439</v>
      </c>
      <c r="FH39" s="84" t="n">
        <f aca="false">FF39-FG39</f>
        <v>0</v>
      </c>
      <c r="FI39" s="84" t="n">
        <f aca="false">EU39+$G39*(FF39+EU39)</f>
        <v>0</v>
      </c>
      <c r="FJ39" s="84" t="n">
        <f aca="false">MIN(FD39-FG39,FI39)</f>
        <v>0</v>
      </c>
      <c r="FK39" s="84" t="n">
        <f aca="false">FI39-FJ39</f>
        <v>0</v>
      </c>
      <c r="FL39" s="84" t="n">
        <f aca="false">IF($H39=1,MIN(FD39-FG39-FJ39,MAX(0,$F39/(1-$F39)*(EZ39+FJ39)-FA39)),0)</f>
        <v>0</v>
      </c>
      <c r="FM39" s="84" t="n">
        <f aca="false">FD39-FG39-FJ39-FL39</f>
        <v>2557.31620456369</v>
      </c>
      <c r="FN39" s="84" t="n">
        <f aca="false">FG39+FJ39+(1-$F39)*FM39</f>
        <v>4543.03491054535</v>
      </c>
      <c r="FO39" s="84" t="n">
        <f aca="false">FL39+$F39*FM39</f>
        <v>511.463240912739</v>
      </c>
      <c r="FP39" s="84" t="n">
        <f aca="false">EZ39+FJ39+(1-$F39)*FM39</f>
        <v>2045.85296365096</v>
      </c>
      <c r="FQ39" s="84" t="n">
        <f aca="false">FA39+FO39</f>
        <v>511.463240912739</v>
      </c>
      <c r="FR39" s="133" t="n">
        <f aca="false">FE39+$D39*Inputs!$K$13-$D39*$E39</f>
        <v>19917.9926058323</v>
      </c>
      <c r="FS39" s="84" t="n">
        <f aca="false">FR39*(1+$I39)</f>
        <v>23503.2312748822</v>
      </c>
      <c r="FT39" s="133" t="n">
        <f aca="false">FS39*Inputs!$K$14</f>
        <v>4700.64625497643</v>
      </c>
      <c r="FU39" s="84" t="n">
        <f aca="false">FS39-FT39</f>
        <v>18802.5850199057</v>
      </c>
      <c r="FV39" s="133" t="n">
        <f aca="false">FH39+$D39*Inputs!$K$13</f>
        <v>0</v>
      </c>
      <c r="FW39" s="84" t="n">
        <f aca="false">MIN(FT39,FV39)</f>
        <v>0</v>
      </c>
      <c r="FX39" s="84" t="n">
        <f aca="false">FV39-FW39</f>
        <v>0</v>
      </c>
      <c r="FY39" s="84" t="n">
        <f aca="false">FK39+$G39*(FV39+FK39)</f>
        <v>0</v>
      </c>
      <c r="FZ39" s="84" t="n">
        <f aca="false">MIN(FT39-FW39,FY39)</f>
        <v>0</v>
      </c>
      <c r="GA39" s="84" t="n">
        <f aca="false">FY39-FZ39</f>
        <v>0</v>
      </c>
      <c r="GB39" s="84" t="n">
        <f aca="false">IF($H39=1,MIN(FT39-FW39-FZ39,MAX(0,$F39/(1-$F39)*(FP39+FZ39)-FQ39)),0)</f>
        <v>0</v>
      </c>
      <c r="GC39" s="84" t="n">
        <f aca="false">FT39-FW39-FZ39-GB39</f>
        <v>4700.64625497643</v>
      </c>
      <c r="GD39" s="84" t="n">
        <f aca="false">FW39+FZ39+(1-$F39)*GC39</f>
        <v>3760.51700398115</v>
      </c>
      <c r="GE39" s="84" t="n">
        <f aca="false">GB39+$F39*GC39</f>
        <v>940.129250995286</v>
      </c>
      <c r="GF39" s="84" t="n">
        <f aca="false">FP39+FZ39+(1-$F39)*GC39</f>
        <v>5806.3699676321</v>
      </c>
      <c r="GG39" s="84" t="n">
        <f aca="false">FQ39+GE39</f>
        <v>1451.59249190803</v>
      </c>
      <c r="GH39" s="133" t="n">
        <f aca="false">FU39+$D39*Inputs!$L$13-$D39*$E39</f>
        <v>18502.5850199057</v>
      </c>
      <c r="GI39" s="84" t="n">
        <f aca="false">GH39*(1+$I39)</f>
        <v>21833.0503234888</v>
      </c>
      <c r="GJ39" s="133" t="n">
        <f aca="false">GI39*Inputs!$L$14</f>
        <v>21833.0503234888</v>
      </c>
      <c r="GK39" s="84" t="n">
        <f aca="false">GI39-GJ39</f>
        <v>0</v>
      </c>
      <c r="GL39" s="133" t="n">
        <f aca="false">FX39+$D39*Inputs!$L$13</f>
        <v>0</v>
      </c>
      <c r="GM39" s="84" t="n">
        <f aca="false">MIN(GJ39,GL39)</f>
        <v>0</v>
      </c>
      <c r="GN39" s="84" t="n">
        <f aca="false">GL39-GM39</f>
        <v>0</v>
      </c>
      <c r="GO39" s="84" t="n">
        <f aca="false">GA39+$G39*(GL39+GA39)</f>
        <v>0</v>
      </c>
      <c r="GP39" s="84" t="n">
        <f aca="false">MIN(GJ39-GM39,GO39)</f>
        <v>0</v>
      </c>
      <c r="GQ39" s="84" t="n">
        <f aca="false">GO39-GP39</f>
        <v>0</v>
      </c>
      <c r="GR39" s="84" t="n">
        <f aca="false">IF($H39=1,MIN(GJ39-GM39-GP39,MAX(0,$F39/(1-$F39)*(GF39+GP39)-GG39)),0)</f>
        <v>0</v>
      </c>
      <c r="GS39" s="84" t="n">
        <f aca="false">GJ39-GM39-GP39-GR39</f>
        <v>21833.0503234888</v>
      </c>
      <c r="GT39" s="84" t="n">
        <f aca="false">GM39+GP39+(1-$F39)*GS39</f>
        <v>17466.440258791</v>
      </c>
      <c r="GU39" s="84" t="n">
        <f aca="false">GR39+$F39*GS39</f>
        <v>4366.61006469775</v>
      </c>
      <c r="GV39" s="84" t="n">
        <f aca="false">GF39+GP39+(1-$F39)*GS39</f>
        <v>23272.8102264231</v>
      </c>
      <c r="GW39" s="84" t="n">
        <f aca="false">GG39+GU39</f>
        <v>5818.20255660578</v>
      </c>
    </row>
    <row r="40" customFormat="false" ht="15" hidden="false" customHeight="false" outlineLevel="0" collapsed="false">
      <c r="A40" s="5" t="s">
        <v>635</v>
      </c>
      <c r="B40" s="5" t="s">
        <v>636</v>
      </c>
      <c r="C40" s="135" t="n">
        <v>19</v>
      </c>
      <c r="D40" s="47" t="n">
        <f aca="false">Inputs!$C$6</f>
        <v>20000</v>
      </c>
      <c r="E40" s="35" t="n">
        <f aca="false">Inputs!$C$18</f>
        <v>0.015</v>
      </c>
      <c r="F40" s="36" t="n">
        <f aca="false">Inputs!$C$20</f>
        <v>0.2</v>
      </c>
      <c r="G40" s="30" t="n">
        <v>0</v>
      </c>
      <c r="H40" s="27" t="n">
        <v>0</v>
      </c>
      <c r="I40" s="132" t="n">
        <f aca="false">Inputs!$C$38+$C40*Inputs!$C$39</f>
        <v>0.19</v>
      </c>
      <c r="J40" s="36" t="n">
        <f aca="false">Inputs!$C$9</f>
        <v>0.15</v>
      </c>
      <c r="K40" s="89" t="n">
        <f aca="false">IRR(W40:AG40,0.1)</f>
        <v>0.147812293376628</v>
      </c>
      <c r="L40" s="45" t="n">
        <f aca="false">W40+NPV($J40,X40:AG40)</f>
        <v>-170.867475319214</v>
      </c>
      <c r="M40" s="45" t="n">
        <f aca="false">SUM(BF40,BV40,CL40,DB40,DR40,EH40,EX40,FN40,GD40,GT40)</f>
        <v>45605.6213292253</v>
      </c>
      <c r="N40" s="43" t="n">
        <f aca="false">IF($D40*SUM(Inputs!$C$13:$L$13)=0,0,M40/($D40*SUM(Inputs!$C$13:$L$13)))</f>
        <v>2.28028106646126</v>
      </c>
      <c r="O40" s="42" t="n">
        <f aca="false">$D40*$E40*COLUMNS(Inputs!$C$13:$L$13)</f>
        <v>3000</v>
      </c>
      <c r="P40" s="45" t="n">
        <f aca="false">SUM(BG40,BW40,CM40,DC40,DS40,EI40,EY40,FO40,GE40,GU40)</f>
        <v>6401.40533230632</v>
      </c>
      <c r="Q40" s="42" t="n">
        <f aca="false">PV($J40,COLUMNS(Inputs!$C$13:$L$13),-$D40*$E40,0,1)</f>
        <v>1731.47517591971</v>
      </c>
      <c r="R40" s="45" t="n">
        <f aca="false">NPV($J40,BG40,BW40,CM40,DC40,DS40,EI40,EY40,FO40,GE40,GU40)</f>
        <v>1675.21356267426</v>
      </c>
      <c r="S40" s="45" t="n">
        <f aca="false">Q40+R40</f>
        <v>3406.68873859397</v>
      </c>
      <c r="T40" s="32" t="n">
        <f aca="false">IF(S40=0,0,Q40/S40)</f>
        <v>0.508257521828758</v>
      </c>
      <c r="U40" s="45" t="n">
        <f aca="false">ROUND(ABS(GK40)+ABS(SUM(AV40,BL40,CB40,CR40,DH40,DX40,EN40,FD40,FT40,GJ40)-M40-P40)+ABS(S40-(AH40+NPV($J40,AI40:AR40))),6)</f>
        <v>0</v>
      </c>
      <c r="W40" s="133" t="n">
        <f aca="false">-$D40*Inputs!$C$13</f>
        <v>-4000</v>
      </c>
      <c r="X40" s="133" t="n">
        <f aca="false">BF40-$D40*Inputs!$D$13</f>
        <v>-4000</v>
      </c>
      <c r="Y40" s="133" t="n">
        <f aca="false">BV40-$D40*Inputs!$E$13</f>
        <v>-4000</v>
      </c>
      <c r="Z40" s="133" t="n">
        <f aca="false">CL40-$D40*Inputs!$F$13</f>
        <v>-4000</v>
      </c>
      <c r="AA40" s="133" t="n">
        <f aca="false">DB40-$D40*Inputs!$G$13</f>
        <v>-4000</v>
      </c>
      <c r="AB40" s="133" t="n">
        <f aca="false">DR40-$D40*Inputs!$H$13</f>
        <v>6425.384383726</v>
      </c>
      <c r="AC40" s="133" t="n">
        <f aca="false">EH40-$D40*Inputs!$I$13</f>
        <v>6045.56593330715</v>
      </c>
      <c r="AD40" s="133" t="n">
        <f aca="false">EX40-$D40*Inputs!$J$13</f>
        <v>5683.97876850841</v>
      </c>
      <c r="AE40" s="133" t="n">
        <f aca="false">FN40-$D40*Inputs!$K$13</f>
        <v>4640.81241298769</v>
      </c>
      <c r="AF40" s="133" t="n">
        <f aca="false">GD40-$D40*Inputs!$L$13</f>
        <v>4009.63191505139</v>
      </c>
      <c r="AG40" s="84" t="n">
        <f aca="false">GT40</f>
        <v>18800.2479156446</v>
      </c>
      <c r="AH40" s="84" t="n">
        <f aca="false">$D40*$E40</f>
        <v>300</v>
      </c>
      <c r="AI40" s="84" t="n">
        <f aca="false">BG40+$D40*$E40</f>
        <v>300</v>
      </c>
      <c r="AJ40" s="84" t="n">
        <f aca="false">BW40+$D40*$E40</f>
        <v>300</v>
      </c>
      <c r="AK40" s="84" t="n">
        <f aca="false">CM40+$D40*$E40</f>
        <v>300</v>
      </c>
      <c r="AL40" s="84" t="n">
        <f aca="false">DC40+$D40*$E40</f>
        <v>300</v>
      </c>
      <c r="AM40" s="84" t="n">
        <f aca="false">DS40+$D40*$E40</f>
        <v>300</v>
      </c>
      <c r="AN40" s="84" t="n">
        <f aca="false">EI40+$D40*$E40</f>
        <v>300</v>
      </c>
      <c r="AO40" s="84" t="n">
        <f aca="false">EY40+$D40*$E40</f>
        <v>300</v>
      </c>
      <c r="AP40" s="84" t="n">
        <f aca="false">FO40+$D40*$E40</f>
        <v>998.935374632312</v>
      </c>
      <c r="AQ40" s="84" t="n">
        <f aca="false">GE40+$D40*$E40</f>
        <v>1302.40797876285</v>
      </c>
      <c r="AR40" s="84" t="n">
        <f aca="false">GU40</f>
        <v>4700.06197891116</v>
      </c>
      <c r="AT40" s="133" t="n">
        <f aca="false">$D40*Inputs!$C$13-$D40*$E40</f>
        <v>3700</v>
      </c>
      <c r="AU40" s="84" t="n">
        <f aca="false">AT40*(1+$I40)</f>
        <v>4403</v>
      </c>
      <c r="AV40" s="133" t="n">
        <f aca="false">AU40*Inputs!$C$14</f>
        <v>0</v>
      </c>
      <c r="AW40" s="84" t="n">
        <f aca="false">AU40-AV40</f>
        <v>4403</v>
      </c>
      <c r="AX40" s="133" t="n">
        <f aca="false">$D40*Inputs!$C$13</f>
        <v>4000</v>
      </c>
      <c r="AY40" s="84" t="n">
        <f aca="false">MIN(AV40,AX40)</f>
        <v>0</v>
      </c>
      <c r="AZ40" s="84" t="n">
        <f aca="false">AX40-AY40</f>
        <v>4000</v>
      </c>
      <c r="BA40" s="84" t="n">
        <f aca="false">$G40*AX40</f>
        <v>0</v>
      </c>
      <c r="BB40" s="84" t="n">
        <f aca="false">MIN(AV40-AY40,BA40)</f>
        <v>0</v>
      </c>
      <c r="BC40" s="84" t="n">
        <f aca="false">BA40-BB40</f>
        <v>0</v>
      </c>
      <c r="BD40" s="84" t="n">
        <f aca="false">IF($H40=1,MIN(AV40-AY40-BB40,MAX(0,$F40/(1-$F40)*BB40)),0)</f>
        <v>0</v>
      </c>
      <c r="BE40" s="84" t="n">
        <f aca="false">AV40-AY40-BB40-BD40</f>
        <v>0</v>
      </c>
      <c r="BF40" s="84" t="n">
        <f aca="false">AY40+BB40+(1-$F40)*BE40</f>
        <v>0</v>
      </c>
      <c r="BG40" s="84" t="n">
        <f aca="false">BD40+$F40*BE40</f>
        <v>0</v>
      </c>
      <c r="BH40" s="84" t="n">
        <f aca="false">BB40+(1-$F40)*BE40</f>
        <v>0</v>
      </c>
      <c r="BI40" s="84" t="n">
        <f aca="false">BG40</f>
        <v>0</v>
      </c>
      <c r="BJ40" s="133" t="n">
        <f aca="false">AW40+$D40*Inputs!$D$13-$D40*$E40</f>
        <v>8103</v>
      </c>
      <c r="BK40" s="84" t="n">
        <f aca="false">BJ40*(1+$I40)</f>
        <v>9642.57</v>
      </c>
      <c r="BL40" s="133" t="n">
        <f aca="false">BK40*Inputs!$D$14</f>
        <v>0</v>
      </c>
      <c r="BM40" s="84" t="n">
        <f aca="false">BK40-BL40</f>
        <v>9642.57</v>
      </c>
      <c r="BN40" s="133" t="n">
        <f aca="false">AZ40+$D40*Inputs!$D$13</f>
        <v>8000</v>
      </c>
      <c r="BO40" s="84" t="n">
        <f aca="false">MIN(BL40,BN40)</f>
        <v>0</v>
      </c>
      <c r="BP40" s="84" t="n">
        <f aca="false">BN40-BO40</f>
        <v>8000</v>
      </c>
      <c r="BQ40" s="84" t="n">
        <f aca="false">BC40+$G40*(BN40+BC40)</f>
        <v>0</v>
      </c>
      <c r="BR40" s="84" t="n">
        <f aca="false">MIN(BL40-BO40,BQ40)</f>
        <v>0</v>
      </c>
      <c r="BS40" s="84" t="n">
        <f aca="false">BQ40-BR40</f>
        <v>0</v>
      </c>
      <c r="BT40" s="84" t="n">
        <f aca="false">IF($H40=1,MIN(BL40-BO40-BR40,MAX(0,$F40/(1-$F40)*(BH40+BR40)-BI40)),0)</f>
        <v>0</v>
      </c>
      <c r="BU40" s="84" t="n">
        <f aca="false">BL40-BO40-BR40-BT40</f>
        <v>0</v>
      </c>
      <c r="BV40" s="84" t="n">
        <f aca="false">BO40+BR40+(1-$F40)*BU40</f>
        <v>0</v>
      </c>
      <c r="BW40" s="84" t="n">
        <f aca="false">BT40+$F40*BU40</f>
        <v>0</v>
      </c>
      <c r="BX40" s="84" t="n">
        <f aca="false">BH40+BR40+(1-$F40)*BU40</f>
        <v>0</v>
      </c>
      <c r="BY40" s="84" t="n">
        <f aca="false">BI40+BW40</f>
        <v>0</v>
      </c>
      <c r="BZ40" s="133" t="n">
        <f aca="false">BM40+$D40*Inputs!$E$13-$D40*$E40</f>
        <v>13342.57</v>
      </c>
      <c r="CA40" s="84" t="n">
        <f aca="false">BZ40*(1+$I40)</f>
        <v>15877.6583</v>
      </c>
      <c r="CB40" s="133" t="n">
        <f aca="false">CA40*Inputs!$E$14</f>
        <v>0</v>
      </c>
      <c r="CC40" s="84" t="n">
        <f aca="false">CA40-CB40</f>
        <v>15877.6583</v>
      </c>
      <c r="CD40" s="133" t="n">
        <f aca="false">BP40+$D40*Inputs!$E$13</f>
        <v>12000</v>
      </c>
      <c r="CE40" s="84" t="n">
        <f aca="false">MIN(CB40,CD40)</f>
        <v>0</v>
      </c>
      <c r="CF40" s="84" t="n">
        <f aca="false">CD40-CE40</f>
        <v>12000</v>
      </c>
      <c r="CG40" s="84" t="n">
        <f aca="false">BS40+$G40*(CD40+BS40)</f>
        <v>0</v>
      </c>
      <c r="CH40" s="84" t="n">
        <f aca="false">MIN(CB40-CE40,CG40)</f>
        <v>0</v>
      </c>
      <c r="CI40" s="84" t="n">
        <f aca="false">CG40-CH40</f>
        <v>0</v>
      </c>
      <c r="CJ40" s="84" t="n">
        <f aca="false">IF($H40=1,MIN(CB40-CE40-CH40,MAX(0,$F40/(1-$F40)*(BX40+CH40)-BY40)),0)</f>
        <v>0</v>
      </c>
      <c r="CK40" s="84" t="n">
        <f aca="false">CB40-CE40-CH40-CJ40</f>
        <v>0</v>
      </c>
      <c r="CL40" s="84" t="n">
        <f aca="false">CE40+CH40+(1-$F40)*CK40</f>
        <v>0</v>
      </c>
      <c r="CM40" s="84" t="n">
        <f aca="false">CJ40+$F40*CK40</f>
        <v>0</v>
      </c>
      <c r="CN40" s="84" t="n">
        <f aca="false">BX40+CH40+(1-$F40)*CK40</f>
        <v>0</v>
      </c>
      <c r="CO40" s="84" t="n">
        <f aca="false">BY40+CM40</f>
        <v>0</v>
      </c>
      <c r="CP40" s="133" t="n">
        <f aca="false">CC40+$D40*Inputs!$F$13-$D40*$E40</f>
        <v>19577.6583</v>
      </c>
      <c r="CQ40" s="84" t="n">
        <f aca="false">CP40*(1+$I40)</f>
        <v>23297.413377</v>
      </c>
      <c r="CR40" s="133" t="n">
        <f aca="false">CQ40*Inputs!$F$14</f>
        <v>0</v>
      </c>
      <c r="CS40" s="84" t="n">
        <f aca="false">CQ40-CR40</f>
        <v>23297.413377</v>
      </c>
      <c r="CT40" s="133" t="n">
        <f aca="false">CF40+$D40*Inputs!$F$13</f>
        <v>16000</v>
      </c>
      <c r="CU40" s="84" t="n">
        <f aca="false">MIN(CR40,CT40)</f>
        <v>0</v>
      </c>
      <c r="CV40" s="84" t="n">
        <f aca="false">CT40-CU40</f>
        <v>16000</v>
      </c>
      <c r="CW40" s="84" t="n">
        <f aca="false">CI40+$G40*(CT40+CI40)</f>
        <v>0</v>
      </c>
      <c r="CX40" s="84" t="n">
        <f aca="false">MIN(CR40-CU40,CW40)</f>
        <v>0</v>
      </c>
      <c r="CY40" s="84" t="n">
        <f aca="false">CW40-CX40</f>
        <v>0</v>
      </c>
      <c r="CZ40" s="84" t="n">
        <f aca="false">IF($H40=1,MIN(CR40-CU40-CX40,MAX(0,$F40/(1-$F40)*(CN40+CX40)-CO40)),0)</f>
        <v>0</v>
      </c>
      <c r="DA40" s="84" t="n">
        <f aca="false">CR40-CU40-CX40-CZ40</f>
        <v>0</v>
      </c>
      <c r="DB40" s="84" t="n">
        <f aca="false">CU40+CX40+(1-$F40)*DA40</f>
        <v>0</v>
      </c>
      <c r="DC40" s="84" t="n">
        <f aca="false">CZ40+$F40*DA40</f>
        <v>0</v>
      </c>
      <c r="DD40" s="84" t="n">
        <f aca="false">CN40+CX40+(1-$F40)*DA40</f>
        <v>0</v>
      </c>
      <c r="DE40" s="84" t="n">
        <f aca="false">CO40+DC40</f>
        <v>0</v>
      </c>
      <c r="DF40" s="133" t="n">
        <f aca="false">CS40+$D40*Inputs!$G$13-$D40*$E40</f>
        <v>26997.413377</v>
      </c>
      <c r="DG40" s="84" t="n">
        <f aca="false">DF40*(1+$I40)</f>
        <v>32126.92191863</v>
      </c>
      <c r="DH40" s="133" t="n">
        <f aca="false">DG40*Inputs!$G$14</f>
        <v>6425.384383726</v>
      </c>
      <c r="DI40" s="84" t="n">
        <f aca="false">DG40-DH40</f>
        <v>25701.537534904</v>
      </c>
      <c r="DJ40" s="133" t="n">
        <f aca="false">CV40+$D40*Inputs!$G$13</f>
        <v>20000</v>
      </c>
      <c r="DK40" s="84" t="n">
        <f aca="false">MIN(DH40,DJ40)</f>
        <v>6425.384383726</v>
      </c>
      <c r="DL40" s="84" t="n">
        <f aca="false">DJ40-DK40</f>
        <v>13574.615616274</v>
      </c>
      <c r="DM40" s="84" t="n">
        <f aca="false">CY40+$G40*(DJ40+CY40)</f>
        <v>0</v>
      </c>
      <c r="DN40" s="84" t="n">
        <f aca="false">MIN(DH40-DK40,DM40)</f>
        <v>0</v>
      </c>
      <c r="DO40" s="84" t="n">
        <f aca="false">DM40-DN40</f>
        <v>0</v>
      </c>
      <c r="DP40" s="84" t="n">
        <f aca="false">IF($H40=1,MIN(DH40-DK40-DN40,MAX(0,$F40/(1-$F40)*(DD40+DN40)-DE40)),0)</f>
        <v>0</v>
      </c>
      <c r="DQ40" s="84" t="n">
        <f aca="false">DH40-DK40-DN40-DP40</f>
        <v>0</v>
      </c>
      <c r="DR40" s="84" t="n">
        <f aca="false">DK40+DN40+(1-$F40)*DQ40</f>
        <v>6425.384383726</v>
      </c>
      <c r="DS40" s="84" t="n">
        <f aca="false">DP40+$F40*DQ40</f>
        <v>0</v>
      </c>
      <c r="DT40" s="84" t="n">
        <f aca="false">DD40+DN40+(1-$F40)*DQ40</f>
        <v>0</v>
      </c>
      <c r="DU40" s="84" t="n">
        <f aca="false">DE40+DS40</f>
        <v>0</v>
      </c>
      <c r="DV40" s="133" t="n">
        <f aca="false">DI40+$D40*Inputs!$H$13-$D40*$E40</f>
        <v>25401.537534904</v>
      </c>
      <c r="DW40" s="84" t="n">
        <f aca="false">DV40*(1+$I40)</f>
        <v>30227.8296665358</v>
      </c>
      <c r="DX40" s="133" t="n">
        <f aca="false">DW40*Inputs!$H$14</f>
        <v>6045.56593330715</v>
      </c>
      <c r="DY40" s="84" t="n">
        <f aca="false">DW40-DX40</f>
        <v>24182.2637332286</v>
      </c>
      <c r="DZ40" s="133" t="n">
        <f aca="false">DL40+$D40*Inputs!$H$13</f>
        <v>13574.615616274</v>
      </c>
      <c r="EA40" s="84" t="n">
        <f aca="false">MIN(DX40,DZ40)</f>
        <v>6045.56593330715</v>
      </c>
      <c r="EB40" s="84" t="n">
        <f aca="false">DZ40-EA40</f>
        <v>7529.04968296685</v>
      </c>
      <c r="EC40" s="84" t="n">
        <f aca="false">DO40+$G40*(DZ40+DO40)</f>
        <v>0</v>
      </c>
      <c r="ED40" s="84" t="n">
        <f aca="false">MIN(DX40-EA40,EC40)</f>
        <v>0</v>
      </c>
      <c r="EE40" s="84" t="n">
        <f aca="false">EC40-ED40</f>
        <v>0</v>
      </c>
      <c r="EF40" s="84" t="n">
        <f aca="false">IF($H40=1,MIN(DX40-EA40-ED40,MAX(0,$F40/(1-$F40)*(DT40+ED40)-DU40)),0)</f>
        <v>0</v>
      </c>
      <c r="EG40" s="84" t="n">
        <f aca="false">DX40-EA40-ED40-EF40</f>
        <v>0</v>
      </c>
      <c r="EH40" s="84" t="n">
        <f aca="false">EA40+ED40+(1-$F40)*EG40</f>
        <v>6045.56593330715</v>
      </c>
      <c r="EI40" s="84" t="n">
        <f aca="false">EF40+$F40*EG40</f>
        <v>0</v>
      </c>
      <c r="EJ40" s="84" t="n">
        <f aca="false">DT40+ED40+(1-$F40)*EG40</f>
        <v>0</v>
      </c>
      <c r="EK40" s="84" t="n">
        <f aca="false">DU40+EI40</f>
        <v>0</v>
      </c>
      <c r="EL40" s="133" t="n">
        <f aca="false">DY40+$D40*Inputs!$I$13-$D40*$E40</f>
        <v>23882.2637332286</v>
      </c>
      <c r="EM40" s="84" t="n">
        <f aca="false">EL40*(1+$I40)</f>
        <v>28419.893842542</v>
      </c>
      <c r="EN40" s="133" t="n">
        <f aca="false">EM40*Inputs!$I$14</f>
        <v>5683.97876850841</v>
      </c>
      <c r="EO40" s="84" t="n">
        <f aca="false">EM40-EN40</f>
        <v>22735.9150740336</v>
      </c>
      <c r="EP40" s="133" t="n">
        <f aca="false">EB40+$D40*Inputs!$I$13</f>
        <v>7529.04968296685</v>
      </c>
      <c r="EQ40" s="84" t="n">
        <f aca="false">MIN(EN40,EP40)</f>
        <v>5683.97876850841</v>
      </c>
      <c r="ER40" s="84" t="n">
        <f aca="false">EP40-EQ40</f>
        <v>1845.07091445844</v>
      </c>
      <c r="ES40" s="84" t="n">
        <f aca="false">EE40+$G40*(EP40+EE40)</f>
        <v>0</v>
      </c>
      <c r="ET40" s="84" t="n">
        <f aca="false">MIN(EN40-EQ40,ES40)</f>
        <v>0</v>
      </c>
      <c r="EU40" s="84" t="n">
        <f aca="false">ES40-ET40</f>
        <v>0</v>
      </c>
      <c r="EV40" s="84" t="n">
        <f aca="false">IF($H40=1,MIN(EN40-EQ40-ET40,MAX(0,$F40/(1-$F40)*(EJ40+ET40)-EK40)),0)</f>
        <v>0</v>
      </c>
      <c r="EW40" s="84" t="n">
        <f aca="false">EN40-EQ40-ET40-EV40</f>
        <v>0</v>
      </c>
      <c r="EX40" s="84" t="n">
        <f aca="false">EQ40+ET40+(1-$F40)*EW40</f>
        <v>5683.97876850841</v>
      </c>
      <c r="EY40" s="84" t="n">
        <f aca="false">EV40+$F40*EW40</f>
        <v>0</v>
      </c>
      <c r="EZ40" s="84" t="n">
        <f aca="false">EJ40+ET40+(1-$F40)*EW40</f>
        <v>0</v>
      </c>
      <c r="FA40" s="84" t="n">
        <f aca="false">EK40+EY40</f>
        <v>0</v>
      </c>
      <c r="FB40" s="133" t="n">
        <f aca="false">EO40+$D40*Inputs!$J$13-$D40*$E40</f>
        <v>22435.9150740336</v>
      </c>
      <c r="FC40" s="84" t="n">
        <f aca="false">FB40*(1+$I40)</f>
        <v>26698.7389381</v>
      </c>
      <c r="FD40" s="133" t="n">
        <f aca="false">FC40*Inputs!$J$14</f>
        <v>5339.74778762</v>
      </c>
      <c r="FE40" s="84" t="n">
        <f aca="false">FC40-FD40</f>
        <v>21358.99115048</v>
      </c>
      <c r="FF40" s="133" t="n">
        <f aca="false">ER40+$D40*Inputs!$J$13</f>
        <v>1845.07091445844</v>
      </c>
      <c r="FG40" s="84" t="n">
        <f aca="false">MIN(FD40,FF40)</f>
        <v>1845.07091445844</v>
      </c>
      <c r="FH40" s="84" t="n">
        <f aca="false">FF40-FG40</f>
        <v>0</v>
      </c>
      <c r="FI40" s="84" t="n">
        <f aca="false">EU40+$G40*(FF40+EU40)</f>
        <v>0</v>
      </c>
      <c r="FJ40" s="84" t="n">
        <f aca="false">MIN(FD40-FG40,FI40)</f>
        <v>0</v>
      </c>
      <c r="FK40" s="84" t="n">
        <f aca="false">FI40-FJ40</f>
        <v>0</v>
      </c>
      <c r="FL40" s="84" t="n">
        <f aca="false">IF($H40=1,MIN(FD40-FG40-FJ40,MAX(0,$F40/(1-$F40)*(EZ40+FJ40)-FA40)),0)</f>
        <v>0</v>
      </c>
      <c r="FM40" s="84" t="n">
        <f aca="false">FD40-FG40-FJ40-FL40</f>
        <v>3494.67687316156</v>
      </c>
      <c r="FN40" s="84" t="n">
        <f aca="false">FG40+FJ40+(1-$F40)*FM40</f>
        <v>4640.81241298769</v>
      </c>
      <c r="FO40" s="84" t="n">
        <f aca="false">FL40+$F40*FM40</f>
        <v>698.935374632312</v>
      </c>
      <c r="FP40" s="84" t="n">
        <f aca="false">EZ40+FJ40+(1-$F40)*FM40</f>
        <v>2795.74149852925</v>
      </c>
      <c r="FQ40" s="84" t="n">
        <f aca="false">FA40+FO40</f>
        <v>698.935374632312</v>
      </c>
      <c r="FR40" s="133" t="n">
        <f aca="false">FE40+$D40*Inputs!$K$13-$D40*$E40</f>
        <v>21058.99115048</v>
      </c>
      <c r="FS40" s="84" t="n">
        <f aca="false">FR40*(1+$I40)</f>
        <v>25060.1994690712</v>
      </c>
      <c r="FT40" s="133" t="n">
        <f aca="false">FS40*Inputs!$K$14</f>
        <v>5012.03989381424</v>
      </c>
      <c r="FU40" s="84" t="n">
        <f aca="false">FS40-FT40</f>
        <v>20048.159575257</v>
      </c>
      <c r="FV40" s="133" t="n">
        <f aca="false">FH40+$D40*Inputs!$K$13</f>
        <v>0</v>
      </c>
      <c r="FW40" s="84" t="n">
        <f aca="false">MIN(FT40,FV40)</f>
        <v>0</v>
      </c>
      <c r="FX40" s="84" t="n">
        <f aca="false">FV40-FW40</f>
        <v>0</v>
      </c>
      <c r="FY40" s="84" t="n">
        <f aca="false">FK40+$G40*(FV40+FK40)</f>
        <v>0</v>
      </c>
      <c r="FZ40" s="84" t="n">
        <f aca="false">MIN(FT40-FW40,FY40)</f>
        <v>0</v>
      </c>
      <c r="GA40" s="84" t="n">
        <f aca="false">FY40-FZ40</f>
        <v>0</v>
      </c>
      <c r="GB40" s="84" t="n">
        <f aca="false">IF($H40=1,MIN(FT40-FW40-FZ40,MAX(0,$F40/(1-$F40)*(FP40+FZ40)-FQ40)),0)</f>
        <v>0</v>
      </c>
      <c r="GC40" s="84" t="n">
        <f aca="false">FT40-FW40-FZ40-GB40</f>
        <v>5012.03989381424</v>
      </c>
      <c r="GD40" s="84" t="n">
        <f aca="false">FW40+FZ40+(1-$F40)*GC40</f>
        <v>4009.63191505139</v>
      </c>
      <c r="GE40" s="84" t="n">
        <f aca="false">GB40+$F40*GC40</f>
        <v>1002.40797876285</v>
      </c>
      <c r="GF40" s="84" t="n">
        <f aca="false">FP40+FZ40+(1-$F40)*GC40</f>
        <v>6805.37341358064</v>
      </c>
      <c r="GG40" s="84" t="n">
        <f aca="false">FQ40+GE40</f>
        <v>1701.34335339516</v>
      </c>
      <c r="GH40" s="133" t="n">
        <f aca="false">FU40+$D40*Inputs!$L$13-$D40*$E40</f>
        <v>19748.159575257</v>
      </c>
      <c r="GI40" s="84" t="n">
        <f aca="false">GH40*(1+$I40)</f>
        <v>23500.3098945558</v>
      </c>
      <c r="GJ40" s="133" t="n">
        <f aca="false">GI40*Inputs!$L$14</f>
        <v>23500.3098945558</v>
      </c>
      <c r="GK40" s="84" t="n">
        <f aca="false">GI40-GJ40</f>
        <v>0</v>
      </c>
      <c r="GL40" s="133" t="n">
        <f aca="false">FX40+$D40*Inputs!$L$13</f>
        <v>0</v>
      </c>
      <c r="GM40" s="84" t="n">
        <f aca="false">MIN(GJ40,GL40)</f>
        <v>0</v>
      </c>
      <c r="GN40" s="84" t="n">
        <f aca="false">GL40-GM40</f>
        <v>0</v>
      </c>
      <c r="GO40" s="84" t="n">
        <f aca="false">GA40+$G40*(GL40+GA40)</f>
        <v>0</v>
      </c>
      <c r="GP40" s="84" t="n">
        <f aca="false">MIN(GJ40-GM40,GO40)</f>
        <v>0</v>
      </c>
      <c r="GQ40" s="84" t="n">
        <f aca="false">GO40-GP40</f>
        <v>0</v>
      </c>
      <c r="GR40" s="84" t="n">
        <f aca="false">IF($H40=1,MIN(GJ40-GM40-GP40,MAX(0,$F40/(1-$F40)*(GF40+GP40)-GG40)),0)</f>
        <v>0</v>
      </c>
      <c r="GS40" s="84" t="n">
        <f aca="false">GJ40-GM40-GP40-GR40</f>
        <v>23500.3098945558</v>
      </c>
      <c r="GT40" s="84" t="n">
        <f aca="false">GM40+GP40+(1-$F40)*GS40</f>
        <v>18800.2479156446</v>
      </c>
      <c r="GU40" s="84" t="n">
        <f aca="false">GR40+$F40*GS40</f>
        <v>4700.06197891116</v>
      </c>
      <c r="GV40" s="84" t="n">
        <f aca="false">GF40+GP40+(1-$F40)*GS40</f>
        <v>25605.6213292253</v>
      </c>
      <c r="GW40" s="84" t="n">
        <f aca="false">GG40+GU40</f>
        <v>6401.40533230632</v>
      </c>
    </row>
    <row r="41" customFormat="false" ht="15" hidden="false" customHeight="false" outlineLevel="0" collapsed="false">
      <c r="A41" s="5" t="s">
        <v>635</v>
      </c>
      <c r="B41" s="5" t="s">
        <v>636</v>
      </c>
      <c r="C41" s="135" t="n">
        <v>20</v>
      </c>
      <c r="D41" s="47" t="n">
        <f aca="false">Inputs!$C$6</f>
        <v>20000</v>
      </c>
      <c r="E41" s="35" t="n">
        <f aca="false">Inputs!$C$18</f>
        <v>0.015</v>
      </c>
      <c r="F41" s="36" t="n">
        <f aca="false">Inputs!$C$20</f>
        <v>0.2</v>
      </c>
      <c r="G41" s="30" t="n">
        <v>0</v>
      </c>
      <c r="H41" s="27" t="n">
        <v>0</v>
      </c>
      <c r="I41" s="132" t="n">
        <f aca="false">Inputs!$C$38+$C41*Inputs!$C$39</f>
        <v>0.2</v>
      </c>
      <c r="J41" s="36" t="n">
        <f aca="false">Inputs!$C$9</f>
        <v>0.15</v>
      </c>
      <c r="K41" s="89" t="n">
        <f aca="false">IRR(W41:AG41,0.1)</f>
        <v>0.15722559423369</v>
      </c>
      <c r="L41" s="45" t="n">
        <f aca="false">W41+NPV($J41,X41:AG41)</f>
        <v>578.217140375093</v>
      </c>
      <c r="M41" s="45" t="n">
        <f aca="false">SUM(BF41,BV41,CL41,DB41,DR41,EH41,EX41,FN41,GD41,GT41)</f>
        <v>48070.520865654</v>
      </c>
      <c r="N41" s="43" t="n">
        <f aca="false">IF($D41*SUM(Inputs!$C$13:$L$13)=0,0,M41/($D41*SUM(Inputs!$C$13:$L$13)))</f>
        <v>2.4035260432827</v>
      </c>
      <c r="O41" s="42" t="n">
        <f aca="false">$D41*$E41*COLUMNS(Inputs!$C$13:$L$13)</f>
        <v>3000</v>
      </c>
      <c r="P41" s="45" t="n">
        <f aca="false">SUM(BG41,BW41,CM41,DC41,DS41,EI41,EY41,FO41,GE41,GU41)</f>
        <v>7017.63021641351</v>
      </c>
      <c r="Q41" s="42" t="n">
        <f aca="false">PV($J41,COLUMNS(Inputs!$C$13:$L$13),-$D41*$E41,0,1)</f>
        <v>1731.47517591971</v>
      </c>
      <c r="R41" s="45" t="n">
        <f aca="false">NPV($J41,BG41,BW41,CM41,DC41,DS41,EI41,EY41,FO41,GE41,GU41)</f>
        <v>1845.49373575418</v>
      </c>
      <c r="S41" s="45" t="n">
        <f aca="false">Q41+R41</f>
        <v>3576.96891167389</v>
      </c>
      <c r="T41" s="32" t="n">
        <f aca="false">IF(S41=0,0,Q41/S41)</f>
        <v>0.484062125971747</v>
      </c>
      <c r="U41" s="45" t="n">
        <f aca="false">ROUND(ABS(GK41)+ABS(SUM(AV41,BL41,CB41,CR41,DH41,DX41,EN41,FD41,FT41,GJ41)-M41-P41)+ABS(S41-(AH41+NPV($J41,AI41:AR41))),6)</f>
        <v>0</v>
      </c>
      <c r="W41" s="133" t="n">
        <f aca="false">-$D41*Inputs!$C$13</f>
        <v>-4000</v>
      </c>
      <c r="X41" s="133" t="n">
        <f aca="false">BF41-$D41*Inputs!$D$13</f>
        <v>-4000</v>
      </c>
      <c r="Y41" s="133" t="n">
        <f aca="false">BV41-$D41*Inputs!$E$13</f>
        <v>-4000</v>
      </c>
      <c r="Z41" s="133" t="n">
        <f aca="false">CL41-$D41*Inputs!$F$13</f>
        <v>-4000</v>
      </c>
      <c r="AA41" s="133" t="n">
        <f aca="false">DB41-$D41*Inputs!$G$13</f>
        <v>-4000</v>
      </c>
      <c r="AB41" s="133" t="n">
        <f aca="false">DR41-$D41*Inputs!$H$13</f>
        <v>6608.1408</v>
      </c>
      <c r="AC41" s="133" t="n">
        <f aca="false">EH41-$D41*Inputs!$I$13</f>
        <v>6271.815168</v>
      </c>
      <c r="AD41" s="133" t="n">
        <f aca="false">EX41-$D41*Inputs!$J$13</f>
        <v>5948.94256128</v>
      </c>
      <c r="AE41" s="133" t="n">
        <f aca="false">FN41-$D41*Inputs!$K$13</f>
        <v>4745.40818120704</v>
      </c>
      <c r="AF41" s="133" t="n">
        <f aca="false">GD41-$D41*Inputs!$L$13</f>
        <v>4273.14037158052</v>
      </c>
      <c r="AG41" s="84" t="n">
        <f aca="false">GT41</f>
        <v>20223.0737835865</v>
      </c>
      <c r="AH41" s="84" t="n">
        <f aca="false">$D41*$E41</f>
        <v>300</v>
      </c>
      <c r="AI41" s="84" t="n">
        <f aca="false">BG41+$D41*$E41</f>
        <v>300</v>
      </c>
      <c r="AJ41" s="84" t="n">
        <f aca="false">BW41+$D41*$E41</f>
        <v>300</v>
      </c>
      <c r="AK41" s="84" t="n">
        <f aca="false">CM41+$D41*$E41</f>
        <v>300</v>
      </c>
      <c r="AL41" s="84" t="n">
        <f aca="false">DC41+$D41*$E41</f>
        <v>300</v>
      </c>
      <c r="AM41" s="84" t="n">
        <f aca="false">DS41+$D41*$E41</f>
        <v>300</v>
      </c>
      <c r="AN41" s="84" t="n">
        <f aca="false">EI41+$D41*$E41</f>
        <v>300</v>
      </c>
      <c r="AO41" s="84" t="n">
        <f aca="false">EY41+$D41*$E41</f>
        <v>300</v>
      </c>
      <c r="AP41" s="84" t="n">
        <f aca="false">FO41+$D41*$E41</f>
        <v>1193.57667762176</v>
      </c>
      <c r="AQ41" s="84" t="n">
        <f aca="false">GE41+$D41*$E41</f>
        <v>1368.28509289513</v>
      </c>
      <c r="AR41" s="84" t="n">
        <f aca="false">GU41</f>
        <v>5055.76844589662</v>
      </c>
      <c r="AT41" s="133" t="n">
        <f aca="false">$D41*Inputs!$C$13-$D41*$E41</f>
        <v>3700</v>
      </c>
      <c r="AU41" s="84" t="n">
        <f aca="false">AT41*(1+$I41)</f>
        <v>4440</v>
      </c>
      <c r="AV41" s="133" t="n">
        <f aca="false">AU41*Inputs!$C$14</f>
        <v>0</v>
      </c>
      <c r="AW41" s="84" t="n">
        <f aca="false">AU41-AV41</f>
        <v>4440</v>
      </c>
      <c r="AX41" s="133" t="n">
        <f aca="false">$D41*Inputs!$C$13</f>
        <v>4000</v>
      </c>
      <c r="AY41" s="84" t="n">
        <f aca="false">MIN(AV41,AX41)</f>
        <v>0</v>
      </c>
      <c r="AZ41" s="84" t="n">
        <f aca="false">AX41-AY41</f>
        <v>4000</v>
      </c>
      <c r="BA41" s="84" t="n">
        <f aca="false">$G41*AX41</f>
        <v>0</v>
      </c>
      <c r="BB41" s="84" t="n">
        <f aca="false">MIN(AV41-AY41,BA41)</f>
        <v>0</v>
      </c>
      <c r="BC41" s="84" t="n">
        <f aca="false">BA41-BB41</f>
        <v>0</v>
      </c>
      <c r="BD41" s="84" t="n">
        <f aca="false">IF($H41=1,MIN(AV41-AY41-BB41,MAX(0,$F41/(1-$F41)*BB41)),0)</f>
        <v>0</v>
      </c>
      <c r="BE41" s="84" t="n">
        <f aca="false">AV41-AY41-BB41-BD41</f>
        <v>0</v>
      </c>
      <c r="BF41" s="84" t="n">
        <f aca="false">AY41+BB41+(1-$F41)*BE41</f>
        <v>0</v>
      </c>
      <c r="BG41" s="84" t="n">
        <f aca="false">BD41+$F41*BE41</f>
        <v>0</v>
      </c>
      <c r="BH41" s="84" t="n">
        <f aca="false">BB41+(1-$F41)*BE41</f>
        <v>0</v>
      </c>
      <c r="BI41" s="84" t="n">
        <f aca="false">BG41</f>
        <v>0</v>
      </c>
      <c r="BJ41" s="133" t="n">
        <f aca="false">AW41+$D41*Inputs!$D$13-$D41*$E41</f>
        <v>8140</v>
      </c>
      <c r="BK41" s="84" t="n">
        <f aca="false">BJ41*(1+$I41)</f>
        <v>9768</v>
      </c>
      <c r="BL41" s="133" t="n">
        <f aca="false">BK41*Inputs!$D$14</f>
        <v>0</v>
      </c>
      <c r="BM41" s="84" t="n">
        <f aca="false">BK41-BL41</f>
        <v>9768</v>
      </c>
      <c r="BN41" s="133" t="n">
        <f aca="false">AZ41+$D41*Inputs!$D$13</f>
        <v>8000</v>
      </c>
      <c r="BO41" s="84" t="n">
        <f aca="false">MIN(BL41,BN41)</f>
        <v>0</v>
      </c>
      <c r="BP41" s="84" t="n">
        <f aca="false">BN41-BO41</f>
        <v>8000</v>
      </c>
      <c r="BQ41" s="84" t="n">
        <f aca="false">BC41+$G41*(BN41+BC41)</f>
        <v>0</v>
      </c>
      <c r="BR41" s="84" t="n">
        <f aca="false">MIN(BL41-BO41,BQ41)</f>
        <v>0</v>
      </c>
      <c r="BS41" s="84" t="n">
        <f aca="false">BQ41-BR41</f>
        <v>0</v>
      </c>
      <c r="BT41" s="84" t="n">
        <f aca="false">IF($H41=1,MIN(BL41-BO41-BR41,MAX(0,$F41/(1-$F41)*(BH41+BR41)-BI41)),0)</f>
        <v>0</v>
      </c>
      <c r="BU41" s="84" t="n">
        <f aca="false">BL41-BO41-BR41-BT41</f>
        <v>0</v>
      </c>
      <c r="BV41" s="84" t="n">
        <f aca="false">BO41+BR41+(1-$F41)*BU41</f>
        <v>0</v>
      </c>
      <c r="BW41" s="84" t="n">
        <f aca="false">BT41+$F41*BU41</f>
        <v>0</v>
      </c>
      <c r="BX41" s="84" t="n">
        <f aca="false">BH41+BR41+(1-$F41)*BU41</f>
        <v>0</v>
      </c>
      <c r="BY41" s="84" t="n">
        <f aca="false">BI41+BW41</f>
        <v>0</v>
      </c>
      <c r="BZ41" s="133" t="n">
        <f aca="false">BM41+$D41*Inputs!$E$13-$D41*$E41</f>
        <v>13468</v>
      </c>
      <c r="CA41" s="84" t="n">
        <f aca="false">BZ41*(1+$I41)</f>
        <v>16161.6</v>
      </c>
      <c r="CB41" s="133" t="n">
        <f aca="false">CA41*Inputs!$E$14</f>
        <v>0</v>
      </c>
      <c r="CC41" s="84" t="n">
        <f aca="false">CA41-CB41</f>
        <v>16161.6</v>
      </c>
      <c r="CD41" s="133" t="n">
        <f aca="false">BP41+$D41*Inputs!$E$13</f>
        <v>12000</v>
      </c>
      <c r="CE41" s="84" t="n">
        <f aca="false">MIN(CB41,CD41)</f>
        <v>0</v>
      </c>
      <c r="CF41" s="84" t="n">
        <f aca="false">CD41-CE41</f>
        <v>12000</v>
      </c>
      <c r="CG41" s="84" t="n">
        <f aca="false">BS41+$G41*(CD41+BS41)</f>
        <v>0</v>
      </c>
      <c r="CH41" s="84" t="n">
        <f aca="false">MIN(CB41-CE41,CG41)</f>
        <v>0</v>
      </c>
      <c r="CI41" s="84" t="n">
        <f aca="false">CG41-CH41</f>
        <v>0</v>
      </c>
      <c r="CJ41" s="84" t="n">
        <f aca="false">IF($H41=1,MIN(CB41-CE41-CH41,MAX(0,$F41/(1-$F41)*(BX41+CH41)-BY41)),0)</f>
        <v>0</v>
      </c>
      <c r="CK41" s="84" t="n">
        <f aca="false">CB41-CE41-CH41-CJ41</f>
        <v>0</v>
      </c>
      <c r="CL41" s="84" t="n">
        <f aca="false">CE41+CH41+(1-$F41)*CK41</f>
        <v>0</v>
      </c>
      <c r="CM41" s="84" t="n">
        <f aca="false">CJ41+$F41*CK41</f>
        <v>0</v>
      </c>
      <c r="CN41" s="84" t="n">
        <f aca="false">BX41+CH41+(1-$F41)*CK41</f>
        <v>0</v>
      </c>
      <c r="CO41" s="84" t="n">
        <f aca="false">BY41+CM41</f>
        <v>0</v>
      </c>
      <c r="CP41" s="133" t="n">
        <f aca="false">CC41+$D41*Inputs!$F$13-$D41*$E41</f>
        <v>19861.6</v>
      </c>
      <c r="CQ41" s="84" t="n">
        <f aca="false">CP41*(1+$I41)</f>
        <v>23833.92</v>
      </c>
      <c r="CR41" s="133" t="n">
        <f aca="false">CQ41*Inputs!$F$14</f>
        <v>0</v>
      </c>
      <c r="CS41" s="84" t="n">
        <f aca="false">CQ41-CR41</f>
        <v>23833.92</v>
      </c>
      <c r="CT41" s="133" t="n">
        <f aca="false">CF41+$D41*Inputs!$F$13</f>
        <v>16000</v>
      </c>
      <c r="CU41" s="84" t="n">
        <f aca="false">MIN(CR41,CT41)</f>
        <v>0</v>
      </c>
      <c r="CV41" s="84" t="n">
        <f aca="false">CT41-CU41</f>
        <v>16000</v>
      </c>
      <c r="CW41" s="84" t="n">
        <f aca="false">CI41+$G41*(CT41+CI41)</f>
        <v>0</v>
      </c>
      <c r="CX41" s="84" t="n">
        <f aca="false">MIN(CR41-CU41,CW41)</f>
        <v>0</v>
      </c>
      <c r="CY41" s="84" t="n">
        <f aca="false">CW41-CX41</f>
        <v>0</v>
      </c>
      <c r="CZ41" s="84" t="n">
        <f aca="false">IF($H41=1,MIN(CR41-CU41-CX41,MAX(0,$F41/(1-$F41)*(CN41+CX41)-CO41)),0)</f>
        <v>0</v>
      </c>
      <c r="DA41" s="84" t="n">
        <f aca="false">CR41-CU41-CX41-CZ41</f>
        <v>0</v>
      </c>
      <c r="DB41" s="84" t="n">
        <f aca="false">CU41+CX41+(1-$F41)*DA41</f>
        <v>0</v>
      </c>
      <c r="DC41" s="84" t="n">
        <f aca="false">CZ41+$F41*DA41</f>
        <v>0</v>
      </c>
      <c r="DD41" s="84" t="n">
        <f aca="false">CN41+CX41+(1-$F41)*DA41</f>
        <v>0</v>
      </c>
      <c r="DE41" s="84" t="n">
        <f aca="false">CO41+DC41</f>
        <v>0</v>
      </c>
      <c r="DF41" s="133" t="n">
        <f aca="false">CS41+$D41*Inputs!$G$13-$D41*$E41</f>
        <v>27533.92</v>
      </c>
      <c r="DG41" s="84" t="n">
        <f aca="false">DF41*(1+$I41)</f>
        <v>33040.704</v>
      </c>
      <c r="DH41" s="133" t="n">
        <f aca="false">DG41*Inputs!$G$14</f>
        <v>6608.1408</v>
      </c>
      <c r="DI41" s="84" t="n">
        <f aca="false">DG41-DH41</f>
        <v>26432.5632</v>
      </c>
      <c r="DJ41" s="133" t="n">
        <f aca="false">CV41+$D41*Inputs!$G$13</f>
        <v>20000</v>
      </c>
      <c r="DK41" s="84" t="n">
        <f aca="false">MIN(DH41,DJ41)</f>
        <v>6608.1408</v>
      </c>
      <c r="DL41" s="84" t="n">
        <f aca="false">DJ41-DK41</f>
        <v>13391.8592</v>
      </c>
      <c r="DM41" s="84" t="n">
        <f aca="false">CY41+$G41*(DJ41+CY41)</f>
        <v>0</v>
      </c>
      <c r="DN41" s="84" t="n">
        <f aca="false">MIN(DH41-DK41,DM41)</f>
        <v>0</v>
      </c>
      <c r="DO41" s="84" t="n">
        <f aca="false">DM41-DN41</f>
        <v>0</v>
      </c>
      <c r="DP41" s="84" t="n">
        <f aca="false">IF($H41=1,MIN(DH41-DK41-DN41,MAX(0,$F41/(1-$F41)*(DD41+DN41)-DE41)),0)</f>
        <v>0</v>
      </c>
      <c r="DQ41" s="84" t="n">
        <f aca="false">DH41-DK41-DN41-DP41</f>
        <v>0</v>
      </c>
      <c r="DR41" s="84" t="n">
        <f aca="false">DK41+DN41+(1-$F41)*DQ41</f>
        <v>6608.1408</v>
      </c>
      <c r="DS41" s="84" t="n">
        <f aca="false">DP41+$F41*DQ41</f>
        <v>0</v>
      </c>
      <c r="DT41" s="84" t="n">
        <f aca="false">DD41+DN41+(1-$F41)*DQ41</f>
        <v>0</v>
      </c>
      <c r="DU41" s="84" t="n">
        <f aca="false">DE41+DS41</f>
        <v>0</v>
      </c>
      <c r="DV41" s="133" t="n">
        <f aca="false">DI41+$D41*Inputs!$H$13-$D41*$E41</f>
        <v>26132.5632</v>
      </c>
      <c r="DW41" s="84" t="n">
        <f aca="false">DV41*(1+$I41)</f>
        <v>31359.07584</v>
      </c>
      <c r="DX41" s="133" t="n">
        <f aca="false">DW41*Inputs!$H$14</f>
        <v>6271.815168</v>
      </c>
      <c r="DY41" s="84" t="n">
        <f aca="false">DW41-DX41</f>
        <v>25087.260672</v>
      </c>
      <c r="DZ41" s="133" t="n">
        <f aca="false">DL41+$D41*Inputs!$H$13</f>
        <v>13391.8592</v>
      </c>
      <c r="EA41" s="84" t="n">
        <f aca="false">MIN(DX41,DZ41)</f>
        <v>6271.815168</v>
      </c>
      <c r="EB41" s="84" t="n">
        <f aca="false">DZ41-EA41</f>
        <v>7120.044032</v>
      </c>
      <c r="EC41" s="84" t="n">
        <f aca="false">DO41+$G41*(DZ41+DO41)</f>
        <v>0</v>
      </c>
      <c r="ED41" s="84" t="n">
        <f aca="false">MIN(DX41-EA41,EC41)</f>
        <v>0</v>
      </c>
      <c r="EE41" s="84" t="n">
        <f aca="false">EC41-ED41</f>
        <v>0</v>
      </c>
      <c r="EF41" s="84" t="n">
        <f aca="false">IF($H41=1,MIN(DX41-EA41-ED41,MAX(0,$F41/(1-$F41)*(DT41+ED41)-DU41)),0)</f>
        <v>0</v>
      </c>
      <c r="EG41" s="84" t="n">
        <f aca="false">DX41-EA41-ED41-EF41</f>
        <v>0</v>
      </c>
      <c r="EH41" s="84" t="n">
        <f aca="false">EA41+ED41+(1-$F41)*EG41</f>
        <v>6271.815168</v>
      </c>
      <c r="EI41" s="84" t="n">
        <f aca="false">EF41+$F41*EG41</f>
        <v>0</v>
      </c>
      <c r="EJ41" s="84" t="n">
        <f aca="false">DT41+ED41+(1-$F41)*EG41</f>
        <v>0</v>
      </c>
      <c r="EK41" s="84" t="n">
        <f aca="false">DU41+EI41</f>
        <v>0</v>
      </c>
      <c r="EL41" s="133" t="n">
        <f aca="false">DY41+$D41*Inputs!$I$13-$D41*$E41</f>
        <v>24787.260672</v>
      </c>
      <c r="EM41" s="84" t="n">
        <f aca="false">EL41*(1+$I41)</f>
        <v>29744.7128064</v>
      </c>
      <c r="EN41" s="133" t="n">
        <f aca="false">EM41*Inputs!$I$14</f>
        <v>5948.94256128</v>
      </c>
      <c r="EO41" s="84" t="n">
        <f aca="false">EM41-EN41</f>
        <v>23795.77024512</v>
      </c>
      <c r="EP41" s="133" t="n">
        <f aca="false">EB41+$D41*Inputs!$I$13</f>
        <v>7120.044032</v>
      </c>
      <c r="EQ41" s="84" t="n">
        <f aca="false">MIN(EN41,EP41)</f>
        <v>5948.94256128</v>
      </c>
      <c r="ER41" s="84" t="n">
        <f aca="false">EP41-EQ41</f>
        <v>1171.10147072</v>
      </c>
      <c r="ES41" s="84" t="n">
        <f aca="false">EE41+$G41*(EP41+EE41)</f>
        <v>0</v>
      </c>
      <c r="ET41" s="84" t="n">
        <f aca="false">MIN(EN41-EQ41,ES41)</f>
        <v>0</v>
      </c>
      <c r="EU41" s="84" t="n">
        <f aca="false">ES41-ET41</f>
        <v>0</v>
      </c>
      <c r="EV41" s="84" t="n">
        <f aca="false">IF($H41=1,MIN(EN41-EQ41-ET41,MAX(0,$F41/(1-$F41)*(EJ41+ET41)-EK41)),0)</f>
        <v>0</v>
      </c>
      <c r="EW41" s="84" t="n">
        <f aca="false">EN41-EQ41-ET41-EV41</f>
        <v>0</v>
      </c>
      <c r="EX41" s="84" t="n">
        <f aca="false">EQ41+ET41+(1-$F41)*EW41</f>
        <v>5948.94256128</v>
      </c>
      <c r="EY41" s="84" t="n">
        <f aca="false">EV41+$F41*EW41</f>
        <v>0</v>
      </c>
      <c r="EZ41" s="84" t="n">
        <f aca="false">EJ41+ET41+(1-$F41)*EW41</f>
        <v>0</v>
      </c>
      <c r="FA41" s="84" t="n">
        <f aca="false">EK41+EY41</f>
        <v>0</v>
      </c>
      <c r="FB41" s="133" t="n">
        <f aca="false">EO41+$D41*Inputs!$J$13-$D41*$E41</f>
        <v>23495.77024512</v>
      </c>
      <c r="FC41" s="84" t="n">
        <f aca="false">FB41*(1+$I41)</f>
        <v>28194.924294144</v>
      </c>
      <c r="FD41" s="133" t="n">
        <f aca="false">FC41*Inputs!$J$14</f>
        <v>5638.9848588288</v>
      </c>
      <c r="FE41" s="84" t="n">
        <f aca="false">FC41-FD41</f>
        <v>22555.9394353152</v>
      </c>
      <c r="FF41" s="133" t="n">
        <f aca="false">ER41+$D41*Inputs!$J$13</f>
        <v>1171.10147072</v>
      </c>
      <c r="FG41" s="84" t="n">
        <f aca="false">MIN(FD41,FF41)</f>
        <v>1171.10147072</v>
      </c>
      <c r="FH41" s="84" t="n">
        <f aca="false">FF41-FG41</f>
        <v>0</v>
      </c>
      <c r="FI41" s="84" t="n">
        <f aca="false">EU41+$G41*(FF41+EU41)</f>
        <v>0</v>
      </c>
      <c r="FJ41" s="84" t="n">
        <f aca="false">MIN(FD41-FG41,FI41)</f>
        <v>0</v>
      </c>
      <c r="FK41" s="84" t="n">
        <f aca="false">FI41-FJ41</f>
        <v>0</v>
      </c>
      <c r="FL41" s="84" t="n">
        <f aca="false">IF($H41=1,MIN(FD41-FG41-FJ41,MAX(0,$F41/(1-$F41)*(EZ41+FJ41)-FA41)),0)</f>
        <v>0</v>
      </c>
      <c r="FM41" s="84" t="n">
        <f aca="false">FD41-FG41-FJ41-FL41</f>
        <v>4467.8833881088</v>
      </c>
      <c r="FN41" s="84" t="n">
        <f aca="false">FG41+FJ41+(1-$F41)*FM41</f>
        <v>4745.40818120704</v>
      </c>
      <c r="FO41" s="84" t="n">
        <f aca="false">FL41+$F41*FM41</f>
        <v>893.57667762176</v>
      </c>
      <c r="FP41" s="84" t="n">
        <f aca="false">EZ41+FJ41+(1-$F41)*FM41</f>
        <v>3574.30671048704</v>
      </c>
      <c r="FQ41" s="84" t="n">
        <f aca="false">FA41+FO41</f>
        <v>893.57667762176</v>
      </c>
      <c r="FR41" s="133" t="n">
        <f aca="false">FE41+$D41*Inputs!$K$13-$D41*$E41</f>
        <v>22255.9394353152</v>
      </c>
      <c r="FS41" s="84" t="n">
        <f aca="false">FR41*(1+$I41)</f>
        <v>26707.1273223782</v>
      </c>
      <c r="FT41" s="133" t="n">
        <f aca="false">FS41*Inputs!$K$14</f>
        <v>5341.42546447565</v>
      </c>
      <c r="FU41" s="84" t="n">
        <f aca="false">FS41-FT41</f>
        <v>21365.7018579026</v>
      </c>
      <c r="FV41" s="133" t="n">
        <f aca="false">FH41+$D41*Inputs!$K$13</f>
        <v>0</v>
      </c>
      <c r="FW41" s="84" t="n">
        <f aca="false">MIN(FT41,FV41)</f>
        <v>0</v>
      </c>
      <c r="FX41" s="84" t="n">
        <f aca="false">FV41-FW41</f>
        <v>0</v>
      </c>
      <c r="FY41" s="84" t="n">
        <f aca="false">FK41+$G41*(FV41+FK41)</f>
        <v>0</v>
      </c>
      <c r="FZ41" s="84" t="n">
        <f aca="false">MIN(FT41-FW41,FY41)</f>
        <v>0</v>
      </c>
      <c r="GA41" s="84" t="n">
        <f aca="false">FY41-FZ41</f>
        <v>0</v>
      </c>
      <c r="GB41" s="84" t="n">
        <f aca="false">IF($H41=1,MIN(FT41-FW41-FZ41,MAX(0,$F41/(1-$F41)*(FP41+FZ41)-FQ41)),0)</f>
        <v>0</v>
      </c>
      <c r="GC41" s="84" t="n">
        <f aca="false">FT41-FW41-FZ41-GB41</f>
        <v>5341.42546447565</v>
      </c>
      <c r="GD41" s="84" t="n">
        <f aca="false">FW41+FZ41+(1-$F41)*GC41</f>
        <v>4273.14037158052</v>
      </c>
      <c r="GE41" s="84" t="n">
        <f aca="false">GB41+$F41*GC41</f>
        <v>1068.28509289513</v>
      </c>
      <c r="GF41" s="84" t="n">
        <f aca="false">FP41+FZ41+(1-$F41)*GC41</f>
        <v>7847.44708206756</v>
      </c>
      <c r="GG41" s="84" t="n">
        <f aca="false">FQ41+GE41</f>
        <v>1961.86177051689</v>
      </c>
      <c r="GH41" s="133" t="n">
        <f aca="false">FU41+$D41*Inputs!$L$13-$D41*$E41</f>
        <v>21065.7018579026</v>
      </c>
      <c r="GI41" s="84" t="n">
        <f aca="false">GH41*(1+$I41)</f>
        <v>25278.8422294831</v>
      </c>
      <c r="GJ41" s="133" t="n">
        <f aca="false">GI41*Inputs!$L$14</f>
        <v>25278.8422294831</v>
      </c>
      <c r="GK41" s="84" t="n">
        <f aca="false">GI41-GJ41</f>
        <v>0</v>
      </c>
      <c r="GL41" s="133" t="n">
        <f aca="false">FX41+$D41*Inputs!$L$13</f>
        <v>0</v>
      </c>
      <c r="GM41" s="84" t="n">
        <f aca="false">MIN(GJ41,GL41)</f>
        <v>0</v>
      </c>
      <c r="GN41" s="84" t="n">
        <f aca="false">GL41-GM41</f>
        <v>0</v>
      </c>
      <c r="GO41" s="84" t="n">
        <f aca="false">GA41+$G41*(GL41+GA41)</f>
        <v>0</v>
      </c>
      <c r="GP41" s="84" t="n">
        <f aca="false">MIN(GJ41-GM41,GO41)</f>
        <v>0</v>
      </c>
      <c r="GQ41" s="84" t="n">
        <f aca="false">GO41-GP41</f>
        <v>0</v>
      </c>
      <c r="GR41" s="84" t="n">
        <f aca="false">IF($H41=1,MIN(GJ41-GM41-GP41,MAX(0,$F41/(1-$F41)*(GF41+GP41)-GG41)),0)</f>
        <v>0</v>
      </c>
      <c r="GS41" s="84" t="n">
        <f aca="false">GJ41-GM41-GP41-GR41</f>
        <v>25278.8422294831</v>
      </c>
      <c r="GT41" s="84" t="n">
        <f aca="false">GM41+GP41+(1-$F41)*GS41</f>
        <v>20223.0737835865</v>
      </c>
      <c r="GU41" s="84" t="n">
        <f aca="false">GR41+$F41*GS41</f>
        <v>5055.76844589662</v>
      </c>
      <c r="GV41" s="84" t="n">
        <f aca="false">GF41+GP41+(1-$F41)*GS41</f>
        <v>28070.520865654</v>
      </c>
      <c r="GW41" s="84" t="n">
        <f aca="false">GG41+GU41</f>
        <v>7017.63021641351</v>
      </c>
    </row>
    <row r="42" customFormat="false" ht="15" hidden="false" customHeight="false" outlineLevel="0" collapsed="false">
      <c r="A42" s="5" t="s">
        <v>635</v>
      </c>
      <c r="B42" s="5" t="s">
        <v>636</v>
      </c>
      <c r="C42" s="135" t="n">
        <v>21</v>
      </c>
      <c r="D42" s="47" t="n">
        <f aca="false">Inputs!$C$6</f>
        <v>20000</v>
      </c>
      <c r="E42" s="35" t="n">
        <f aca="false">Inputs!$C$18</f>
        <v>0.015</v>
      </c>
      <c r="F42" s="36" t="n">
        <f aca="false">Inputs!$C$20</f>
        <v>0.2</v>
      </c>
      <c r="G42" s="30" t="n">
        <v>0</v>
      </c>
      <c r="H42" s="27" t="n">
        <v>0</v>
      </c>
      <c r="I42" s="132" t="n">
        <f aca="false">Inputs!$C$38+$C42*Inputs!$C$39</f>
        <v>0.21</v>
      </c>
      <c r="J42" s="36" t="n">
        <f aca="false">Inputs!$C$9</f>
        <v>0.15</v>
      </c>
      <c r="K42" s="89" t="n">
        <f aca="false">IRR(W42:AG42,0.1)</f>
        <v>0.166664524947092</v>
      </c>
      <c r="L42" s="45" t="n">
        <f aca="false">W42+NPV($J42,X42:AG42)</f>
        <v>1366.66083501885</v>
      </c>
      <c r="M42" s="45" t="n">
        <f aca="false">SUM(BF42,BV42,CL42,DB42,DR42,EH42,EX42,FN42,GD42,GT42)</f>
        <v>50674.4726836669</v>
      </c>
      <c r="N42" s="43" t="n">
        <f aca="false">IF($D42*SUM(Inputs!$C$13:$L$13)=0,0,M42/($D42*SUM(Inputs!$C$13:$L$13)))</f>
        <v>2.53372363418334</v>
      </c>
      <c r="O42" s="42" t="n">
        <f aca="false">$D42*$E42*COLUMNS(Inputs!$C$13:$L$13)</f>
        <v>3000</v>
      </c>
      <c r="P42" s="45" t="n">
        <f aca="false">SUM(BG42,BW42,CM42,DC42,DS42,EI42,EY42,FO42,GE42,GU42)</f>
        <v>7668.61817091672</v>
      </c>
      <c r="Q42" s="42" t="n">
        <f aca="false">PV($J42,COLUMNS(Inputs!$C$13:$L$13),-$D42*$E42,0,1)</f>
        <v>1731.47517591971</v>
      </c>
      <c r="R42" s="45" t="n">
        <f aca="false">NPV($J42,BG42,BW42,CM42,DC42,DS42,EI42,EY42,FO42,GE42,GU42)</f>
        <v>2025.09811745695</v>
      </c>
      <c r="S42" s="45" t="n">
        <f aca="false">Q42+R42</f>
        <v>3756.57329337666</v>
      </c>
      <c r="T42" s="32" t="n">
        <f aca="false">IF(S42=0,0,Q42/S42)</f>
        <v>0.460918779083196</v>
      </c>
      <c r="U42" s="45" t="n">
        <f aca="false">ROUND(ABS(GK42)+ABS(SUM(AV42,BL42,CB42,CR42,DH42,DX42,EN42,FD42,FT42,GJ42)-M42-P42)+ABS(S42-(AH42+NPV($J42,AI42:AR42))),6)</f>
        <v>0</v>
      </c>
      <c r="W42" s="133" t="n">
        <f aca="false">-$D42*Inputs!$C$13</f>
        <v>-4000</v>
      </c>
      <c r="X42" s="133" t="n">
        <f aca="false">BF42-$D42*Inputs!$D$13</f>
        <v>-4000</v>
      </c>
      <c r="Y42" s="133" t="n">
        <f aca="false">BV42-$D42*Inputs!$E$13</f>
        <v>-4000</v>
      </c>
      <c r="Z42" s="133" t="n">
        <f aca="false">CL42-$D42*Inputs!$F$13</f>
        <v>-4000</v>
      </c>
      <c r="AA42" s="133" t="n">
        <f aca="false">DB42-$D42*Inputs!$G$13</f>
        <v>-4000</v>
      </c>
      <c r="AB42" s="133" t="n">
        <f aca="false">DR42-$D42*Inputs!$H$13</f>
        <v>6795.414279874</v>
      </c>
      <c r="AC42" s="133" t="n">
        <f aca="false">EH42-$D42*Inputs!$I$13</f>
        <v>6505.36102291803</v>
      </c>
      <c r="AD42" s="133" t="n">
        <f aca="false">EX42-$D42*Inputs!$J$13</f>
        <v>6224.58947018466</v>
      </c>
      <c r="AE42" s="133" t="n">
        <f aca="false">FN42-$D42*Inputs!$K$13</f>
        <v>4857.16913111566</v>
      </c>
      <c r="AF42" s="133" t="n">
        <f aca="false">GD42-$D42*Inputs!$L$13</f>
        <v>4551.77033896825</v>
      </c>
      <c r="AG42" s="84" t="n">
        <f aca="false">GT42</f>
        <v>21740.1684406063</v>
      </c>
      <c r="AH42" s="84" t="n">
        <f aca="false">$D42*$E42</f>
        <v>300</v>
      </c>
      <c r="AI42" s="84" t="n">
        <f aca="false">BG42+$D42*$E42</f>
        <v>300</v>
      </c>
      <c r="AJ42" s="84" t="n">
        <f aca="false">BW42+$D42*$E42</f>
        <v>300</v>
      </c>
      <c r="AK42" s="84" t="n">
        <f aca="false">CM42+$D42*$E42</f>
        <v>300</v>
      </c>
      <c r="AL42" s="84" t="n">
        <f aca="false">DC42+$D42*$E42</f>
        <v>300</v>
      </c>
      <c r="AM42" s="84" t="n">
        <f aca="false">DS42+$D42*$E42</f>
        <v>300</v>
      </c>
      <c r="AN42" s="84" t="n">
        <f aca="false">EI42+$D42*$E42</f>
        <v>300</v>
      </c>
      <c r="AO42" s="84" t="n">
        <f aca="false">EY42+$D42*$E42</f>
        <v>300</v>
      </c>
      <c r="AP42" s="84" t="n">
        <f aca="false">FO42+$D42*$E42</f>
        <v>1395.63347602309</v>
      </c>
      <c r="AQ42" s="84" t="n">
        <f aca="false">GE42+$D42*$E42</f>
        <v>1437.94258474206</v>
      </c>
      <c r="AR42" s="84" t="n">
        <f aca="false">GU42</f>
        <v>5435.04211015158</v>
      </c>
      <c r="AT42" s="133" t="n">
        <f aca="false">$D42*Inputs!$C$13-$D42*$E42</f>
        <v>3700</v>
      </c>
      <c r="AU42" s="84" t="n">
        <f aca="false">AT42*(1+$I42)</f>
        <v>4477</v>
      </c>
      <c r="AV42" s="133" t="n">
        <f aca="false">AU42*Inputs!$C$14</f>
        <v>0</v>
      </c>
      <c r="AW42" s="84" t="n">
        <f aca="false">AU42-AV42</f>
        <v>4477</v>
      </c>
      <c r="AX42" s="133" t="n">
        <f aca="false">$D42*Inputs!$C$13</f>
        <v>4000</v>
      </c>
      <c r="AY42" s="84" t="n">
        <f aca="false">MIN(AV42,AX42)</f>
        <v>0</v>
      </c>
      <c r="AZ42" s="84" t="n">
        <f aca="false">AX42-AY42</f>
        <v>4000</v>
      </c>
      <c r="BA42" s="84" t="n">
        <f aca="false">$G42*AX42</f>
        <v>0</v>
      </c>
      <c r="BB42" s="84" t="n">
        <f aca="false">MIN(AV42-AY42,BA42)</f>
        <v>0</v>
      </c>
      <c r="BC42" s="84" t="n">
        <f aca="false">BA42-BB42</f>
        <v>0</v>
      </c>
      <c r="BD42" s="84" t="n">
        <f aca="false">IF($H42=1,MIN(AV42-AY42-BB42,MAX(0,$F42/(1-$F42)*BB42)),0)</f>
        <v>0</v>
      </c>
      <c r="BE42" s="84" t="n">
        <f aca="false">AV42-AY42-BB42-BD42</f>
        <v>0</v>
      </c>
      <c r="BF42" s="84" t="n">
        <f aca="false">AY42+BB42+(1-$F42)*BE42</f>
        <v>0</v>
      </c>
      <c r="BG42" s="84" t="n">
        <f aca="false">BD42+$F42*BE42</f>
        <v>0</v>
      </c>
      <c r="BH42" s="84" t="n">
        <f aca="false">BB42+(1-$F42)*BE42</f>
        <v>0</v>
      </c>
      <c r="BI42" s="84" t="n">
        <f aca="false">BG42</f>
        <v>0</v>
      </c>
      <c r="BJ42" s="133" t="n">
        <f aca="false">AW42+$D42*Inputs!$D$13-$D42*$E42</f>
        <v>8177</v>
      </c>
      <c r="BK42" s="84" t="n">
        <f aca="false">BJ42*(1+$I42)</f>
        <v>9894.17</v>
      </c>
      <c r="BL42" s="133" t="n">
        <f aca="false">BK42*Inputs!$D$14</f>
        <v>0</v>
      </c>
      <c r="BM42" s="84" t="n">
        <f aca="false">BK42-BL42</f>
        <v>9894.17</v>
      </c>
      <c r="BN42" s="133" t="n">
        <f aca="false">AZ42+$D42*Inputs!$D$13</f>
        <v>8000</v>
      </c>
      <c r="BO42" s="84" t="n">
        <f aca="false">MIN(BL42,BN42)</f>
        <v>0</v>
      </c>
      <c r="BP42" s="84" t="n">
        <f aca="false">BN42-BO42</f>
        <v>8000</v>
      </c>
      <c r="BQ42" s="84" t="n">
        <f aca="false">BC42+$G42*(BN42+BC42)</f>
        <v>0</v>
      </c>
      <c r="BR42" s="84" t="n">
        <f aca="false">MIN(BL42-BO42,BQ42)</f>
        <v>0</v>
      </c>
      <c r="BS42" s="84" t="n">
        <f aca="false">BQ42-BR42</f>
        <v>0</v>
      </c>
      <c r="BT42" s="84" t="n">
        <f aca="false">IF($H42=1,MIN(BL42-BO42-BR42,MAX(0,$F42/(1-$F42)*(BH42+BR42)-BI42)),0)</f>
        <v>0</v>
      </c>
      <c r="BU42" s="84" t="n">
        <f aca="false">BL42-BO42-BR42-BT42</f>
        <v>0</v>
      </c>
      <c r="BV42" s="84" t="n">
        <f aca="false">BO42+BR42+(1-$F42)*BU42</f>
        <v>0</v>
      </c>
      <c r="BW42" s="84" t="n">
        <f aca="false">BT42+$F42*BU42</f>
        <v>0</v>
      </c>
      <c r="BX42" s="84" t="n">
        <f aca="false">BH42+BR42+(1-$F42)*BU42</f>
        <v>0</v>
      </c>
      <c r="BY42" s="84" t="n">
        <f aca="false">BI42+BW42</f>
        <v>0</v>
      </c>
      <c r="BZ42" s="133" t="n">
        <f aca="false">BM42+$D42*Inputs!$E$13-$D42*$E42</f>
        <v>13594.17</v>
      </c>
      <c r="CA42" s="84" t="n">
        <f aca="false">BZ42*(1+$I42)</f>
        <v>16448.9457</v>
      </c>
      <c r="CB42" s="133" t="n">
        <f aca="false">CA42*Inputs!$E$14</f>
        <v>0</v>
      </c>
      <c r="CC42" s="84" t="n">
        <f aca="false">CA42-CB42</f>
        <v>16448.9457</v>
      </c>
      <c r="CD42" s="133" t="n">
        <f aca="false">BP42+$D42*Inputs!$E$13</f>
        <v>12000</v>
      </c>
      <c r="CE42" s="84" t="n">
        <f aca="false">MIN(CB42,CD42)</f>
        <v>0</v>
      </c>
      <c r="CF42" s="84" t="n">
        <f aca="false">CD42-CE42</f>
        <v>12000</v>
      </c>
      <c r="CG42" s="84" t="n">
        <f aca="false">BS42+$G42*(CD42+BS42)</f>
        <v>0</v>
      </c>
      <c r="CH42" s="84" t="n">
        <f aca="false">MIN(CB42-CE42,CG42)</f>
        <v>0</v>
      </c>
      <c r="CI42" s="84" t="n">
        <f aca="false">CG42-CH42</f>
        <v>0</v>
      </c>
      <c r="CJ42" s="84" t="n">
        <f aca="false">IF($H42=1,MIN(CB42-CE42-CH42,MAX(0,$F42/(1-$F42)*(BX42+CH42)-BY42)),0)</f>
        <v>0</v>
      </c>
      <c r="CK42" s="84" t="n">
        <f aca="false">CB42-CE42-CH42-CJ42</f>
        <v>0</v>
      </c>
      <c r="CL42" s="84" t="n">
        <f aca="false">CE42+CH42+(1-$F42)*CK42</f>
        <v>0</v>
      </c>
      <c r="CM42" s="84" t="n">
        <f aca="false">CJ42+$F42*CK42</f>
        <v>0</v>
      </c>
      <c r="CN42" s="84" t="n">
        <f aca="false">BX42+CH42+(1-$F42)*CK42</f>
        <v>0</v>
      </c>
      <c r="CO42" s="84" t="n">
        <f aca="false">BY42+CM42</f>
        <v>0</v>
      </c>
      <c r="CP42" s="133" t="n">
        <f aca="false">CC42+$D42*Inputs!$F$13-$D42*$E42</f>
        <v>20148.9457</v>
      </c>
      <c r="CQ42" s="84" t="n">
        <f aca="false">CP42*(1+$I42)</f>
        <v>24380.224297</v>
      </c>
      <c r="CR42" s="133" t="n">
        <f aca="false">CQ42*Inputs!$F$14</f>
        <v>0</v>
      </c>
      <c r="CS42" s="84" t="n">
        <f aca="false">CQ42-CR42</f>
        <v>24380.224297</v>
      </c>
      <c r="CT42" s="133" t="n">
        <f aca="false">CF42+$D42*Inputs!$F$13</f>
        <v>16000</v>
      </c>
      <c r="CU42" s="84" t="n">
        <f aca="false">MIN(CR42,CT42)</f>
        <v>0</v>
      </c>
      <c r="CV42" s="84" t="n">
        <f aca="false">CT42-CU42</f>
        <v>16000</v>
      </c>
      <c r="CW42" s="84" t="n">
        <f aca="false">CI42+$G42*(CT42+CI42)</f>
        <v>0</v>
      </c>
      <c r="CX42" s="84" t="n">
        <f aca="false">MIN(CR42-CU42,CW42)</f>
        <v>0</v>
      </c>
      <c r="CY42" s="84" t="n">
        <f aca="false">CW42-CX42</f>
        <v>0</v>
      </c>
      <c r="CZ42" s="84" t="n">
        <f aca="false">IF($H42=1,MIN(CR42-CU42-CX42,MAX(0,$F42/(1-$F42)*(CN42+CX42)-CO42)),0)</f>
        <v>0</v>
      </c>
      <c r="DA42" s="84" t="n">
        <f aca="false">CR42-CU42-CX42-CZ42</f>
        <v>0</v>
      </c>
      <c r="DB42" s="84" t="n">
        <f aca="false">CU42+CX42+(1-$F42)*DA42</f>
        <v>0</v>
      </c>
      <c r="DC42" s="84" t="n">
        <f aca="false">CZ42+$F42*DA42</f>
        <v>0</v>
      </c>
      <c r="DD42" s="84" t="n">
        <f aca="false">CN42+CX42+(1-$F42)*DA42</f>
        <v>0</v>
      </c>
      <c r="DE42" s="84" t="n">
        <f aca="false">CO42+DC42</f>
        <v>0</v>
      </c>
      <c r="DF42" s="133" t="n">
        <f aca="false">CS42+$D42*Inputs!$G$13-$D42*$E42</f>
        <v>28080.224297</v>
      </c>
      <c r="DG42" s="84" t="n">
        <f aca="false">DF42*(1+$I42)</f>
        <v>33977.07139937</v>
      </c>
      <c r="DH42" s="133" t="n">
        <f aca="false">DG42*Inputs!$G$14</f>
        <v>6795.414279874</v>
      </c>
      <c r="DI42" s="84" t="n">
        <f aca="false">DG42-DH42</f>
        <v>27181.657119496</v>
      </c>
      <c r="DJ42" s="133" t="n">
        <f aca="false">CV42+$D42*Inputs!$G$13</f>
        <v>20000</v>
      </c>
      <c r="DK42" s="84" t="n">
        <f aca="false">MIN(DH42,DJ42)</f>
        <v>6795.414279874</v>
      </c>
      <c r="DL42" s="84" t="n">
        <f aca="false">DJ42-DK42</f>
        <v>13204.585720126</v>
      </c>
      <c r="DM42" s="84" t="n">
        <f aca="false">CY42+$G42*(DJ42+CY42)</f>
        <v>0</v>
      </c>
      <c r="DN42" s="84" t="n">
        <f aca="false">MIN(DH42-DK42,DM42)</f>
        <v>0</v>
      </c>
      <c r="DO42" s="84" t="n">
        <f aca="false">DM42-DN42</f>
        <v>0</v>
      </c>
      <c r="DP42" s="84" t="n">
        <f aca="false">IF($H42=1,MIN(DH42-DK42-DN42,MAX(0,$F42/(1-$F42)*(DD42+DN42)-DE42)),0)</f>
        <v>0</v>
      </c>
      <c r="DQ42" s="84" t="n">
        <f aca="false">DH42-DK42-DN42-DP42</f>
        <v>0</v>
      </c>
      <c r="DR42" s="84" t="n">
        <f aca="false">DK42+DN42+(1-$F42)*DQ42</f>
        <v>6795.414279874</v>
      </c>
      <c r="DS42" s="84" t="n">
        <f aca="false">DP42+$F42*DQ42</f>
        <v>0</v>
      </c>
      <c r="DT42" s="84" t="n">
        <f aca="false">DD42+DN42+(1-$F42)*DQ42</f>
        <v>0</v>
      </c>
      <c r="DU42" s="84" t="n">
        <f aca="false">DE42+DS42</f>
        <v>0</v>
      </c>
      <c r="DV42" s="133" t="n">
        <f aca="false">DI42+$D42*Inputs!$H$13-$D42*$E42</f>
        <v>26881.657119496</v>
      </c>
      <c r="DW42" s="84" t="n">
        <f aca="false">DV42*(1+$I42)</f>
        <v>32526.8051145902</v>
      </c>
      <c r="DX42" s="133" t="n">
        <f aca="false">DW42*Inputs!$H$14</f>
        <v>6505.36102291803</v>
      </c>
      <c r="DY42" s="84" t="n">
        <f aca="false">DW42-DX42</f>
        <v>26021.4440916721</v>
      </c>
      <c r="DZ42" s="133" t="n">
        <f aca="false">DL42+$D42*Inputs!$H$13</f>
        <v>13204.585720126</v>
      </c>
      <c r="EA42" s="84" t="n">
        <f aca="false">MIN(DX42,DZ42)</f>
        <v>6505.36102291803</v>
      </c>
      <c r="EB42" s="84" t="n">
        <f aca="false">DZ42-EA42</f>
        <v>6699.22469720797</v>
      </c>
      <c r="EC42" s="84" t="n">
        <f aca="false">DO42+$G42*(DZ42+DO42)</f>
        <v>0</v>
      </c>
      <c r="ED42" s="84" t="n">
        <f aca="false">MIN(DX42-EA42,EC42)</f>
        <v>0</v>
      </c>
      <c r="EE42" s="84" t="n">
        <f aca="false">EC42-ED42</f>
        <v>0</v>
      </c>
      <c r="EF42" s="84" t="n">
        <f aca="false">IF($H42=1,MIN(DX42-EA42-ED42,MAX(0,$F42/(1-$F42)*(DT42+ED42)-DU42)),0)</f>
        <v>0</v>
      </c>
      <c r="EG42" s="84" t="n">
        <f aca="false">DX42-EA42-ED42-EF42</f>
        <v>0</v>
      </c>
      <c r="EH42" s="84" t="n">
        <f aca="false">EA42+ED42+(1-$F42)*EG42</f>
        <v>6505.36102291803</v>
      </c>
      <c r="EI42" s="84" t="n">
        <f aca="false">EF42+$F42*EG42</f>
        <v>0</v>
      </c>
      <c r="EJ42" s="84" t="n">
        <f aca="false">DT42+ED42+(1-$F42)*EG42</f>
        <v>0</v>
      </c>
      <c r="EK42" s="84" t="n">
        <f aca="false">DU42+EI42</f>
        <v>0</v>
      </c>
      <c r="EL42" s="133" t="n">
        <f aca="false">DY42+$D42*Inputs!$I$13-$D42*$E42</f>
        <v>25721.4440916721</v>
      </c>
      <c r="EM42" s="84" t="n">
        <f aca="false">EL42*(1+$I42)</f>
        <v>31122.9473509233</v>
      </c>
      <c r="EN42" s="133" t="n">
        <f aca="false">EM42*Inputs!$I$14</f>
        <v>6224.58947018466</v>
      </c>
      <c r="EO42" s="84" t="n">
        <f aca="false">EM42-EN42</f>
        <v>24898.3578807386</v>
      </c>
      <c r="EP42" s="133" t="n">
        <f aca="false">EB42+$D42*Inputs!$I$13</f>
        <v>6699.22469720797</v>
      </c>
      <c r="EQ42" s="84" t="n">
        <f aca="false">MIN(EN42,EP42)</f>
        <v>6224.58947018466</v>
      </c>
      <c r="ER42" s="84" t="n">
        <f aca="false">EP42-EQ42</f>
        <v>474.635227023315</v>
      </c>
      <c r="ES42" s="84" t="n">
        <f aca="false">EE42+$G42*(EP42+EE42)</f>
        <v>0</v>
      </c>
      <c r="ET42" s="84" t="n">
        <f aca="false">MIN(EN42-EQ42,ES42)</f>
        <v>0</v>
      </c>
      <c r="EU42" s="84" t="n">
        <f aca="false">ES42-ET42</f>
        <v>0</v>
      </c>
      <c r="EV42" s="84" t="n">
        <f aca="false">IF($H42=1,MIN(EN42-EQ42-ET42,MAX(0,$F42/(1-$F42)*(EJ42+ET42)-EK42)),0)</f>
        <v>0</v>
      </c>
      <c r="EW42" s="84" t="n">
        <f aca="false">EN42-EQ42-ET42-EV42</f>
        <v>0</v>
      </c>
      <c r="EX42" s="84" t="n">
        <f aca="false">EQ42+ET42+(1-$F42)*EW42</f>
        <v>6224.58947018466</v>
      </c>
      <c r="EY42" s="84" t="n">
        <f aca="false">EV42+$F42*EW42</f>
        <v>0</v>
      </c>
      <c r="EZ42" s="84" t="n">
        <f aca="false">EJ42+ET42+(1-$F42)*EW42</f>
        <v>0</v>
      </c>
      <c r="FA42" s="84" t="n">
        <f aca="false">EK42+EY42</f>
        <v>0</v>
      </c>
      <c r="FB42" s="133" t="n">
        <f aca="false">EO42+$D42*Inputs!$J$13-$D42*$E42</f>
        <v>24598.3578807386</v>
      </c>
      <c r="FC42" s="84" t="n">
        <f aca="false">FB42*(1+$I42)</f>
        <v>29764.0130356937</v>
      </c>
      <c r="FD42" s="133" t="n">
        <f aca="false">FC42*Inputs!$J$14</f>
        <v>5952.80260713875</v>
      </c>
      <c r="FE42" s="84" t="n">
        <f aca="false">FC42-FD42</f>
        <v>23811.210428555</v>
      </c>
      <c r="FF42" s="133" t="n">
        <f aca="false">ER42+$D42*Inputs!$J$13</f>
        <v>474.635227023315</v>
      </c>
      <c r="FG42" s="84" t="n">
        <f aca="false">MIN(FD42,FF42)</f>
        <v>474.635227023315</v>
      </c>
      <c r="FH42" s="84" t="n">
        <f aca="false">FF42-FG42</f>
        <v>0</v>
      </c>
      <c r="FI42" s="84" t="n">
        <f aca="false">EU42+$G42*(FF42+EU42)</f>
        <v>0</v>
      </c>
      <c r="FJ42" s="84" t="n">
        <f aca="false">MIN(FD42-FG42,FI42)</f>
        <v>0</v>
      </c>
      <c r="FK42" s="84" t="n">
        <f aca="false">FI42-FJ42</f>
        <v>0</v>
      </c>
      <c r="FL42" s="84" t="n">
        <f aca="false">IF($H42=1,MIN(FD42-FG42-FJ42,MAX(0,$F42/(1-$F42)*(EZ42+FJ42)-FA42)),0)</f>
        <v>0</v>
      </c>
      <c r="FM42" s="84" t="n">
        <f aca="false">FD42-FG42-FJ42-FL42</f>
        <v>5478.16738011543</v>
      </c>
      <c r="FN42" s="84" t="n">
        <f aca="false">FG42+FJ42+(1-$F42)*FM42</f>
        <v>4857.16913111566</v>
      </c>
      <c r="FO42" s="84" t="n">
        <f aca="false">FL42+$F42*FM42</f>
        <v>1095.63347602309</v>
      </c>
      <c r="FP42" s="84" t="n">
        <f aca="false">EZ42+FJ42+(1-$F42)*FM42</f>
        <v>4382.53390409234</v>
      </c>
      <c r="FQ42" s="84" t="n">
        <f aca="false">FA42+FO42</f>
        <v>1095.63347602309</v>
      </c>
      <c r="FR42" s="133" t="n">
        <f aca="false">FE42+$D42*Inputs!$K$13-$D42*$E42</f>
        <v>23511.210428555</v>
      </c>
      <c r="FS42" s="84" t="n">
        <f aca="false">FR42*(1+$I42)</f>
        <v>28448.5646185515</v>
      </c>
      <c r="FT42" s="133" t="n">
        <f aca="false">FS42*Inputs!$K$14</f>
        <v>5689.71292371031</v>
      </c>
      <c r="FU42" s="84" t="n">
        <f aca="false">FS42-FT42</f>
        <v>22758.8516948412</v>
      </c>
      <c r="FV42" s="133" t="n">
        <f aca="false">FH42+$D42*Inputs!$K$13</f>
        <v>0</v>
      </c>
      <c r="FW42" s="84" t="n">
        <f aca="false">MIN(FT42,FV42)</f>
        <v>0</v>
      </c>
      <c r="FX42" s="84" t="n">
        <f aca="false">FV42-FW42</f>
        <v>0</v>
      </c>
      <c r="FY42" s="84" t="n">
        <f aca="false">FK42+$G42*(FV42+FK42)</f>
        <v>0</v>
      </c>
      <c r="FZ42" s="84" t="n">
        <f aca="false">MIN(FT42-FW42,FY42)</f>
        <v>0</v>
      </c>
      <c r="GA42" s="84" t="n">
        <f aca="false">FY42-FZ42</f>
        <v>0</v>
      </c>
      <c r="GB42" s="84" t="n">
        <f aca="false">IF($H42=1,MIN(FT42-FW42-FZ42,MAX(0,$F42/(1-$F42)*(FP42+FZ42)-FQ42)),0)</f>
        <v>0</v>
      </c>
      <c r="GC42" s="84" t="n">
        <f aca="false">FT42-FW42-FZ42-GB42</f>
        <v>5689.71292371031</v>
      </c>
      <c r="GD42" s="84" t="n">
        <f aca="false">FW42+FZ42+(1-$F42)*GC42</f>
        <v>4551.77033896825</v>
      </c>
      <c r="GE42" s="84" t="n">
        <f aca="false">GB42+$F42*GC42</f>
        <v>1137.94258474206</v>
      </c>
      <c r="GF42" s="84" t="n">
        <f aca="false">FP42+FZ42+(1-$F42)*GC42</f>
        <v>8934.30424306059</v>
      </c>
      <c r="GG42" s="84" t="n">
        <f aca="false">FQ42+GE42</f>
        <v>2233.57606076515</v>
      </c>
      <c r="GH42" s="133" t="n">
        <f aca="false">FU42+$D42*Inputs!$L$13-$D42*$E42</f>
        <v>22458.8516948412</v>
      </c>
      <c r="GI42" s="84" t="n">
        <f aca="false">GH42*(1+$I42)</f>
        <v>27175.2105507579</v>
      </c>
      <c r="GJ42" s="133" t="n">
        <f aca="false">GI42*Inputs!$L$14</f>
        <v>27175.2105507579</v>
      </c>
      <c r="GK42" s="84" t="n">
        <f aca="false">GI42-GJ42</f>
        <v>0</v>
      </c>
      <c r="GL42" s="133" t="n">
        <f aca="false">FX42+$D42*Inputs!$L$13</f>
        <v>0</v>
      </c>
      <c r="GM42" s="84" t="n">
        <f aca="false">MIN(GJ42,GL42)</f>
        <v>0</v>
      </c>
      <c r="GN42" s="84" t="n">
        <f aca="false">GL42-GM42</f>
        <v>0</v>
      </c>
      <c r="GO42" s="84" t="n">
        <f aca="false">GA42+$G42*(GL42+GA42)</f>
        <v>0</v>
      </c>
      <c r="GP42" s="84" t="n">
        <f aca="false">MIN(GJ42-GM42,GO42)</f>
        <v>0</v>
      </c>
      <c r="GQ42" s="84" t="n">
        <f aca="false">GO42-GP42</f>
        <v>0</v>
      </c>
      <c r="GR42" s="84" t="n">
        <f aca="false">IF($H42=1,MIN(GJ42-GM42-GP42,MAX(0,$F42/(1-$F42)*(GF42+GP42)-GG42)),0)</f>
        <v>0</v>
      </c>
      <c r="GS42" s="84" t="n">
        <f aca="false">GJ42-GM42-GP42-GR42</f>
        <v>27175.2105507579</v>
      </c>
      <c r="GT42" s="84" t="n">
        <f aca="false">GM42+GP42+(1-$F42)*GS42</f>
        <v>21740.1684406063</v>
      </c>
      <c r="GU42" s="84" t="n">
        <f aca="false">GR42+$F42*GS42</f>
        <v>5435.04211015158</v>
      </c>
      <c r="GV42" s="84" t="n">
        <f aca="false">GF42+GP42+(1-$F42)*GS42</f>
        <v>30674.4726836669</v>
      </c>
      <c r="GW42" s="84" t="n">
        <f aca="false">GG42+GU42</f>
        <v>7668.61817091672</v>
      </c>
    </row>
    <row r="43" customFormat="false" ht="15" hidden="false" customHeight="false" outlineLevel="0" collapsed="false">
      <c r="A43" s="5" t="s">
        <v>635</v>
      </c>
      <c r="B43" s="5" t="s">
        <v>636</v>
      </c>
      <c r="C43" s="135" t="n">
        <v>22</v>
      </c>
      <c r="D43" s="47" t="n">
        <f aca="false">Inputs!$C$6</f>
        <v>20000</v>
      </c>
      <c r="E43" s="35" t="n">
        <f aca="false">Inputs!$C$18</f>
        <v>0.015</v>
      </c>
      <c r="F43" s="36" t="n">
        <f aca="false">Inputs!$C$20</f>
        <v>0.2</v>
      </c>
      <c r="G43" s="30" t="n">
        <v>0</v>
      </c>
      <c r="H43" s="27" t="n">
        <v>0</v>
      </c>
      <c r="I43" s="132" t="n">
        <f aca="false">Inputs!$C$38+$C43*Inputs!$C$39</f>
        <v>0.22</v>
      </c>
      <c r="J43" s="36" t="n">
        <f aca="false">Inputs!$C$9</f>
        <v>0.15</v>
      </c>
      <c r="K43" s="89" t="n">
        <f aca="false">IRR(W43:AG43,0.1)</f>
        <v>0.176095893384123</v>
      </c>
      <c r="L43" s="45" t="n">
        <f aca="false">W43+NPV($J43,X43:AG43)</f>
        <v>2194.02787206449</v>
      </c>
      <c r="M43" s="45" t="n">
        <f aca="false">SUM(BF43,BV43,CL43,DB43,DR43,EH43,EX43,FN43,GD43,GT43)</f>
        <v>53424.7735885052</v>
      </c>
      <c r="N43" s="43" t="n">
        <f aca="false">IF($D43*SUM(Inputs!$C$13:$L$13)=0,0,M43/($D43*SUM(Inputs!$C$13:$L$13)))</f>
        <v>2.67123867942526</v>
      </c>
      <c r="O43" s="42" t="n">
        <f aca="false">$D43*$E43*COLUMNS(Inputs!$C$13:$L$13)</f>
        <v>3000</v>
      </c>
      <c r="P43" s="45" t="n">
        <f aca="false">SUM(BG43,BW43,CM43,DC43,DS43,EI43,EY43,FO43,GE43,GU43)</f>
        <v>8356.1933971263</v>
      </c>
      <c r="Q43" s="42" t="n">
        <f aca="false">PV($J43,COLUMNS(Inputs!$C$13:$L$13),-$D43*$E43,0,1)</f>
        <v>1731.47517591971</v>
      </c>
      <c r="R43" s="45" t="n">
        <f aca="false">NPV($J43,BG43,BW43,CM43,DC43,DS43,EI43,EY43,FO43,GE43,GU43)</f>
        <v>2216.90743523053</v>
      </c>
      <c r="S43" s="45" t="n">
        <f aca="false">Q43+R43</f>
        <v>3948.38261115024</v>
      </c>
      <c r="T43" s="32" t="n">
        <f aca="false">IF(S43=0,0,Q43/S43)</f>
        <v>0.43852770778344</v>
      </c>
      <c r="U43" s="45" t="n">
        <f aca="false">ROUND(ABS(GK43)+ABS(SUM(AV43,BL43,CB43,CR43,DH43,DX43,EN43,FD43,FT43,GJ43)-M43-P43)+ABS(S43-(AH43+NPV($J43,AI43:AR43))),6)</f>
        <v>0</v>
      </c>
      <c r="W43" s="133" t="n">
        <f aca="false">-$D43*Inputs!$C$13</f>
        <v>-4000</v>
      </c>
      <c r="X43" s="133" t="n">
        <f aca="false">BF43-$D43*Inputs!$D$13</f>
        <v>-4000</v>
      </c>
      <c r="Y43" s="133" t="n">
        <f aca="false">BV43-$D43*Inputs!$E$13</f>
        <v>-4000</v>
      </c>
      <c r="Z43" s="133" t="n">
        <f aca="false">CL43-$D43*Inputs!$F$13</f>
        <v>-4000</v>
      </c>
      <c r="AA43" s="133" t="n">
        <f aca="false">DB43-$D43*Inputs!$G$13</f>
        <v>-4000</v>
      </c>
      <c r="AB43" s="133" t="n">
        <f aca="false">DR43-$D43*Inputs!$H$13</f>
        <v>6987.295135168</v>
      </c>
      <c r="AC43" s="133" t="n">
        <f aca="false">EH43-$D43*Inputs!$I$13</f>
        <v>6746.40005192397</v>
      </c>
      <c r="AD43" s="133" t="n">
        <f aca="false">EX43-$D43*Inputs!$J$13</f>
        <v>6462.29012312384</v>
      </c>
      <c r="AE43" s="133" t="n">
        <f aca="false">FN43-$D43*Inputs!$K$13</f>
        <v>5025.45246068922</v>
      </c>
      <c r="AF43" s="133" t="n">
        <f aca="false">GD43-$D43*Inputs!$L$13</f>
        <v>4846.28160163268</v>
      </c>
      <c r="AG43" s="84" t="n">
        <f aca="false">GT43</f>
        <v>23357.0542159675</v>
      </c>
      <c r="AH43" s="84" t="n">
        <f aca="false">$D43*$E43</f>
        <v>300</v>
      </c>
      <c r="AI43" s="84" t="n">
        <f aca="false">BG43+$D43*$E43</f>
        <v>300</v>
      </c>
      <c r="AJ43" s="84" t="n">
        <f aca="false">BW43+$D43*$E43</f>
        <v>300</v>
      </c>
      <c r="AK43" s="84" t="n">
        <f aca="false">CM43+$D43*$E43</f>
        <v>300</v>
      </c>
      <c r="AL43" s="84" t="n">
        <f aca="false">DC43+$D43*$E43</f>
        <v>300</v>
      </c>
      <c r="AM43" s="84" t="n">
        <f aca="false">DS43+$D43*$E43</f>
        <v>300</v>
      </c>
      <c r="AN43" s="84" t="n">
        <f aca="false">EI43+$D43*$E43</f>
        <v>300</v>
      </c>
      <c r="AO43" s="84" t="n">
        <f aca="false">EY43+$D43*$E43</f>
        <v>348.996327553952</v>
      </c>
      <c r="AP43" s="84" t="n">
        <f aca="false">FO43+$D43*$E43</f>
        <v>1556.36311517231</v>
      </c>
      <c r="AQ43" s="84" t="n">
        <f aca="false">GE43+$D43*$E43</f>
        <v>1511.57040040817</v>
      </c>
      <c r="AR43" s="84" t="n">
        <f aca="false">GU43</f>
        <v>5839.26355399187</v>
      </c>
      <c r="AT43" s="133" t="n">
        <f aca="false">$D43*Inputs!$C$13-$D43*$E43</f>
        <v>3700</v>
      </c>
      <c r="AU43" s="84" t="n">
        <f aca="false">AT43*(1+$I43)</f>
        <v>4514</v>
      </c>
      <c r="AV43" s="133" t="n">
        <f aca="false">AU43*Inputs!$C$14</f>
        <v>0</v>
      </c>
      <c r="AW43" s="84" t="n">
        <f aca="false">AU43-AV43</f>
        <v>4514</v>
      </c>
      <c r="AX43" s="133" t="n">
        <f aca="false">$D43*Inputs!$C$13</f>
        <v>4000</v>
      </c>
      <c r="AY43" s="84" t="n">
        <f aca="false">MIN(AV43,AX43)</f>
        <v>0</v>
      </c>
      <c r="AZ43" s="84" t="n">
        <f aca="false">AX43-AY43</f>
        <v>4000</v>
      </c>
      <c r="BA43" s="84" t="n">
        <f aca="false">$G43*AX43</f>
        <v>0</v>
      </c>
      <c r="BB43" s="84" t="n">
        <f aca="false">MIN(AV43-AY43,BA43)</f>
        <v>0</v>
      </c>
      <c r="BC43" s="84" t="n">
        <f aca="false">BA43-BB43</f>
        <v>0</v>
      </c>
      <c r="BD43" s="84" t="n">
        <f aca="false">IF($H43=1,MIN(AV43-AY43-BB43,MAX(0,$F43/(1-$F43)*BB43)),0)</f>
        <v>0</v>
      </c>
      <c r="BE43" s="84" t="n">
        <f aca="false">AV43-AY43-BB43-BD43</f>
        <v>0</v>
      </c>
      <c r="BF43" s="84" t="n">
        <f aca="false">AY43+BB43+(1-$F43)*BE43</f>
        <v>0</v>
      </c>
      <c r="BG43" s="84" t="n">
        <f aca="false">BD43+$F43*BE43</f>
        <v>0</v>
      </c>
      <c r="BH43" s="84" t="n">
        <f aca="false">BB43+(1-$F43)*BE43</f>
        <v>0</v>
      </c>
      <c r="BI43" s="84" t="n">
        <f aca="false">BG43</f>
        <v>0</v>
      </c>
      <c r="BJ43" s="133" t="n">
        <f aca="false">AW43+$D43*Inputs!$D$13-$D43*$E43</f>
        <v>8214</v>
      </c>
      <c r="BK43" s="84" t="n">
        <f aca="false">BJ43*(1+$I43)</f>
        <v>10021.08</v>
      </c>
      <c r="BL43" s="133" t="n">
        <f aca="false">BK43*Inputs!$D$14</f>
        <v>0</v>
      </c>
      <c r="BM43" s="84" t="n">
        <f aca="false">BK43-BL43</f>
        <v>10021.08</v>
      </c>
      <c r="BN43" s="133" t="n">
        <f aca="false">AZ43+$D43*Inputs!$D$13</f>
        <v>8000</v>
      </c>
      <c r="BO43" s="84" t="n">
        <f aca="false">MIN(BL43,BN43)</f>
        <v>0</v>
      </c>
      <c r="BP43" s="84" t="n">
        <f aca="false">BN43-BO43</f>
        <v>8000</v>
      </c>
      <c r="BQ43" s="84" t="n">
        <f aca="false">BC43+$G43*(BN43+BC43)</f>
        <v>0</v>
      </c>
      <c r="BR43" s="84" t="n">
        <f aca="false">MIN(BL43-BO43,BQ43)</f>
        <v>0</v>
      </c>
      <c r="BS43" s="84" t="n">
        <f aca="false">BQ43-BR43</f>
        <v>0</v>
      </c>
      <c r="BT43" s="84" t="n">
        <f aca="false">IF($H43=1,MIN(BL43-BO43-BR43,MAX(0,$F43/(1-$F43)*(BH43+BR43)-BI43)),0)</f>
        <v>0</v>
      </c>
      <c r="BU43" s="84" t="n">
        <f aca="false">BL43-BO43-BR43-BT43</f>
        <v>0</v>
      </c>
      <c r="BV43" s="84" t="n">
        <f aca="false">BO43+BR43+(1-$F43)*BU43</f>
        <v>0</v>
      </c>
      <c r="BW43" s="84" t="n">
        <f aca="false">BT43+$F43*BU43</f>
        <v>0</v>
      </c>
      <c r="BX43" s="84" t="n">
        <f aca="false">BH43+BR43+(1-$F43)*BU43</f>
        <v>0</v>
      </c>
      <c r="BY43" s="84" t="n">
        <f aca="false">BI43+BW43</f>
        <v>0</v>
      </c>
      <c r="BZ43" s="133" t="n">
        <f aca="false">BM43+$D43*Inputs!$E$13-$D43*$E43</f>
        <v>13721.08</v>
      </c>
      <c r="CA43" s="84" t="n">
        <f aca="false">BZ43*(1+$I43)</f>
        <v>16739.7176</v>
      </c>
      <c r="CB43" s="133" t="n">
        <f aca="false">CA43*Inputs!$E$14</f>
        <v>0</v>
      </c>
      <c r="CC43" s="84" t="n">
        <f aca="false">CA43-CB43</f>
        <v>16739.7176</v>
      </c>
      <c r="CD43" s="133" t="n">
        <f aca="false">BP43+$D43*Inputs!$E$13</f>
        <v>12000</v>
      </c>
      <c r="CE43" s="84" t="n">
        <f aca="false">MIN(CB43,CD43)</f>
        <v>0</v>
      </c>
      <c r="CF43" s="84" t="n">
        <f aca="false">CD43-CE43</f>
        <v>12000</v>
      </c>
      <c r="CG43" s="84" t="n">
        <f aca="false">BS43+$G43*(CD43+BS43)</f>
        <v>0</v>
      </c>
      <c r="CH43" s="84" t="n">
        <f aca="false">MIN(CB43-CE43,CG43)</f>
        <v>0</v>
      </c>
      <c r="CI43" s="84" t="n">
        <f aca="false">CG43-CH43</f>
        <v>0</v>
      </c>
      <c r="CJ43" s="84" t="n">
        <f aca="false">IF($H43=1,MIN(CB43-CE43-CH43,MAX(0,$F43/(1-$F43)*(BX43+CH43)-BY43)),0)</f>
        <v>0</v>
      </c>
      <c r="CK43" s="84" t="n">
        <f aca="false">CB43-CE43-CH43-CJ43</f>
        <v>0</v>
      </c>
      <c r="CL43" s="84" t="n">
        <f aca="false">CE43+CH43+(1-$F43)*CK43</f>
        <v>0</v>
      </c>
      <c r="CM43" s="84" t="n">
        <f aca="false">CJ43+$F43*CK43</f>
        <v>0</v>
      </c>
      <c r="CN43" s="84" t="n">
        <f aca="false">BX43+CH43+(1-$F43)*CK43</f>
        <v>0</v>
      </c>
      <c r="CO43" s="84" t="n">
        <f aca="false">BY43+CM43</f>
        <v>0</v>
      </c>
      <c r="CP43" s="133" t="n">
        <f aca="false">CC43+$D43*Inputs!$F$13-$D43*$E43</f>
        <v>20439.7176</v>
      </c>
      <c r="CQ43" s="84" t="n">
        <f aca="false">CP43*(1+$I43)</f>
        <v>24936.455472</v>
      </c>
      <c r="CR43" s="133" t="n">
        <f aca="false">CQ43*Inputs!$F$14</f>
        <v>0</v>
      </c>
      <c r="CS43" s="84" t="n">
        <f aca="false">CQ43-CR43</f>
        <v>24936.455472</v>
      </c>
      <c r="CT43" s="133" t="n">
        <f aca="false">CF43+$D43*Inputs!$F$13</f>
        <v>16000</v>
      </c>
      <c r="CU43" s="84" t="n">
        <f aca="false">MIN(CR43,CT43)</f>
        <v>0</v>
      </c>
      <c r="CV43" s="84" t="n">
        <f aca="false">CT43-CU43</f>
        <v>16000</v>
      </c>
      <c r="CW43" s="84" t="n">
        <f aca="false">CI43+$G43*(CT43+CI43)</f>
        <v>0</v>
      </c>
      <c r="CX43" s="84" t="n">
        <f aca="false">MIN(CR43-CU43,CW43)</f>
        <v>0</v>
      </c>
      <c r="CY43" s="84" t="n">
        <f aca="false">CW43-CX43</f>
        <v>0</v>
      </c>
      <c r="CZ43" s="84" t="n">
        <f aca="false">IF($H43=1,MIN(CR43-CU43-CX43,MAX(0,$F43/(1-$F43)*(CN43+CX43)-CO43)),0)</f>
        <v>0</v>
      </c>
      <c r="DA43" s="84" t="n">
        <f aca="false">CR43-CU43-CX43-CZ43</f>
        <v>0</v>
      </c>
      <c r="DB43" s="84" t="n">
        <f aca="false">CU43+CX43+(1-$F43)*DA43</f>
        <v>0</v>
      </c>
      <c r="DC43" s="84" t="n">
        <f aca="false">CZ43+$F43*DA43</f>
        <v>0</v>
      </c>
      <c r="DD43" s="84" t="n">
        <f aca="false">CN43+CX43+(1-$F43)*DA43</f>
        <v>0</v>
      </c>
      <c r="DE43" s="84" t="n">
        <f aca="false">CO43+DC43</f>
        <v>0</v>
      </c>
      <c r="DF43" s="133" t="n">
        <f aca="false">CS43+$D43*Inputs!$G$13-$D43*$E43</f>
        <v>28636.455472</v>
      </c>
      <c r="DG43" s="84" t="n">
        <f aca="false">DF43*(1+$I43)</f>
        <v>34936.47567584</v>
      </c>
      <c r="DH43" s="133" t="n">
        <f aca="false">DG43*Inputs!$G$14</f>
        <v>6987.295135168</v>
      </c>
      <c r="DI43" s="84" t="n">
        <f aca="false">DG43-DH43</f>
        <v>27949.180540672</v>
      </c>
      <c r="DJ43" s="133" t="n">
        <f aca="false">CV43+$D43*Inputs!$G$13</f>
        <v>20000</v>
      </c>
      <c r="DK43" s="84" t="n">
        <f aca="false">MIN(DH43,DJ43)</f>
        <v>6987.295135168</v>
      </c>
      <c r="DL43" s="84" t="n">
        <f aca="false">DJ43-DK43</f>
        <v>13012.704864832</v>
      </c>
      <c r="DM43" s="84" t="n">
        <f aca="false">CY43+$G43*(DJ43+CY43)</f>
        <v>0</v>
      </c>
      <c r="DN43" s="84" t="n">
        <f aca="false">MIN(DH43-DK43,DM43)</f>
        <v>0</v>
      </c>
      <c r="DO43" s="84" t="n">
        <f aca="false">DM43-DN43</f>
        <v>0</v>
      </c>
      <c r="DP43" s="84" t="n">
        <f aca="false">IF($H43=1,MIN(DH43-DK43-DN43,MAX(0,$F43/(1-$F43)*(DD43+DN43)-DE43)),0)</f>
        <v>0</v>
      </c>
      <c r="DQ43" s="84" t="n">
        <f aca="false">DH43-DK43-DN43-DP43</f>
        <v>0</v>
      </c>
      <c r="DR43" s="84" t="n">
        <f aca="false">DK43+DN43+(1-$F43)*DQ43</f>
        <v>6987.295135168</v>
      </c>
      <c r="DS43" s="84" t="n">
        <f aca="false">DP43+$F43*DQ43</f>
        <v>0</v>
      </c>
      <c r="DT43" s="84" t="n">
        <f aca="false">DD43+DN43+(1-$F43)*DQ43</f>
        <v>0</v>
      </c>
      <c r="DU43" s="84" t="n">
        <f aca="false">DE43+DS43</f>
        <v>0</v>
      </c>
      <c r="DV43" s="133" t="n">
        <f aca="false">DI43+$D43*Inputs!$H$13-$D43*$E43</f>
        <v>27649.180540672</v>
      </c>
      <c r="DW43" s="84" t="n">
        <f aca="false">DV43*(1+$I43)</f>
        <v>33732.0002596198</v>
      </c>
      <c r="DX43" s="133" t="n">
        <f aca="false">DW43*Inputs!$H$14</f>
        <v>6746.40005192397</v>
      </c>
      <c r="DY43" s="84" t="n">
        <f aca="false">DW43-DX43</f>
        <v>26985.6002076959</v>
      </c>
      <c r="DZ43" s="133" t="n">
        <f aca="false">DL43+$D43*Inputs!$H$13</f>
        <v>13012.704864832</v>
      </c>
      <c r="EA43" s="84" t="n">
        <f aca="false">MIN(DX43,DZ43)</f>
        <v>6746.40005192397</v>
      </c>
      <c r="EB43" s="84" t="n">
        <f aca="false">DZ43-EA43</f>
        <v>6266.30481290803</v>
      </c>
      <c r="EC43" s="84" t="n">
        <f aca="false">DO43+$G43*(DZ43+DO43)</f>
        <v>0</v>
      </c>
      <c r="ED43" s="84" t="n">
        <f aca="false">MIN(DX43-EA43,EC43)</f>
        <v>0</v>
      </c>
      <c r="EE43" s="84" t="n">
        <f aca="false">EC43-ED43</f>
        <v>0</v>
      </c>
      <c r="EF43" s="84" t="n">
        <f aca="false">IF($H43=1,MIN(DX43-EA43-ED43,MAX(0,$F43/(1-$F43)*(DT43+ED43)-DU43)),0)</f>
        <v>0</v>
      </c>
      <c r="EG43" s="84" t="n">
        <f aca="false">DX43-EA43-ED43-EF43</f>
        <v>0</v>
      </c>
      <c r="EH43" s="84" t="n">
        <f aca="false">EA43+ED43+(1-$F43)*EG43</f>
        <v>6746.40005192397</v>
      </c>
      <c r="EI43" s="84" t="n">
        <f aca="false">EF43+$F43*EG43</f>
        <v>0</v>
      </c>
      <c r="EJ43" s="84" t="n">
        <f aca="false">DT43+ED43+(1-$F43)*EG43</f>
        <v>0</v>
      </c>
      <c r="EK43" s="84" t="n">
        <f aca="false">DU43+EI43</f>
        <v>0</v>
      </c>
      <c r="EL43" s="133" t="n">
        <f aca="false">DY43+$D43*Inputs!$I$13-$D43*$E43</f>
        <v>26685.6002076959</v>
      </c>
      <c r="EM43" s="84" t="n">
        <f aca="false">EL43*(1+$I43)</f>
        <v>32556.432253389</v>
      </c>
      <c r="EN43" s="133" t="n">
        <f aca="false">EM43*Inputs!$I$14</f>
        <v>6511.28645067779</v>
      </c>
      <c r="EO43" s="84" t="n">
        <f aca="false">EM43-EN43</f>
        <v>26045.1458027112</v>
      </c>
      <c r="EP43" s="133" t="n">
        <f aca="false">EB43+$D43*Inputs!$I$13</f>
        <v>6266.30481290803</v>
      </c>
      <c r="EQ43" s="84" t="n">
        <f aca="false">MIN(EN43,EP43)</f>
        <v>6266.30481290803</v>
      </c>
      <c r="ER43" s="84" t="n">
        <f aca="false">EP43-EQ43</f>
        <v>0</v>
      </c>
      <c r="ES43" s="84" t="n">
        <f aca="false">EE43+$G43*(EP43+EE43)</f>
        <v>0</v>
      </c>
      <c r="ET43" s="84" t="n">
        <f aca="false">MIN(EN43-EQ43,ES43)</f>
        <v>0</v>
      </c>
      <c r="EU43" s="84" t="n">
        <f aca="false">ES43-ET43</f>
        <v>0</v>
      </c>
      <c r="EV43" s="84" t="n">
        <f aca="false">IF($H43=1,MIN(EN43-EQ43-ET43,MAX(0,$F43/(1-$F43)*(EJ43+ET43)-EK43)),0)</f>
        <v>0</v>
      </c>
      <c r="EW43" s="84" t="n">
        <f aca="false">EN43-EQ43-ET43-EV43</f>
        <v>244.98163776976</v>
      </c>
      <c r="EX43" s="84" t="n">
        <f aca="false">EQ43+ET43+(1-$F43)*EW43</f>
        <v>6462.29012312384</v>
      </c>
      <c r="EY43" s="84" t="n">
        <f aca="false">EV43+$F43*EW43</f>
        <v>48.996327553952</v>
      </c>
      <c r="EZ43" s="84" t="n">
        <f aca="false">EJ43+ET43+(1-$F43)*EW43</f>
        <v>195.985310215808</v>
      </c>
      <c r="FA43" s="84" t="n">
        <f aca="false">EK43+EY43</f>
        <v>48.996327553952</v>
      </c>
      <c r="FB43" s="133" t="n">
        <f aca="false">EO43+$D43*Inputs!$J$13-$D43*$E43</f>
        <v>25745.1458027112</v>
      </c>
      <c r="FC43" s="84" t="n">
        <f aca="false">FB43*(1+$I43)</f>
        <v>31409.0778793076</v>
      </c>
      <c r="FD43" s="133" t="n">
        <f aca="false">FC43*Inputs!$J$14</f>
        <v>6281.81557586153</v>
      </c>
      <c r="FE43" s="84" t="n">
        <f aca="false">FC43-FD43</f>
        <v>25127.2623034461</v>
      </c>
      <c r="FF43" s="133" t="n">
        <f aca="false">ER43+$D43*Inputs!$J$13</f>
        <v>0</v>
      </c>
      <c r="FG43" s="84" t="n">
        <f aca="false">MIN(FD43,FF43)</f>
        <v>0</v>
      </c>
      <c r="FH43" s="84" t="n">
        <f aca="false">FF43-FG43</f>
        <v>0</v>
      </c>
      <c r="FI43" s="84" t="n">
        <f aca="false">EU43+$G43*(FF43+EU43)</f>
        <v>0</v>
      </c>
      <c r="FJ43" s="84" t="n">
        <f aca="false">MIN(FD43-FG43,FI43)</f>
        <v>0</v>
      </c>
      <c r="FK43" s="84" t="n">
        <f aca="false">FI43-FJ43</f>
        <v>0</v>
      </c>
      <c r="FL43" s="84" t="n">
        <f aca="false">IF($H43=1,MIN(FD43-FG43-FJ43,MAX(0,$F43/(1-$F43)*(EZ43+FJ43)-FA43)),0)</f>
        <v>0</v>
      </c>
      <c r="FM43" s="84" t="n">
        <f aca="false">FD43-FG43-FJ43-FL43</f>
        <v>6281.81557586153</v>
      </c>
      <c r="FN43" s="84" t="n">
        <f aca="false">FG43+FJ43+(1-$F43)*FM43</f>
        <v>5025.45246068922</v>
      </c>
      <c r="FO43" s="84" t="n">
        <f aca="false">FL43+$F43*FM43</f>
        <v>1256.36311517231</v>
      </c>
      <c r="FP43" s="84" t="n">
        <f aca="false">EZ43+FJ43+(1-$F43)*FM43</f>
        <v>5221.43777090503</v>
      </c>
      <c r="FQ43" s="84" t="n">
        <f aca="false">FA43+FO43</f>
        <v>1305.35944272626</v>
      </c>
      <c r="FR43" s="133" t="n">
        <f aca="false">FE43+$D43*Inputs!$K$13-$D43*$E43</f>
        <v>24827.2623034461</v>
      </c>
      <c r="FS43" s="84" t="n">
        <f aca="false">FR43*(1+$I43)</f>
        <v>30289.2600102043</v>
      </c>
      <c r="FT43" s="133" t="n">
        <f aca="false">FS43*Inputs!$K$14</f>
        <v>6057.85200204085</v>
      </c>
      <c r="FU43" s="84" t="n">
        <f aca="false">FS43-FT43</f>
        <v>24231.4080081634</v>
      </c>
      <c r="FV43" s="133" t="n">
        <f aca="false">FH43+$D43*Inputs!$K$13</f>
        <v>0</v>
      </c>
      <c r="FW43" s="84" t="n">
        <f aca="false">MIN(FT43,FV43)</f>
        <v>0</v>
      </c>
      <c r="FX43" s="84" t="n">
        <f aca="false">FV43-FW43</f>
        <v>0</v>
      </c>
      <c r="FY43" s="84" t="n">
        <f aca="false">FK43+$G43*(FV43+FK43)</f>
        <v>0</v>
      </c>
      <c r="FZ43" s="84" t="n">
        <f aca="false">MIN(FT43-FW43,FY43)</f>
        <v>0</v>
      </c>
      <c r="GA43" s="84" t="n">
        <f aca="false">FY43-FZ43</f>
        <v>0</v>
      </c>
      <c r="GB43" s="84" t="n">
        <f aca="false">IF($H43=1,MIN(FT43-FW43-FZ43,MAX(0,$F43/(1-$F43)*(FP43+FZ43)-FQ43)),0)</f>
        <v>0</v>
      </c>
      <c r="GC43" s="84" t="n">
        <f aca="false">FT43-FW43-FZ43-GB43</f>
        <v>6057.85200204085</v>
      </c>
      <c r="GD43" s="84" t="n">
        <f aca="false">FW43+FZ43+(1-$F43)*GC43</f>
        <v>4846.28160163268</v>
      </c>
      <c r="GE43" s="84" t="n">
        <f aca="false">GB43+$F43*GC43</f>
        <v>1211.57040040817</v>
      </c>
      <c r="GF43" s="84" t="n">
        <f aca="false">FP43+FZ43+(1-$F43)*GC43</f>
        <v>10067.7193725377</v>
      </c>
      <c r="GG43" s="84" t="n">
        <f aca="false">FQ43+GE43</f>
        <v>2516.92984313443</v>
      </c>
      <c r="GH43" s="133" t="n">
        <f aca="false">FU43+$D43*Inputs!$L$13-$D43*$E43</f>
        <v>23931.4080081634</v>
      </c>
      <c r="GI43" s="84" t="n">
        <f aca="false">GH43*(1+$I43)</f>
        <v>29196.3177699593</v>
      </c>
      <c r="GJ43" s="133" t="n">
        <f aca="false">GI43*Inputs!$L$14</f>
        <v>29196.3177699593</v>
      </c>
      <c r="GK43" s="84" t="n">
        <f aca="false">GI43-GJ43</f>
        <v>0</v>
      </c>
      <c r="GL43" s="133" t="n">
        <f aca="false">FX43+$D43*Inputs!$L$13</f>
        <v>0</v>
      </c>
      <c r="GM43" s="84" t="n">
        <f aca="false">MIN(GJ43,GL43)</f>
        <v>0</v>
      </c>
      <c r="GN43" s="84" t="n">
        <f aca="false">GL43-GM43</f>
        <v>0</v>
      </c>
      <c r="GO43" s="84" t="n">
        <f aca="false">GA43+$G43*(GL43+GA43)</f>
        <v>0</v>
      </c>
      <c r="GP43" s="84" t="n">
        <f aca="false">MIN(GJ43-GM43,GO43)</f>
        <v>0</v>
      </c>
      <c r="GQ43" s="84" t="n">
        <f aca="false">GO43-GP43</f>
        <v>0</v>
      </c>
      <c r="GR43" s="84" t="n">
        <f aca="false">IF($H43=1,MIN(GJ43-GM43-GP43,MAX(0,$F43/(1-$F43)*(GF43+GP43)-GG43)),0)</f>
        <v>0</v>
      </c>
      <c r="GS43" s="84" t="n">
        <f aca="false">GJ43-GM43-GP43-GR43</f>
        <v>29196.3177699593</v>
      </c>
      <c r="GT43" s="84" t="n">
        <f aca="false">GM43+GP43+(1-$F43)*GS43</f>
        <v>23357.0542159675</v>
      </c>
      <c r="GU43" s="84" t="n">
        <f aca="false">GR43+$F43*GS43</f>
        <v>5839.26355399187</v>
      </c>
      <c r="GV43" s="84" t="n">
        <f aca="false">GF43+GP43+(1-$F43)*GS43</f>
        <v>33424.7735885052</v>
      </c>
      <c r="GW43" s="84" t="n">
        <f aca="false">GG43+GU43</f>
        <v>8356.1933971263</v>
      </c>
    </row>
    <row r="44" customFormat="false" ht="15" hidden="false" customHeight="false" outlineLevel="0" collapsed="false">
      <c r="A44" s="5" t="s">
        <v>635</v>
      </c>
      <c r="B44" s="5" t="s">
        <v>636</v>
      </c>
      <c r="C44" s="135" t="n">
        <v>23</v>
      </c>
      <c r="D44" s="47" t="n">
        <f aca="false">Inputs!$C$6</f>
        <v>20000</v>
      </c>
      <c r="E44" s="35" t="n">
        <f aca="false">Inputs!$C$18</f>
        <v>0.015</v>
      </c>
      <c r="F44" s="36" t="n">
        <f aca="false">Inputs!$C$20</f>
        <v>0.2</v>
      </c>
      <c r="G44" s="30" t="n">
        <v>0</v>
      </c>
      <c r="H44" s="27" t="n">
        <v>0</v>
      </c>
      <c r="I44" s="132" t="n">
        <f aca="false">Inputs!$C$38+$C44*Inputs!$C$39</f>
        <v>0.23</v>
      </c>
      <c r="J44" s="36" t="n">
        <f aca="false">Inputs!$C$9</f>
        <v>0.15</v>
      </c>
      <c r="K44" s="89" t="n">
        <f aca="false">IRR(W44:AG44,0.1)</f>
        <v>0.185484674192742</v>
      </c>
      <c r="L44" s="45" t="n">
        <f aca="false">W44+NPV($J44,X44:AG44)</f>
        <v>3059.8897794602</v>
      </c>
      <c r="M44" s="45" t="n">
        <f aca="false">SUM(BF44,BV44,CL44,DB44,DR44,EH44,EX44,FN44,GD44,GT44)</f>
        <v>56329.0673657122</v>
      </c>
      <c r="N44" s="43" t="n">
        <f aca="false">IF($D44*SUM(Inputs!$C$13:$L$13)=0,0,M44/($D44*SUM(Inputs!$C$13:$L$13)))</f>
        <v>2.81645336828561</v>
      </c>
      <c r="O44" s="42" t="n">
        <f aca="false">$D44*$E44*COLUMNS(Inputs!$C$13:$L$13)</f>
        <v>3000</v>
      </c>
      <c r="P44" s="45" t="n">
        <f aca="false">SUM(BG44,BW44,CM44,DC44,DS44,EI44,EY44,FO44,GE44,GU44)</f>
        <v>9082.26684142806</v>
      </c>
      <c r="Q44" s="42" t="n">
        <f aca="false">PV($J44,COLUMNS(Inputs!$C$13:$L$13),-$D44*$E44,0,1)</f>
        <v>1731.47517591971</v>
      </c>
      <c r="R44" s="45" t="n">
        <f aca="false">NPV($J44,BG44,BW44,CM44,DC44,DS44,EI44,EY44,FO44,GE44,GU44)</f>
        <v>2423.90804714088</v>
      </c>
      <c r="S44" s="45" t="n">
        <f aca="false">Q44+R44</f>
        <v>4155.38322306059</v>
      </c>
      <c r="T44" s="32" t="n">
        <f aca="false">IF(S44=0,0,Q44/S44)</f>
        <v>0.416682429266876</v>
      </c>
      <c r="U44" s="45" t="n">
        <f aca="false">ROUND(ABS(GK44)+ABS(SUM(AV44,BL44,CB44,CR44,DH44,DX44,EN44,FD44,FT44,GJ44)-M44-P44)+ABS(S44-(AH44+NPV($J44,AI44:AR44))),6)</f>
        <v>0</v>
      </c>
      <c r="W44" s="133" t="n">
        <f aca="false">-$D44*Inputs!$C$13</f>
        <v>-4000</v>
      </c>
      <c r="X44" s="133" t="n">
        <f aca="false">BF44-$D44*Inputs!$D$13</f>
        <v>-4000</v>
      </c>
      <c r="Y44" s="133" t="n">
        <f aca="false">BV44-$D44*Inputs!$E$13</f>
        <v>-4000</v>
      </c>
      <c r="Z44" s="133" t="n">
        <f aca="false">CL44-$D44*Inputs!$F$13</f>
        <v>-4000</v>
      </c>
      <c r="AA44" s="133" t="n">
        <f aca="false">DB44-$D44*Inputs!$G$13</f>
        <v>-4000</v>
      </c>
      <c r="AB44" s="133" t="n">
        <f aca="false">DR44-$D44*Inputs!$H$13</f>
        <v>7183.874929782</v>
      </c>
      <c r="AC44" s="133" t="n">
        <f aca="false">EH44-$D44*Inputs!$I$13</f>
        <v>6995.13293090549</v>
      </c>
      <c r="AD44" s="133" t="n">
        <f aca="false">EX44-$D44*Inputs!$J$13</f>
        <v>6611.7270710713</v>
      </c>
      <c r="AE44" s="133" t="n">
        <f aca="false">FN44-$D44*Inputs!$K$13</f>
        <v>5301.32818491746</v>
      </c>
      <c r="AF44" s="133" t="n">
        <f aca="false">GD44-$D44*Inputs!$L$13</f>
        <v>5157.46693395878</v>
      </c>
      <c r="AG44" s="84" t="n">
        <f aca="false">GT44</f>
        <v>25079.5373150772</v>
      </c>
      <c r="AH44" s="84" t="n">
        <f aca="false">$D44*$E44</f>
        <v>300</v>
      </c>
      <c r="AI44" s="84" t="n">
        <f aca="false">BG44+$D44*$E44</f>
        <v>300</v>
      </c>
      <c r="AJ44" s="84" t="n">
        <f aca="false">BW44+$D44*$E44</f>
        <v>300</v>
      </c>
      <c r="AK44" s="84" t="n">
        <f aca="false">CM44+$D44*$E44</f>
        <v>300</v>
      </c>
      <c r="AL44" s="84" t="n">
        <f aca="false">DC44+$D44*$E44</f>
        <v>300</v>
      </c>
      <c r="AM44" s="84" t="n">
        <f aca="false">DS44+$D44*$E44</f>
        <v>300</v>
      </c>
      <c r="AN44" s="84" t="n">
        <f aca="false">EI44+$D44*$E44</f>
        <v>300</v>
      </c>
      <c r="AO44" s="84" t="n">
        <f aca="false">EY44+$D44*$E44</f>
        <v>497.683732939698</v>
      </c>
      <c r="AP44" s="84" t="n">
        <f aca="false">FO44+$D44*$E44</f>
        <v>1625.33204622937</v>
      </c>
      <c r="AQ44" s="84" t="n">
        <f aca="false">GE44+$D44*$E44</f>
        <v>1589.3667334897</v>
      </c>
      <c r="AR44" s="84" t="n">
        <f aca="false">GU44</f>
        <v>6269.8843287693</v>
      </c>
      <c r="AT44" s="133" t="n">
        <f aca="false">$D44*Inputs!$C$13-$D44*$E44</f>
        <v>3700</v>
      </c>
      <c r="AU44" s="84" t="n">
        <f aca="false">AT44*(1+$I44)</f>
        <v>4551</v>
      </c>
      <c r="AV44" s="133" t="n">
        <f aca="false">AU44*Inputs!$C$14</f>
        <v>0</v>
      </c>
      <c r="AW44" s="84" t="n">
        <f aca="false">AU44-AV44</f>
        <v>4551</v>
      </c>
      <c r="AX44" s="133" t="n">
        <f aca="false">$D44*Inputs!$C$13</f>
        <v>4000</v>
      </c>
      <c r="AY44" s="84" t="n">
        <f aca="false">MIN(AV44,AX44)</f>
        <v>0</v>
      </c>
      <c r="AZ44" s="84" t="n">
        <f aca="false">AX44-AY44</f>
        <v>4000</v>
      </c>
      <c r="BA44" s="84" t="n">
        <f aca="false">$G44*AX44</f>
        <v>0</v>
      </c>
      <c r="BB44" s="84" t="n">
        <f aca="false">MIN(AV44-AY44,BA44)</f>
        <v>0</v>
      </c>
      <c r="BC44" s="84" t="n">
        <f aca="false">BA44-BB44</f>
        <v>0</v>
      </c>
      <c r="BD44" s="84" t="n">
        <f aca="false">IF($H44=1,MIN(AV44-AY44-BB44,MAX(0,$F44/(1-$F44)*BB44)),0)</f>
        <v>0</v>
      </c>
      <c r="BE44" s="84" t="n">
        <f aca="false">AV44-AY44-BB44-BD44</f>
        <v>0</v>
      </c>
      <c r="BF44" s="84" t="n">
        <f aca="false">AY44+BB44+(1-$F44)*BE44</f>
        <v>0</v>
      </c>
      <c r="BG44" s="84" t="n">
        <f aca="false">BD44+$F44*BE44</f>
        <v>0</v>
      </c>
      <c r="BH44" s="84" t="n">
        <f aca="false">BB44+(1-$F44)*BE44</f>
        <v>0</v>
      </c>
      <c r="BI44" s="84" t="n">
        <f aca="false">BG44</f>
        <v>0</v>
      </c>
      <c r="BJ44" s="133" t="n">
        <f aca="false">AW44+$D44*Inputs!$D$13-$D44*$E44</f>
        <v>8251</v>
      </c>
      <c r="BK44" s="84" t="n">
        <f aca="false">BJ44*(1+$I44)</f>
        <v>10148.73</v>
      </c>
      <c r="BL44" s="133" t="n">
        <f aca="false">BK44*Inputs!$D$14</f>
        <v>0</v>
      </c>
      <c r="BM44" s="84" t="n">
        <f aca="false">BK44-BL44</f>
        <v>10148.73</v>
      </c>
      <c r="BN44" s="133" t="n">
        <f aca="false">AZ44+$D44*Inputs!$D$13</f>
        <v>8000</v>
      </c>
      <c r="BO44" s="84" t="n">
        <f aca="false">MIN(BL44,BN44)</f>
        <v>0</v>
      </c>
      <c r="BP44" s="84" t="n">
        <f aca="false">BN44-BO44</f>
        <v>8000</v>
      </c>
      <c r="BQ44" s="84" t="n">
        <f aca="false">BC44+$G44*(BN44+BC44)</f>
        <v>0</v>
      </c>
      <c r="BR44" s="84" t="n">
        <f aca="false">MIN(BL44-BO44,BQ44)</f>
        <v>0</v>
      </c>
      <c r="BS44" s="84" t="n">
        <f aca="false">BQ44-BR44</f>
        <v>0</v>
      </c>
      <c r="BT44" s="84" t="n">
        <f aca="false">IF($H44=1,MIN(BL44-BO44-BR44,MAX(0,$F44/(1-$F44)*(BH44+BR44)-BI44)),0)</f>
        <v>0</v>
      </c>
      <c r="BU44" s="84" t="n">
        <f aca="false">BL44-BO44-BR44-BT44</f>
        <v>0</v>
      </c>
      <c r="BV44" s="84" t="n">
        <f aca="false">BO44+BR44+(1-$F44)*BU44</f>
        <v>0</v>
      </c>
      <c r="BW44" s="84" t="n">
        <f aca="false">BT44+$F44*BU44</f>
        <v>0</v>
      </c>
      <c r="BX44" s="84" t="n">
        <f aca="false">BH44+BR44+(1-$F44)*BU44</f>
        <v>0</v>
      </c>
      <c r="BY44" s="84" t="n">
        <f aca="false">BI44+BW44</f>
        <v>0</v>
      </c>
      <c r="BZ44" s="133" t="n">
        <f aca="false">BM44+$D44*Inputs!$E$13-$D44*$E44</f>
        <v>13848.73</v>
      </c>
      <c r="CA44" s="84" t="n">
        <f aca="false">BZ44*(1+$I44)</f>
        <v>17033.9379</v>
      </c>
      <c r="CB44" s="133" t="n">
        <f aca="false">CA44*Inputs!$E$14</f>
        <v>0</v>
      </c>
      <c r="CC44" s="84" t="n">
        <f aca="false">CA44-CB44</f>
        <v>17033.9379</v>
      </c>
      <c r="CD44" s="133" t="n">
        <f aca="false">BP44+$D44*Inputs!$E$13</f>
        <v>12000</v>
      </c>
      <c r="CE44" s="84" t="n">
        <f aca="false">MIN(CB44,CD44)</f>
        <v>0</v>
      </c>
      <c r="CF44" s="84" t="n">
        <f aca="false">CD44-CE44</f>
        <v>12000</v>
      </c>
      <c r="CG44" s="84" t="n">
        <f aca="false">BS44+$G44*(CD44+BS44)</f>
        <v>0</v>
      </c>
      <c r="CH44" s="84" t="n">
        <f aca="false">MIN(CB44-CE44,CG44)</f>
        <v>0</v>
      </c>
      <c r="CI44" s="84" t="n">
        <f aca="false">CG44-CH44</f>
        <v>0</v>
      </c>
      <c r="CJ44" s="84" t="n">
        <f aca="false">IF($H44=1,MIN(CB44-CE44-CH44,MAX(0,$F44/(1-$F44)*(BX44+CH44)-BY44)),0)</f>
        <v>0</v>
      </c>
      <c r="CK44" s="84" t="n">
        <f aca="false">CB44-CE44-CH44-CJ44</f>
        <v>0</v>
      </c>
      <c r="CL44" s="84" t="n">
        <f aca="false">CE44+CH44+(1-$F44)*CK44</f>
        <v>0</v>
      </c>
      <c r="CM44" s="84" t="n">
        <f aca="false">CJ44+$F44*CK44</f>
        <v>0</v>
      </c>
      <c r="CN44" s="84" t="n">
        <f aca="false">BX44+CH44+(1-$F44)*CK44</f>
        <v>0</v>
      </c>
      <c r="CO44" s="84" t="n">
        <f aca="false">BY44+CM44</f>
        <v>0</v>
      </c>
      <c r="CP44" s="133" t="n">
        <f aca="false">CC44+$D44*Inputs!$F$13-$D44*$E44</f>
        <v>20733.9379</v>
      </c>
      <c r="CQ44" s="84" t="n">
        <f aca="false">CP44*(1+$I44)</f>
        <v>25502.743617</v>
      </c>
      <c r="CR44" s="133" t="n">
        <f aca="false">CQ44*Inputs!$F$14</f>
        <v>0</v>
      </c>
      <c r="CS44" s="84" t="n">
        <f aca="false">CQ44-CR44</f>
        <v>25502.743617</v>
      </c>
      <c r="CT44" s="133" t="n">
        <f aca="false">CF44+$D44*Inputs!$F$13</f>
        <v>16000</v>
      </c>
      <c r="CU44" s="84" t="n">
        <f aca="false">MIN(CR44,CT44)</f>
        <v>0</v>
      </c>
      <c r="CV44" s="84" t="n">
        <f aca="false">CT44-CU44</f>
        <v>16000</v>
      </c>
      <c r="CW44" s="84" t="n">
        <f aca="false">CI44+$G44*(CT44+CI44)</f>
        <v>0</v>
      </c>
      <c r="CX44" s="84" t="n">
        <f aca="false">MIN(CR44-CU44,CW44)</f>
        <v>0</v>
      </c>
      <c r="CY44" s="84" t="n">
        <f aca="false">CW44-CX44</f>
        <v>0</v>
      </c>
      <c r="CZ44" s="84" t="n">
        <f aca="false">IF($H44=1,MIN(CR44-CU44-CX44,MAX(0,$F44/(1-$F44)*(CN44+CX44)-CO44)),0)</f>
        <v>0</v>
      </c>
      <c r="DA44" s="84" t="n">
        <f aca="false">CR44-CU44-CX44-CZ44</f>
        <v>0</v>
      </c>
      <c r="DB44" s="84" t="n">
        <f aca="false">CU44+CX44+(1-$F44)*DA44</f>
        <v>0</v>
      </c>
      <c r="DC44" s="84" t="n">
        <f aca="false">CZ44+$F44*DA44</f>
        <v>0</v>
      </c>
      <c r="DD44" s="84" t="n">
        <f aca="false">CN44+CX44+(1-$F44)*DA44</f>
        <v>0</v>
      </c>
      <c r="DE44" s="84" t="n">
        <f aca="false">CO44+DC44</f>
        <v>0</v>
      </c>
      <c r="DF44" s="133" t="n">
        <f aca="false">CS44+$D44*Inputs!$G$13-$D44*$E44</f>
        <v>29202.743617</v>
      </c>
      <c r="DG44" s="84" t="n">
        <f aca="false">DF44*(1+$I44)</f>
        <v>35919.37464891</v>
      </c>
      <c r="DH44" s="133" t="n">
        <f aca="false">DG44*Inputs!$G$14</f>
        <v>7183.874929782</v>
      </c>
      <c r="DI44" s="84" t="n">
        <f aca="false">DG44-DH44</f>
        <v>28735.499719128</v>
      </c>
      <c r="DJ44" s="133" t="n">
        <f aca="false">CV44+$D44*Inputs!$G$13</f>
        <v>20000</v>
      </c>
      <c r="DK44" s="84" t="n">
        <f aca="false">MIN(DH44,DJ44)</f>
        <v>7183.874929782</v>
      </c>
      <c r="DL44" s="84" t="n">
        <f aca="false">DJ44-DK44</f>
        <v>12816.125070218</v>
      </c>
      <c r="DM44" s="84" t="n">
        <f aca="false">CY44+$G44*(DJ44+CY44)</f>
        <v>0</v>
      </c>
      <c r="DN44" s="84" t="n">
        <f aca="false">MIN(DH44-DK44,DM44)</f>
        <v>0</v>
      </c>
      <c r="DO44" s="84" t="n">
        <f aca="false">DM44-DN44</f>
        <v>0</v>
      </c>
      <c r="DP44" s="84" t="n">
        <f aca="false">IF($H44=1,MIN(DH44-DK44-DN44,MAX(0,$F44/(1-$F44)*(DD44+DN44)-DE44)),0)</f>
        <v>0</v>
      </c>
      <c r="DQ44" s="84" t="n">
        <f aca="false">DH44-DK44-DN44-DP44</f>
        <v>0</v>
      </c>
      <c r="DR44" s="84" t="n">
        <f aca="false">DK44+DN44+(1-$F44)*DQ44</f>
        <v>7183.874929782</v>
      </c>
      <c r="DS44" s="84" t="n">
        <f aca="false">DP44+$F44*DQ44</f>
        <v>0</v>
      </c>
      <c r="DT44" s="84" t="n">
        <f aca="false">DD44+DN44+(1-$F44)*DQ44</f>
        <v>0</v>
      </c>
      <c r="DU44" s="84" t="n">
        <f aca="false">DE44+DS44</f>
        <v>0</v>
      </c>
      <c r="DV44" s="133" t="n">
        <f aca="false">DI44+$D44*Inputs!$H$13-$D44*$E44</f>
        <v>28435.499719128</v>
      </c>
      <c r="DW44" s="84" t="n">
        <f aca="false">DV44*(1+$I44)</f>
        <v>34975.6646545274</v>
      </c>
      <c r="DX44" s="133" t="n">
        <f aca="false">DW44*Inputs!$H$14</f>
        <v>6995.13293090549</v>
      </c>
      <c r="DY44" s="84" t="n">
        <f aca="false">DW44-DX44</f>
        <v>27980.531723622</v>
      </c>
      <c r="DZ44" s="133" t="n">
        <f aca="false">DL44+$D44*Inputs!$H$13</f>
        <v>12816.125070218</v>
      </c>
      <c r="EA44" s="84" t="n">
        <f aca="false">MIN(DX44,DZ44)</f>
        <v>6995.13293090549</v>
      </c>
      <c r="EB44" s="84" t="n">
        <f aca="false">DZ44-EA44</f>
        <v>5820.99213931251</v>
      </c>
      <c r="EC44" s="84" t="n">
        <f aca="false">DO44+$G44*(DZ44+DO44)</f>
        <v>0</v>
      </c>
      <c r="ED44" s="84" t="n">
        <f aca="false">MIN(DX44-EA44,EC44)</f>
        <v>0</v>
      </c>
      <c r="EE44" s="84" t="n">
        <f aca="false">EC44-ED44</f>
        <v>0</v>
      </c>
      <c r="EF44" s="84" t="n">
        <f aca="false">IF($H44=1,MIN(DX44-EA44-ED44,MAX(0,$F44/(1-$F44)*(DT44+ED44)-DU44)),0)</f>
        <v>0</v>
      </c>
      <c r="EG44" s="84" t="n">
        <f aca="false">DX44-EA44-ED44-EF44</f>
        <v>0</v>
      </c>
      <c r="EH44" s="84" t="n">
        <f aca="false">EA44+ED44+(1-$F44)*EG44</f>
        <v>6995.13293090549</v>
      </c>
      <c r="EI44" s="84" t="n">
        <f aca="false">EF44+$F44*EG44</f>
        <v>0</v>
      </c>
      <c r="EJ44" s="84" t="n">
        <f aca="false">DT44+ED44+(1-$F44)*EG44</f>
        <v>0</v>
      </c>
      <c r="EK44" s="84" t="n">
        <f aca="false">DU44+EI44</f>
        <v>0</v>
      </c>
      <c r="EL44" s="133" t="n">
        <f aca="false">DY44+$D44*Inputs!$I$13-$D44*$E44</f>
        <v>27680.531723622</v>
      </c>
      <c r="EM44" s="84" t="n">
        <f aca="false">EL44*(1+$I44)</f>
        <v>34047.054020055</v>
      </c>
      <c r="EN44" s="133" t="n">
        <f aca="false">EM44*Inputs!$I$14</f>
        <v>6809.410804011</v>
      </c>
      <c r="EO44" s="84" t="n">
        <f aca="false">EM44-EN44</f>
        <v>27237.643216044</v>
      </c>
      <c r="EP44" s="133" t="n">
        <f aca="false">EB44+$D44*Inputs!$I$13</f>
        <v>5820.99213931251</v>
      </c>
      <c r="EQ44" s="84" t="n">
        <f aca="false">MIN(EN44,EP44)</f>
        <v>5820.99213931251</v>
      </c>
      <c r="ER44" s="84" t="n">
        <f aca="false">EP44-EQ44</f>
        <v>0</v>
      </c>
      <c r="ES44" s="84" t="n">
        <f aca="false">EE44+$G44*(EP44+EE44)</f>
        <v>0</v>
      </c>
      <c r="ET44" s="84" t="n">
        <f aca="false">MIN(EN44-EQ44,ES44)</f>
        <v>0</v>
      </c>
      <c r="EU44" s="84" t="n">
        <f aca="false">ES44-ET44</f>
        <v>0</v>
      </c>
      <c r="EV44" s="84" t="n">
        <f aca="false">IF($H44=1,MIN(EN44-EQ44-ET44,MAX(0,$F44/(1-$F44)*(EJ44+ET44)-EK44)),0)</f>
        <v>0</v>
      </c>
      <c r="EW44" s="84" t="n">
        <f aca="false">EN44-EQ44-ET44-EV44</f>
        <v>988.418664698489</v>
      </c>
      <c r="EX44" s="84" t="n">
        <f aca="false">EQ44+ET44+(1-$F44)*EW44</f>
        <v>6611.7270710713</v>
      </c>
      <c r="EY44" s="84" t="n">
        <f aca="false">EV44+$F44*EW44</f>
        <v>197.683732939698</v>
      </c>
      <c r="EZ44" s="84" t="n">
        <f aca="false">EJ44+ET44+(1-$F44)*EW44</f>
        <v>790.734931758791</v>
      </c>
      <c r="FA44" s="84" t="n">
        <f aca="false">EK44+EY44</f>
        <v>197.683732939698</v>
      </c>
      <c r="FB44" s="133" t="n">
        <f aca="false">EO44+$D44*Inputs!$J$13-$D44*$E44</f>
        <v>26937.643216044</v>
      </c>
      <c r="FC44" s="84" t="n">
        <f aca="false">FB44*(1+$I44)</f>
        <v>33133.3011557341</v>
      </c>
      <c r="FD44" s="133" t="n">
        <f aca="false">FC44*Inputs!$J$14</f>
        <v>6626.66023114683</v>
      </c>
      <c r="FE44" s="84" t="n">
        <f aca="false">FC44-FD44</f>
        <v>26506.6409245873</v>
      </c>
      <c r="FF44" s="133" t="n">
        <f aca="false">ER44+$D44*Inputs!$J$13</f>
        <v>0</v>
      </c>
      <c r="FG44" s="84" t="n">
        <f aca="false">MIN(FD44,FF44)</f>
        <v>0</v>
      </c>
      <c r="FH44" s="84" t="n">
        <f aca="false">FF44-FG44</f>
        <v>0</v>
      </c>
      <c r="FI44" s="84" t="n">
        <f aca="false">EU44+$G44*(FF44+EU44)</f>
        <v>0</v>
      </c>
      <c r="FJ44" s="84" t="n">
        <f aca="false">MIN(FD44-FG44,FI44)</f>
        <v>0</v>
      </c>
      <c r="FK44" s="84" t="n">
        <f aca="false">FI44-FJ44</f>
        <v>0</v>
      </c>
      <c r="FL44" s="84" t="n">
        <f aca="false">IF($H44=1,MIN(FD44-FG44-FJ44,MAX(0,$F44/(1-$F44)*(EZ44+FJ44)-FA44)),0)</f>
        <v>0</v>
      </c>
      <c r="FM44" s="84" t="n">
        <f aca="false">FD44-FG44-FJ44-FL44</f>
        <v>6626.66023114683</v>
      </c>
      <c r="FN44" s="84" t="n">
        <f aca="false">FG44+FJ44+(1-$F44)*FM44</f>
        <v>5301.32818491746</v>
      </c>
      <c r="FO44" s="84" t="n">
        <f aca="false">FL44+$F44*FM44</f>
        <v>1325.33204622937</v>
      </c>
      <c r="FP44" s="84" t="n">
        <f aca="false">EZ44+FJ44+(1-$F44)*FM44</f>
        <v>6092.06311667625</v>
      </c>
      <c r="FQ44" s="84" t="n">
        <f aca="false">FA44+FO44</f>
        <v>1523.01577916906</v>
      </c>
      <c r="FR44" s="133" t="n">
        <f aca="false">FE44+$D44*Inputs!$K$13-$D44*$E44</f>
        <v>26206.6409245873</v>
      </c>
      <c r="FS44" s="84" t="n">
        <f aca="false">FR44*(1+$I44)</f>
        <v>32234.1683372424</v>
      </c>
      <c r="FT44" s="133" t="n">
        <f aca="false">FS44*Inputs!$K$14</f>
        <v>6446.83366744848</v>
      </c>
      <c r="FU44" s="84" t="n">
        <f aca="false">FS44-FT44</f>
        <v>25787.3346697939</v>
      </c>
      <c r="FV44" s="133" t="n">
        <f aca="false">FH44+$D44*Inputs!$K$13</f>
        <v>0</v>
      </c>
      <c r="FW44" s="84" t="n">
        <f aca="false">MIN(FT44,FV44)</f>
        <v>0</v>
      </c>
      <c r="FX44" s="84" t="n">
        <f aca="false">FV44-FW44</f>
        <v>0</v>
      </c>
      <c r="FY44" s="84" t="n">
        <f aca="false">FK44+$G44*(FV44+FK44)</f>
        <v>0</v>
      </c>
      <c r="FZ44" s="84" t="n">
        <f aca="false">MIN(FT44-FW44,FY44)</f>
        <v>0</v>
      </c>
      <c r="GA44" s="84" t="n">
        <f aca="false">FY44-FZ44</f>
        <v>0</v>
      </c>
      <c r="GB44" s="84" t="n">
        <f aca="false">IF($H44=1,MIN(FT44-FW44-FZ44,MAX(0,$F44/(1-$F44)*(FP44+FZ44)-FQ44)),0)</f>
        <v>0</v>
      </c>
      <c r="GC44" s="84" t="n">
        <f aca="false">FT44-FW44-FZ44-GB44</f>
        <v>6446.83366744848</v>
      </c>
      <c r="GD44" s="84" t="n">
        <f aca="false">FW44+FZ44+(1-$F44)*GC44</f>
        <v>5157.46693395878</v>
      </c>
      <c r="GE44" s="84" t="n">
        <f aca="false">GB44+$F44*GC44</f>
        <v>1289.3667334897</v>
      </c>
      <c r="GF44" s="84" t="n">
        <f aca="false">FP44+FZ44+(1-$F44)*GC44</f>
        <v>11249.530050635</v>
      </c>
      <c r="GG44" s="84" t="n">
        <f aca="false">FQ44+GE44</f>
        <v>2812.38251265876</v>
      </c>
      <c r="GH44" s="133" t="n">
        <f aca="false">FU44+$D44*Inputs!$L$13-$D44*$E44</f>
        <v>25487.3346697939</v>
      </c>
      <c r="GI44" s="84" t="n">
        <f aca="false">GH44*(1+$I44)</f>
        <v>31349.4216438465</v>
      </c>
      <c r="GJ44" s="133" t="n">
        <f aca="false">GI44*Inputs!$L$14</f>
        <v>31349.4216438465</v>
      </c>
      <c r="GK44" s="84" t="n">
        <f aca="false">GI44-GJ44</f>
        <v>0</v>
      </c>
      <c r="GL44" s="133" t="n">
        <f aca="false">FX44+$D44*Inputs!$L$13</f>
        <v>0</v>
      </c>
      <c r="GM44" s="84" t="n">
        <f aca="false">MIN(GJ44,GL44)</f>
        <v>0</v>
      </c>
      <c r="GN44" s="84" t="n">
        <f aca="false">GL44-GM44</f>
        <v>0</v>
      </c>
      <c r="GO44" s="84" t="n">
        <f aca="false">GA44+$G44*(GL44+GA44)</f>
        <v>0</v>
      </c>
      <c r="GP44" s="84" t="n">
        <f aca="false">MIN(GJ44-GM44,GO44)</f>
        <v>0</v>
      </c>
      <c r="GQ44" s="84" t="n">
        <f aca="false">GO44-GP44</f>
        <v>0</v>
      </c>
      <c r="GR44" s="84" t="n">
        <f aca="false">IF($H44=1,MIN(GJ44-GM44-GP44,MAX(0,$F44/(1-$F44)*(GF44+GP44)-GG44)),0)</f>
        <v>0</v>
      </c>
      <c r="GS44" s="84" t="n">
        <f aca="false">GJ44-GM44-GP44-GR44</f>
        <v>31349.4216438465</v>
      </c>
      <c r="GT44" s="84" t="n">
        <f aca="false">GM44+GP44+(1-$F44)*GS44</f>
        <v>25079.5373150772</v>
      </c>
      <c r="GU44" s="84" t="n">
        <f aca="false">GR44+$F44*GS44</f>
        <v>6269.8843287693</v>
      </c>
      <c r="GV44" s="84" t="n">
        <f aca="false">GF44+GP44+(1-$F44)*GS44</f>
        <v>36329.0673657122</v>
      </c>
      <c r="GW44" s="84" t="n">
        <f aca="false">GG44+GU44</f>
        <v>9082.26684142806</v>
      </c>
    </row>
    <row r="45" customFormat="false" ht="15" hidden="false" customHeight="false" outlineLevel="0" collapsed="false">
      <c r="A45" s="5" t="s">
        <v>635</v>
      </c>
      <c r="B45" s="5" t="s">
        <v>636</v>
      </c>
      <c r="C45" s="135" t="n">
        <v>24</v>
      </c>
      <c r="D45" s="47" t="n">
        <f aca="false">Inputs!$C$6</f>
        <v>20000</v>
      </c>
      <c r="E45" s="35" t="n">
        <f aca="false">Inputs!$C$18</f>
        <v>0.015</v>
      </c>
      <c r="F45" s="36" t="n">
        <f aca="false">Inputs!$C$20</f>
        <v>0.2</v>
      </c>
      <c r="G45" s="30" t="n">
        <v>0</v>
      </c>
      <c r="H45" s="27" t="n">
        <v>0</v>
      </c>
      <c r="I45" s="132" t="n">
        <f aca="false">Inputs!$C$38+$C45*Inputs!$C$39</f>
        <v>0.24</v>
      </c>
      <c r="J45" s="36" t="n">
        <f aca="false">Inputs!$C$9</f>
        <v>0.15</v>
      </c>
      <c r="K45" s="89" t="n">
        <f aca="false">IRR(W45:AG45,0.1)</f>
        <v>0.194890709683597</v>
      </c>
      <c r="L45" s="45" t="n">
        <f aca="false">W45+NPV($J45,X45:AG45)</f>
        <v>3971.0462254167</v>
      </c>
      <c r="M45" s="45" t="n">
        <f aca="false">SUM(BF45,BV45,CL45,DB45,DR45,EH45,EX45,FN45,GD45,GT45)</f>
        <v>59395.3593064896</v>
      </c>
      <c r="N45" s="43" t="n">
        <f aca="false">IF($D45*SUM(Inputs!$C$13:$L$13)=0,0,M45/($D45*SUM(Inputs!$C$13:$L$13)))</f>
        <v>2.96976796532448</v>
      </c>
      <c r="O45" s="42" t="n">
        <f aca="false">$D45*$E45*COLUMNS(Inputs!$C$13:$L$13)</f>
        <v>3000</v>
      </c>
      <c r="P45" s="45" t="n">
        <f aca="false">SUM(BG45,BW45,CM45,DC45,DS45,EI45,EY45,FO45,GE45,GU45)</f>
        <v>9848.83982662241</v>
      </c>
      <c r="Q45" s="42" t="n">
        <f aca="false">PV($J45,COLUMNS(Inputs!$C$13:$L$13),-$D45*$E45,0,1)</f>
        <v>1731.47517591971</v>
      </c>
      <c r="R45" s="45" t="n">
        <f aca="false">NPV($J45,BG45,BW45,CM45,DC45,DS45,EI45,EY45,FO45,GE45,GU45)</f>
        <v>2641.97570256733</v>
      </c>
      <c r="S45" s="45" t="n">
        <f aca="false">Q45+R45</f>
        <v>4373.45087848704</v>
      </c>
      <c r="T45" s="32" t="n">
        <f aca="false">IF(S45=0,0,Q45/S45)</f>
        <v>0.395905938817518</v>
      </c>
      <c r="U45" s="45" t="n">
        <f aca="false">ROUND(ABS(GK45)+ABS(SUM(AV45,BL45,CB45,CR45,DH45,DX45,EN45,FD45,FT45,GJ45)-M45-P45)+ABS(S45-(AH45+NPV($J45,AI45:AR45))),6)</f>
        <v>0</v>
      </c>
      <c r="W45" s="133" t="n">
        <f aca="false">-$D45*Inputs!$C$13</f>
        <v>-4000</v>
      </c>
      <c r="X45" s="133" t="n">
        <f aca="false">BF45-$D45*Inputs!$D$13</f>
        <v>-4000</v>
      </c>
      <c r="Y45" s="133" t="n">
        <f aca="false">BV45-$D45*Inputs!$E$13</f>
        <v>-4000</v>
      </c>
      <c r="Z45" s="133" t="n">
        <f aca="false">CL45-$D45*Inputs!$F$13</f>
        <v>-4000</v>
      </c>
      <c r="AA45" s="133" t="n">
        <f aca="false">DB45-$D45*Inputs!$G$13</f>
        <v>-4000</v>
      </c>
      <c r="AB45" s="133" t="n">
        <f aca="false">DR45-$D45*Inputs!$H$13</f>
        <v>7385.246488576</v>
      </c>
      <c r="AC45" s="133" t="n">
        <f aca="false">EH45-$D45*Inputs!$I$13</f>
        <v>7251.76451666739</v>
      </c>
      <c r="AD45" s="133" t="n">
        <f aca="false">EX45-$D45*Inputs!$J$13</f>
        <v>6768.07811937856</v>
      </c>
      <c r="AE45" s="133" t="n">
        <f aca="false">FN45-$D45*Inputs!$K$13</f>
        <v>5590.39647786383</v>
      </c>
      <c r="AF45" s="133" t="n">
        <f aca="false">GD45-$D45*Inputs!$L$13</f>
        <v>5486.15330604092</v>
      </c>
      <c r="AG45" s="84" t="n">
        <f aca="false">GT45</f>
        <v>26913.7203979629</v>
      </c>
      <c r="AH45" s="84" t="n">
        <f aca="false">$D45*$E45</f>
        <v>300</v>
      </c>
      <c r="AI45" s="84" t="n">
        <f aca="false">BG45+$D45*$E45</f>
        <v>300</v>
      </c>
      <c r="AJ45" s="84" t="n">
        <f aca="false">BW45+$D45*$E45</f>
        <v>300</v>
      </c>
      <c r="AK45" s="84" t="n">
        <f aca="false">CM45+$D45*$E45</f>
        <v>300</v>
      </c>
      <c r="AL45" s="84" t="n">
        <f aca="false">DC45+$D45*$E45</f>
        <v>300</v>
      </c>
      <c r="AM45" s="84" t="n">
        <f aca="false">DS45+$D45*$E45</f>
        <v>300</v>
      </c>
      <c r="AN45" s="84" t="n">
        <f aca="false">EI45+$D45*$E45</f>
        <v>300</v>
      </c>
      <c r="AO45" s="84" t="n">
        <f aca="false">EY45+$D45*$E45</f>
        <v>651.27228115549</v>
      </c>
      <c r="AP45" s="84" t="n">
        <f aca="false">FO45+$D45*$E45</f>
        <v>1697.59911946596</v>
      </c>
      <c r="AQ45" s="84" t="n">
        <f aca="false">GE45+$D45*$E45</f>
        <v>1671.53832651023</v>
      </c>
      <c r="AR45" s="84" t="n">
        <f aca="false">GU45</f>
        <v>6728.43009949073</v>
      </c>
      <c r="AT45" s="133" t="n">
        <f aca="false">$D45*Inputs!$C$13-$D45*$E45</f>
        <v>3700</v>
      </c>
      <c r="AU45" s="84" t="n">
        <f aca="false">AT45*(1+$I45)</f>
        <v>4588</v>
      </c>
      <c r="AV45" s="133" t="n">
        <f aca="false">AU45*Inputs!$C$14</f>
        <v>0</v>
      </c>
      <c r="AW45" s="84" t="n">
        <f aca="false">AU45-AV45</f>
        <v>4588</v>
      </c>
      <c r="AX45" s="133" t="n">
        <f aca="false">$D45*Inputs!$C$13</f>
        <v>4000</v>
      </c>
      <c r="AY45" s="84" t="n">
        <f aca="false">MIN(AV45,AX45)</f>
        <v>0</v>
      </c>
      <c r="AZ45" s="84" t="n">
        <f aca="false">AX45-AY45</f>
        <v>4000</v>
      </c>
      <c r="BA45" s="84" t="n">
        <f aca="false">$G45*AX45</f>
        <v>0</v>
      </c>
      <c r="BB45" s="84" t="n">
        <f aca="false">MIN(AV45-AY45,BA45)</f>
        <v>0</v>
      </c>
      <c r="BC45" s="84" t="n">
        <f aca="false">BA45-BB45</f>
        <v>0</v>
      </c>
      <c r="BD45" s="84" t="n">
        <f aca="false">IF($H45=1,MIN(AV45-AY45-BB45,MAX(0,$F45/(1-$F45)*BB45)),0)</f>
        <v>0</v>
      </c>
      <c r="BE45" s="84" t="n">
        <f aca="false">AV45-AY45-BB45-BD45</f>
        <v>0</v>
      </c>
      <c r="BF45" s="84" t="n">
        <f aca="false">AY45+BB45+(1-$F45)*BE45</f>
        <v>0</v>
      </c>
      <c r="BG45" s="84" t="n">
        <f aca="false">BD45+$F45*BE45</f>
        <v>0</v>
      </c>
      <c r="BH45" s="84" t="n">
        <f aca="false">BB45+(1-$F45)*BE45</f>
        <v>0</v>
      </c>
      <c r="BI45" s="84" t="n">
        <f aca="false">BG45</f>
        <v>0</v>
      </c>
      <c r="BJ45" s="133" t="n">
        <f aca="false">AW45+$D45*Inputs!$D$13-$D45*$E45</f>
        <v>8288</v>
      </c>
      <c r="BK45" s="84" t="n">
        <f aca="false">BJ45*(1+$I45)</f>
        <v>10277.12</v>
      </c>
      <c r="BL45" s="133" t="n">
        <f aca="false">BK45*Inputs!$D$14</f>
        <v>0</v>
      </c>
      <c r="BM45" s="84" t="n">
        <f aca="false">BK45-BL45</f>
        <v>10277.12</v>
      </c>
      <c r="BN45" s="133" t="n">
        <f aca="false">AZ45+$D45*Inputs!$D$13</f>
        <v>8000</v>
      </c>
      <c r="BO45" s="84" t="n">
        <f aca="false">MIN(BL45,BN45)</f>
        <v>0</v>
      </c>
      <c r="BP45" s="84" t="n">
        <f aca="false">BN45-BO45</f>
        <v>8000</v>
      </c>
      <c r="BQ45" s="84" t="n">
        <f aca="false">BC45+$G45*(BN45+BC45)</f>
        <v>0</v>
      </c>
      <c r="BR45" s="84" t="n">
        <f aca="false">MIN(BL45-BO45,BQ45)</f>
        <v>0</v>
      </c>
      <c r="BS45" s="84" t="n">
        <f aca="false">BQ45-BR45</f>
        <v>0</v>
      </c>
      <c r="BT45" s="84" t="n">
        <f aca="false">IF($H45=1,MIN(BL45-BO45-BR45,MAX(0,$F45/(1-$F45)*(BH45+BR45)-BI45)),0)</f>
        <v>0</v>
      </c>
      <c r="BU45" s="84" t="n">
        <f aca="false">BL45-BO45-BR45-BT45</f>
        <v>0</v>
      </c>
      <c r="BV45" s="84" t="n">
        <f aca="false">BO45+BR45+(1-$F45)*BU45</f>
        <v>0</v>
      </c>
      <c r="BW45" s="84" t="n">
        <f aca="false">BT45+$F45*BU45</f>
        <v>0</v>
      </c>
      <c r="BX45" s="84" t="n">
        <f aca="false">BH45+BR45+(1-$F45)*BU45</f>
        <v>0</v>
      </c>
      <c r="BY45" s="84" t="n">
        <f aca="false">BI45+BW45</f>
        <v>0</v>
      </c>
      <c r="BZ45" s="133" t="n">
        <f aca="false">BM45+$D45*Inputs!$E$13-$D45*$E45</f>
        <v>13977.12</v>
      </c>
      <c r="CA45" s="84" t="n">
        <f aca="false">BZ45*(1+$I45)</f>
        <v>17331.6288</v>
      </c>
      <c r="CB45" s="133" t="n">
        <f aca="false">CA45*Inputs!$E$14</f>
        <v>0</v>
      </c>
      <c r="CC45" s="84" t="n">
        <f aca="false">CA45-CB45</f>
        <v>17331.6288</v>
      </c>
      <c r="CD45" s="133" t="n">
        <f aca="false">BP45+$D45*Inputs!$E$13</f>
        <v>12000</v>
      </c>
      <c r="CE45" s="84" t="n">
        <f aca="false">MIN(CB45,CD45)</f>
        <v>0</v>
      </c>
      <c r="CF45" s="84" t="n">
        <f aca="false">CD45-CE45</f>
        <v>12000</v>
      </c>
      <c r="CG45" s="84" t="n">
        <f aca="false">BS45+$G45*(CD45+BS45)</f>
        <v>0</v>
      </c>
      <c r="CH45" s="84" t="n">
        <f aca="false">MIN(CB45-CE45,CG45)</f>
        <v>0</v>
      </c>
      <c r="CI45" s="84" t="n">
        <f aca="false">CG45-CH45</f>
        <v>0</v>
      </c>
      <c r="CJ45" s="84" t="n">
        <f aca="false">IF($H45=1,MIN(CB45-CE45-CH45,MAX(0,$F45/(1-$F45)*(BX45+CH45)-BY45)),0)</f>
        <v>0</v>
      </c>
      <c r="CK45" s="84" t="n">
        <f aca="false">CB45-CE45-CH45-CJ45</f>
        <v>0</v>
      </c>
      <c r="CL45" s="84" t="n">
        <f aca="false">CE45+CH45+(1-$F45)*CK45</f>
        <v>0</v>
      </c>
      <c r="CM45" s="84" t="n">
        <f aca="false">CJ45+$F45*CK45</f>
        <v>0</v>
      </c>
      <c r="CN45" s="84" t="n">
        <f aca="false">BX45+CH45+(1-$F45)*CK45</f>
        <v>0</v>
      </c>
      <c r="CO45" s="84" t="n">
        <f aca="false">BY45+CM45</f>
        <v>0</v>
      </c>
      <c r="CP45" s="133" t="n">
        <f aca="false">CC45+$D45*Inputs!$F$13-$D45*$E45</f>
        <v>21031.6288</v>
      </c>
      <c r="CQ45" s="84" t="n">
        <f aca="false">CP45*(1+$I45)</f>
        <v>26079.219712</v>
      </c>
      <c r="CR45" s="133" t="n">
        <f aca="false">CQ45*Inputs!$F$14</f>
        <v>0</v>
      </c>
      <c r="CS45" s="84" t="n">
        <f aca="false">CQ45-CR45</f>
        <v>26079.219712</v>
      </c>
      <c r="CT45" s="133" t="n">
        <f aca="false">CF45+$D45*Inputs!$F$13</f>
        <v>16000</v>
      </c>
      <c r="CU45" s="84" t="n">
        <f aca="false">MIN(CR45,CT45)</f>
        <v>0</v>
      </c>
      <c r="CV45" s="84" t="n">
        <f aca="false">CT45-CU45</f>
        <v>16000</v>
      </c>
      <c r="CW45" s="84" t="n">
        <f aca="false">CI45+$G45*(CT45+CI45)</f>
        <v>0</v>
      </c>
      <c r="CX45" s="84" t="n">
        <f aca="false">MIN(CR45-CU45,CW45)</f>
        <v>0</v>
      </c>
      <c r="CY45" s="84" t="n">
        <f aca="false">CW45-CX45</f>
        <v>0</v>
      </c>
      <c r="CZ45" s="84" t="n">
        <f aca="false">IF($H45=1,MIN(CR45-CU45-CX45,MAX(0,$F45/(1-$F45)*(CN45+CX45)-CO45)),0)</f>
        <v>0</v>
      </c>
      <c r="DA45" s="84" t="n">
        <f aca="false">CR45-CU45-CX45-CZ45</f>
        <v>0</v>
      </c>
      <c r="DB45" s="84" t="n">
        <f aca="false">CU45+CX45+(1-$F45)*DA45</f>
        <v>0</v>
      </c>
      <c r="DC45" s="84" t="n">
        <f aca="false">CZ45+$F45*DA45</f>
        <v>0</v>
      </c>
      <c r="DD45" s="84" t="n">
        <f aca="false">CN45+CX45+(1-$F45)*DA45</f>
        <v>0</v>
      </c>
      <c r="DE45" s="84" t="n">
        <f aca="false">CO45+DC45</f>
        <v>0</v>
      </c>
      <c r="DF45" s="133" t="n">
        <f aca="false">CS45+$D45*Inputs!$G$13-$D45*$E45</f>
        <v>29779.219712</v>
      </c>
      <c r="DG45" s="84" t="n">
        <f aca="false">DF45*(1+$I45)</f>
        <v>36926.23244288</v>
      </c>
      <c r="DH45" s="133" t="n">
        <f aca="false">DG45*Inputs!$G$14</f>
        <v>7385.246488576</v>
      </c>
      <c r="DI45" s="84" t="n">
        <f aca="false">DG45-DH45</f>
        <v>29540.985954304</v>
      </c>
      <c r="DJ45" s="133" t="n">
        <f aca="false">CV45+$D45*Inputs!$G$13</f>
        <v>20000</v>
      </c>
      <c r="DK45" s="84" t="n">
        <f aca="false">MIN(DH45,DJ45)</f>
        <v>7385.246488576</v>
      </c>
      <c r="DL45" s="84" t="n">
        <f aca="false">DJ45-DK45</f>
        <v>12614.753511424</v>
      </c>
      <c r="DM45" s="84" t="n">
        <f aca="false">CY45+$G45*(DJ45+CY45)</f>
        <v>0</v>
      </c>
      <c r="DN45" s="84" t="n">
        <f aca="false">MIN(DH45-DK45,DM45)</f>
        <v>0</v>
      </c>
      <c r="DO45" s="84" t="n">
        <f aca="false">DM45-DN45</f>
        <v>0</v>
      </c>
      <c r="DP45" s="84" t="n">
        <f aca="false">IF($H45=1,MIN(DH45-DK45-DN45,MAX(0,$F45/(1-$F45)*(DD45+DN45)-DE45)),0)</f>
        <v>0</v>
      </c>
      <c r="DQ45" s="84" t="n">
        <f aca="false">DH45-DK45-DN45-DP45</f>
        <v>0</v>
      </c>
      <c r="DR45" s="84" t="n">
        <f aca="false">DK45+DN45+(1-$F45)*DQ45</f>
        <v>7385.246488576</v>
      </c>
      <c r="DS45" s="84" t="n">
        <f aca="false">DP45+$F45*DQ45</f>
        <v>0</v>
      </c>
      <c r="DT45" s="84" t="n">
        <f aca="false">DD45+DN45+(1-$F45)*DQ45</f>
        <v>0</v>
      </c>
      <c r="DU45" s="84" t="n">
        <f aca="false">DE45+DS45</f>
        <v>0</v>
      </c>
      <c r="DV45" s="133" t="n">
        <f aca="false">DI45+$D45*Inputs!$H$13-$D45*$E45</f>
        <v>29240.985954304</v>
      </c>
      <c r="DW45" s="84" t="n">
        <f aca="false">DV45*(1+$I45)</f>
        <v>36258.822583337</v>
      </c>
      <c r="DX45" s="133" t="n">
        <f aca="false">DW45*Inputs!$H$14</f>
        <v>7251.76451666739</v>
      </c>
      <c r="DY45" s="84" t="n">
        <f aca="false">DW45-DX45</f>
        <v>29007.0580666696</v>
      </c>
      <c r="DZ45" s="133" t="n">
        <f aca="false">DL45+$D45*Inputs!$H$13</f>
        <v>12614.753511424</v>
      </c>
      <c r="EA45" s="84" t="n">
        <f aca="false">MIN(DX45,DZ45)</f>
        <v>7251.76451666739</v>
      </c>
      <c r="EB45" s="84" t="n">
        <f aca="false">DZ45-EA45</f>
        <v>5362.9889947566</v>
      </c>
      <c r="EC45" s="84" t="n">
        <f aca="false">DO45+$G45*(DZ45+DO45)</f>
        <v>0</v>
      </c>
      <c r="ED45" s="84" t="n">
        <f aca="false">MIN(DX45-EA45,EC45)</f>
        <v>0</v>
      </c>
      <c r="EE45" s="84" t="n">
        <f aca="false">EC45-ED45</f>
        <v>0</v>
      </c>
      <c r="EF45" s="84" t="n">
        <f aca="false">IF($H45=1,MIN(DX45-EA45-ED45,MAX(0,$F45/(1-$F45)*(DT45+ED45)-DU45)),0)</f>
        <v>0</v>
      </c>
      <c r="EG45" s="84" t="n">
        <f aca="false">DX45-EA45-ED45-EF45</f>
        <v>0</v>
      </c>
      <c r="EH45" s="84" t="n">
        <f aca="false">EA45+ED45+(1-$F45)*EG45</f>
        <v>7251.76451666739</v>
      </c>
      <c r="EI45" s="84" t="n">
        <f aca="false">EF45+$F45*EG45</f>
        <v>0</v>
      </c>
      <c r="EJ45" s="84" t="n">
        <f aca="false">DT45+ED45+(1-$F45)*EG45</f>
        <v>0</v>
      </c>
      <c r="EK45" s="84" t="n">
        <f aca="false">DU45+EI45</f>
        <v>0</v>
      </c>
      <c r="EL45" s="133" t="n">
        <f aca="false">DY45+$D45*Inputs!$I$13-$D45*$E45</f>
        <v>28707.0580666696</v>
      </c>
      <c r="EM45" s="84" t="n">
        <f aca="false">EL45*(1+$I45)</f>
        <v>35596.7520026703</v>
      </c>
      <c r="EN45" s="133" t="n">
        <f aca="false">EM45*Inputs!$I$14</f>
        <v>7119.35040053406</v>
      </c>
      <c r="EO45" s="84" t="n">
        <f aca="false">EM45-EN45</f>
        <v>28477.4016021362</v>
      </c>
      <c r="EP45" s="133" t="n">
        <f aca="false">EB45+$D45*Inputs!$I$13</f>
        <v>5362.9889947566</v>
      </c>
      <c r="EQ45" s="84" t="n">
        <f aca="false">MIN(EN45,EP45)</f>
        <v>5362.9889947566</v>
      </c>
      <c r="ER45" s="84" t="n">
        <f aca="false">EP45-EQ45</f>
        <v>0</v>
      </c>
      <c r="ES45" s="84" t="n">
        <f aca="false">EE45+$G45*(EP45+EE45)</f>
        <v>0</v>
      </c>
      <c r="ET45" s="84" t="n">
        <f aca="false">MIN(EN45-EQ45,ES45)</f>
        <v>0</v>
      </c>
      <c r="EU45" s="84" t="n">
        <f aca="false">ES45-ET45</f>
        <v>0</v>
      </c>
      <c r="EV45" s="84" t="n">
        <f aca="false">IF($H45=1,MIN(EN45-EQ45-ET45,MAX(0,$F45/(1-$F45)*(EJ45+ET45)-EK45)),0)</f>
        <v>0</v>
      </c>
      <c r="EW45" s="84" t="n">
        <f aca="false">EN45-EQ45-ET45-EV45</f>
        <v>1756.36140577745</v>
      </c>
      <c r="EX45" s="84" t="n">
        <f aca="false">EQ45+ET45+(1-$F45)*EW45</f>
        <v>6768.07811937856</v>
      </c>
      <c r="EY45" s="84" t="n">
        <f aca="false">EV45+$F45*EW45</f>
        <v>351.27228115549</v>
      </c>
      <c r="EZ45" s="84" t="n">
        <f aca="false">EJ45+ET45+(1-$F45)*EW45</f>
        <v>1405.08912462196</v>
      </c>
      <c r="FA45" s="84" t="n">
        <f aca="false">EK45+EY45</f>
        <v>351.27228115549</v>
      </c>
      <c r="FB45" s="133" t="n">
        <f aca="false">EO45+$D45*Inputs!$J$13-$D45*$E45</f>
        <v>28177.4016021362</v>
      </c>
      <c r="FC45" s="84" t="n">
        <f aca="false">FB45*(1+$I45)</f>
        <v>34939.9779866489</v>
      </c>
      <c r="FD45" s="133" t="n">
        <f aca="false">FC45*Inputs!$J$14</f>
        <v>6987.99559732978</v>
      </c>
      <c r="FE45" s="84" t="n">
        <f aca="false">FC45-FD45</f>
        <v>27951.9823893191</v>
      </c>
      <c r="FF45" s="133" t="n">
        <f aca="false">ER45+$D45*Inputs!$J$13</f>
        <v>0</v>
      </c>
      <c r="FG45" s="84" t="n">
        <f aca="false">MIN(FD45,FF45)</f>
        <v>0</v>
      </c>
      <c r="FH45" s="84" t="n">
        <f aca="false">FF45-FG45</f>
        <v>0</v>
      </c>
      <c r="FI45" s="84" t="n">
        <f aca="false">EU45+$G45*(FF45+EU45)</f>
        <v>0</v>
      </c>
      <c r="FJ45" s="84" t="n">
        <f aca="false">MIN(FD45-FG45,FI45)</f>
        <v>0</v>
      </c>
      <c r="FK45" s="84" t="n">
        <f aca="false">FI45-FJ45</f>
        <v>0</v>
      </c>
      <c r="FL45" s="84" t="n">
        <f aca="false">IF($H45=1,MIN(FD45-FG45-FJ45,MAX(0,$F45/(1-$F45)*(EZ45+FJ45)-FA45)),0)</f>
        <v>0</v>
      </c>
      <c r="FM45" s="84" t="n">
        <f aca="false">FD45-FG45-FJ45-FL45</f>
        <v>6987.99559732978</v>
      </c>
      <c r="FN45" s="84" t="n">
        <f aca="false">FG45+FJ45+(1-$F45)*FM45</f>
        <v>5590.39647786383</v>
      </c>
      <c r="FO45" s="84" t="n">
        <f aca="false">FL45+$F45*FM45</f>
        <v>1397.59911946596</v>
      </c>
      <c r="FP45" s="84" t="n">
        <f aca="false">EZ45+FJ45+(1-$F45)*FM45</f>
        <v>6995.48560248579</v>
      </c>
      <c r="FQ45" s="84" t="n">
        <f aca="false">FA45+FO45</f>
        <v>1748.87140062145</v>
      </c>
      <c r="FR45" s="133" t="n">
        <f aca="false">FE45+$D45*Inputs!$K$13-$D45*$E45</f>
        <v>27651.9823893191</v>
      </c>
      <c r="FS45" s="84" t="n">
        <f aca="false">FR45*(1+$I45)</f>
        <v>34288.4581627557</v>
      </c>
      <c r="FT45" s="133" t="n">
        <f aca="false">FS45*Inputs!$K$14</f>
        <v>6857.69163255114</v>
      </c>
      <c r="FU45" s="84" t="n">
        <f aca="false">FS45-FT45</f>
        <v>27430.7665302046</v>
      </c>
      <c r="FV45" s="133" t="n">
        <f aca="false">FH45+$D45*Inputs!$K$13</f>
        <v>0</v>
      </c>
      <c r="FW45" s="84" t="n">
        <f aca="false">MIN(FT45,FV45)</f>
        <v>0</v>
      </c>
      <c r="FX45" s="84" t="n">
        <f aca="false">FV45-FW45</f>
        <v>0</v>
      </c>
      <c r="FY45" s="84" t="n">
        <f aca="false">FK45+$G45*(FV45+FK45)</f>
        <v>0</v>
      </c>
      <c r="FZ45" s="84" t="n">
        <f aca="false">MIN(FT45-FW45,FY45)</f>
        <v>0</v>
      </c>
      <c r="GA45" s="84" t="n">
        <f aca="false">FY45-FZ45</f>
        <v>0</v>
      </c>
      <c r="GB45" s="84" t="n">
        <f aca="false">IF($H45=1,MIN(FT45-FW45-FZ45,MAX(0,$F45/(1-$F45)*(FP45+FZ45)-FQ45)),0)</f>
        <v>0</v>
      </c>
      <c r="GC45" s="84" t="n">
        <f aca="false">FT45-FW45-FZ45-GB45</f>
        <v>6857.69163255114</v>
      </c>
      <c r="GD45" s="84" t="n">
        <f aca="false">FW45+FZ45+(1-$F45)*GC45</f>
        <v>5486.15330604092</v>
      </c>
      <c r="GE45" s="84" t="n">
        <f aca="false">GB45+$F45*GC45</f>
        <v>1371.53832651023</v>
      </c>
      <c r="GF45" s="84" t="n">
        <f aca="false">FP45+FZ45+(1-$F45)*GC45</f>
        <v>12481.6389085267</v>
      </c>
      <c r="GG45" s="84" t="n">
        <f aca="false">FQ45+GE45</f>
        <v>3120.40972713168</v>
      </c>
      <c r="GH45" s="133" t="n">
        <f aca="false">FU45+$D45*Inputs!$L$13-$D45*$E45</f>
        <v>27130.7665302046</v>
      </c>
      <c r="GI45" s="84" t="n">
        <f aca="false">GH45*(1+$I45)</f>
        <v>33642.1504974537</v>
      </c>
      <c r="GJ45" s="133" t="n">
        <f aca="false">GI45*Inputs!$L$14</f>
        <v>33642.1504974537</v>
      </c>
      <c r="GK45" s="84" t="n">
        <f aca="false">GI45-GJ45</f>
        <v>0</v>
      </c>
      <c r="GL45" s="133" t="n">
        <f aca="false">FX45+$D45*Inputs!$L$13</f>
        <v>0</v>
      </c>
      <c r="GM45" s="84" t="n">
        <f aca="false">MIN(GJ45,GL45)</f>
        <v>0</v>
      </c>
      <c r="GN45" s="84" t="n">
        <f aca="false">GL45-GM45</f>
        <v>0</v>
      </c>
      <c r="GO45" s="84" t="n">
        <f aca="false">GA45+$G45*(GL45+GA45)</f>
        <v>0</v>
      </c>
      <c r="GP45" s="84" t="n">
        <f aca="false">MIN(GJ45-GM45,GO45)</f>
        <v>0</v>
      </c>
      <c r="GQ45" s="84" t="n">
        <f aca="false">GO45-GP45</f>
        <v>0</v>
      </c>
      <c r="GR45" s="84" t="n">
        <f aca="false">IF($H45=1,MIN(GJ45-GM45-GP45,MAX(0,$F45/(1-$F45)*(GF45+GP45)-GG45)),0)</f>
        <v>0</v>
      </c>
      <c r="GS45" s="84" t="n">
        <f aca="false">GJ45-GM45-GP45-GR45</f>
        <v>33642.1504974537</v>
      </c>
      <c r="GT45" s="84" t="n">
        <f aca="false">GM45+GP45+(1-$F45)*GS45</f>
        <v>26913.7203979629</v>
      </c>
      <c r="GU45" s="84" t="n">
        <f aca="false">GR45+$F45*GS45</f>
        <v>6728.43009949073</v>
      </c>
      <c r="GV45" s="84" t="n">
        <f aca="false">GF45+GP45+(1-$F45)*GS45</f>
        <v>39395.3593064896</v>
      </c>
      <c r="GW45" s="84" t="n">
        <f aca="false">GG45+GU45</f>
        <v>9848.83982662241</v>
      </c>
    </row>
    <row r="46" customFormat="false" ht="15" hidden="false" customHeight="false" outlineLevel="0" collapsed="false">
      <c r="A46" s="5" t="s">
        <v>635</v>
      </c>
      <c r="B46" s="5" t="s">
        <v>636</v>
      </c>
      <c r="C46" s="135" t="n">
        <v>25</v>
      </c>
      <c r="D46" s="47" t="n">
        <f aca="false">Inputs!$C$6</f>
        <v>20000</v>
      </c>
      <c r="E46" s="35" t="n">
        <f aca="false">Inputs!$C$18</f>
        <v>0.015</v>
      </c>
      <c r="F46" s="36" t="n">
        <f aca="false">Inputs!$C$20</f>
        <v>0.2</v>
      </c>
      <c r="G46" s="30" t="n">
        <v>0</v>
      </c>
      <c r="H46" s="27" t="n">
        <v>0</v>
      </c>
      <c r="I46" s="132" t="n">
        <f aca="false">Inputs!$C$38+$C46*Inputs!$C$39</f>
        <v>0.25</v>
      </c>
      <c r="J46" s="36" t="n">
        <f aca="false">Inputs!$C$9</f>
        <v>0.15</v>
      </c>
      <c r="K46" s="89" t="n">
        <f aca="false">IRR(W46:AG46,0.1)</f>
        <v>0.20431317294718</v>
      </c>
      <c r="L46" s="45" t="n">
        <f aca="false">W46+NPV($J46,X46:AG46)</f>
        <v>4929.74004864827</v>
      </c>
      <c r="M46" s="45" t="n">
        <f aca="false">SUM(BF46,BV46,CL46,DB46,DR46,EH46,EX46,FN46,GD46,GT46)</f>
        <v>62632.03125</v>
      </c>
      <c r="N46" s="43" t="n">
        <f aca="false">IF($D46*SUM(Inputs!$C$13:$L$13)=0,0,M46/($D46*SUM(Inputs!$C$13:$L$13)))</f>
        <v>3.1316015625</v>
      </c>
      <c r="O46" s="42" t="n">
        <f aca="false">$D46*$E46*COLUMNS(Inputs!$C$13:$L$13)</f>
        <v>3000</v>
      </c>
      <c r="P46" s="45" t="n">
        <f aca="false">SUM(BG46,BW46,CM46,DC46,DS46,EI46,EY46,FO46,GE46,GU46)</f>
        <v>10658.0078125</v>
      </c>
      <c r="Q46" s="42" t="n">
        <f aca="false">PV($J46,COLUMNS(Inputs!$C$13:$L$13),-$D46*$E46,0,1)</f>
        <v>1731.47517591971</v>
      </c>
      <c r="R46" s="45" t="n">
        <f aca="false">NPV($J46,BG46,BW46,CM46,DC46,DS46,EI46,EY46,FO46,GE46,GU46)</f>
        <v>2871.66531141065</v>
      </c>
      <c r="S46" s="45" t="n">
        <f aca="false">Q46+R46</f>
        <v>4603.14048733036</v>
      </c>
      <c r="T46" s="32" t="n">
        <f aca="false">IF(S46=0,0,Q46/S46)</f>
        <v>0.376150843252646</v>
      </c>
      <c r="U46" s="45" t="n">
        <f aca="false">ROUND(ABS(GK46)+ABS(SUM(AV46,BL46,CB46,CR46,DH46,DX46,EN46,FD46,FT46,GJ46)-M46-P46)+ABS(S46-(AH46+NPV($J46,AI46:AR46))),6)</f>
        <v>0</v>
      </c>
      <c r="W46" s="133" t="n">
        <f aca="false">-$D46*Inputs!$C$13</f>
        <v>-4000</v>
      </c>
      <c r="X46" s="133" t="n">
        <f aca="false">BF46-$D46*Inputs!$D$13</f>
        <v>-4000</v>
      </c>
      <c r="Y46" s="133" t="n">
        <f aca="false">BV46-$D46*Inputs!$E$13</f>
        <v>-4000</v>
      </c>
      <c r="Z46" s="133" t="n">
        <f aca="false">CL46-$D46*Inputs!$F$13</f>
        <v>-4000</v>
      </c>
      <c r="AA46" s="133" t="n">
        <f aca="false">DB46-$D46*Inputs!$G$13</f>
        <v>-4000</v>
      </c>
      <c r="AB46" s="133" t="n">
        <f aca="false">DR46-$D46*Inputs!$H$13</f>
        <v>7591.50390625</v>
      </c>
      <c r="AC46" s="133" t="n">
        <f aca="false">EH46-$D46*Inputs!$I$13</f>
        <v>7516.50390625</v>
      </c>
      <c r="AD46" s="133" t="n">
        <f aca="false">EX46-$D46*Inputs!$J$13</f>
        <v>6931.6015625</v>
      </c>
      <c r="AE46" s="133" t="n">
        <f aca="false">FN46-$D46*Inputs!$K$13</f>
        <v>5893.203125</v>
      </c>
      <c r="AF46" s="133" t="n">
        <f aca="false">GD46-$D46*Inputs!$L$13</f>
        <v>5833.203125</v>
      </c>
      <c r="AG46" s="84" t="n">
        <f aca="false">GT46</f>
        <v>28866.015625</v>
      </c>
      <c r="AH46" s="84" t="n">
        <f aca="false">$D46*$E46</f>
        <v>300</v>
      </c>
      <c r="AI46" s="84" t="n">
        <f aca="false">BG46+$D46*$E46</f>
        <v>300</v>
      </c>
      <c r="AJ46" s="84" t="n">
        <f aca="false">BW46+$D46*$E46</f>
        <v>300</v>
      </c>
      <c r="AK46" s="84" t="n">
        <f aca="false">CM46+$D46*$E46</f>
        <v>300</v>
      </c>
      <c r="AL46" s="84" t="n">
        <f aca="false">DC46+$D46*$E46</f>
        <v>300</v>
      </c>
      <c r="AM46" s="84" t="n">
        <f aca="false">DS46+$D46*$E46</f>
        <v>300</v>
      </c>
      <c r="AN46" s="84" t="n">
        <f aca="false">EI46+$D46*$E46</f>
        <v>300</v>
      </c>
      <c r="AO46" s="84" t="n">
        <f aca="false">EY46+$D46*$E46</f>
        <v>809.90234375</v>
      </c>
      <c r="AP46" s="84" t="n">
        <f aca="false">FO46+$D46*$E46</f>
        <v>1773.30078125</v>
      </c>
      <c r="AQ46" s="84" t="n">
        <f aca="false">GE46+$D46*$E46</f>
        <v>1758.30078125</v>
      </c>
      <c r="AR46" s="84" t="n">
        <f aca="false">GU46</f>
        <v>7216.50390625</v>
      </c>
      <c r="AT46" s="133" t="n">
        <f aca="false">$D46*Inputs!$C$13-$D46*$E46</f>
        <v>3700</v>
      </c>
      <c r="AU46" s="84" t="n">
        <f aca="false">AT46*(1+$I46)</f>
        <v>4625</v>
      </c>
      <c r="AV46" s="133" t="n">
        <f aca="false">AU46*Inputs!$C$14</f>
        <v>0</v>
      </c>
      <c r="AW46" s="84" t="n">
        <f aca="false">AU46-AV46</f>
        <v>4625</v>
      </c>
      <c r="AX46" s="133" t="n">
        <f aca="false">$D46*Inputs!$C$13</f>
        <v>4000</v>
      </c>
      <c r="AY46" s="84" t="n">
        <f aca="false">MIN(AV46,AX46)</f>
        <v>0</v>
      </c>
      <c r="AZ46" s="84" t="n">
        <f aca="false">AX46-AY46</f>
        <v>4000</v>
      </c>
      <c r="BA46" s="84" t="n">
        <f aca="false">$G46*AX46</f>
        <v>0</v>
      </c>
      <c r="BB46" s="84" t="n">
        <f aca="false">MIN(AV46-AY46,BA46)</f>
        <v>0</v>
      </c>
      <c r="BC46" s="84" t="n">
        <f aca="false">BA46-BB46</f>
        <v>0</v>
      </c>
      <c r="BD46" s="84" t="n">
        <f aca="false">IF($H46=1,MIN(AV46-AY46-BB46,MAX(0,$F46/(1-$F46)*BB46)),0)</f>
        <v>0</v>
      </c>
      <c r="BE46" s="84" t="n">
        <f aca="false">AV46-AY46-BB46-BD46</f>
        <v>0</v>
      </c>
      <c r="BF46" s="84" t="n">
        <f aca="false">AY46+BB46+(1-$F46)*BE46</f>
        <v>0</v>
      </c>
      <c r="BG46" s="84" t="n">
        <f aca="false">BD46+$F46*BE46</f>
        <v>0</v>
      </c>
      <c r="BH46" s="84" t="n">
        <f aca="false">BB46+(1-$F46)*BE46</f>
        <v>0</v>
      </c>
      <c r="BI46" s="84" t="n">
        <f aca="false">BG46</f>
        <v>0</v>
      </c>
      <c r="BJ46" s="133" t="n">
        <f aca="false">AW46+$D46*Inputs!$D$13-$D46*$E46</f>
        <v>8325</v>
      </c>
      <c r="BK46" s="84" t="n">
        <f aca="false">BJ46*(1+$I46)</f>
        <v>10406.25</v>
      </c>
      <c r="BL46" s="133" t="n">
        <f aca="false">BK46*Inputs!$D$14</f>
        <v>0</v>
      </c>
      <c r="BM46" s="84" t="n">
        <f aca="false">BK46-BL46</f>
        <v>10406.25</v>
      </c>
      <c r="BN46" s="133" t="n">
        <f aca="false">AZ46+$D46*Inputs!$D$13</f>
        <v>8000</v>
      </c>
      <c r="BO46" s="84" t="n">
        <f aca="false">MIN(BL46,BN46)</f>
        <v>0</v>
      </c>
      <c r="BP46" s="84" t="n">
        <f aca="false">BN46-BO46</f>
        <v>8000</v>
      </c>
      <c r="BQ46" s="84" t="n">
        <f aca="false">BC46+$G46*(BN46+BC46)</f>
        <v>0</v>
      </c>
      <c r="BR46" s="84" t="n">
        <f aca="false">MIN(BL46-BO46,BQ46)</f>
        <v>0</v>
      </c>
      <c r="BS46" s="84" t="n">
        <f aca="false">BQ46-BR46</f>
        <v>0</v>
      </c>
      <c r="BT46" s="84" t="n">
        <f aca="false">IF($H46=1,MIN(BL46-BO46-BR46,MAX(0,$F46/(1-$F46)*(BH46+BR46)-BI46)),0)</f>
        <v>0</v>
      </c>
      <c r="BU46" s="84" t="n">
        <f aca="false">BL46-BO46-BR46-BT46</f>
        <v>0</v>
      </c>
      <c r="BV46" s="84" t="n">
        <f aca="false">BO46+BR46+(1-$F46)*BU46</f>
        <v>0</v>
      </c>
      <c r="BW46" s="84" t="n">
        <f aca="false">BT46+$F46*BU46</f>
        <v>0</v>
      </c>
      <c r="BX46" s="84" t="n">
        <f aca="false">BH46+BR46+(1-$F46)*BU46</f>
        <v>0</v>
      </c>
      <c r="BY46" s="84" t="n">
        <f aca="false">BI46+BW46</f>
        <v>0</v>
      </c>
      <c r="BZ46" s="133" t="n">
        <f aca="false">BM46+$D46*Inputs!$E$13-$D46*$E46</f>
        <v>14106.25</v>
      </c>
      <c r="CA46" s="84" t="n">
        <f aca="false">BZ46*(1+$I46)</f>
        <v>17632.8125</v>
      </c>
      <c r="CB46" s="133" t="n">
        <f aca="false">CA46*Inputs!$E$14</f>
        <v>0</v>
      </c>
      <c r="CC46" s="84" t="n">
        <f aca="false">CA46-CB46</f>
        <v>17632.8125</v>
      </c>
      <c r="CD46" s="133" t="n">
        <f aca="false">BP46+$D46*Inputs!$E$13</f>
        <v>12000</v>
      </c>
      <c r="CE46" s="84" t="n">
        <f aca="false">MIN(CB46,CD46)</f>
        <v>0</v>
      </c>
      <c r="CF46" s="84" t="n">
        <f aca="false">CD46-CE46</f>
        <v>12000</v>
      </c>
      <c r="CG46" s="84" t="n">
        <f aca="false">BS46+$G46*(CD46+BS46)</f>
        <v>0</v>
      </c>
      <c r="CH46" s="84" t="n">
        <f aca="false">MIN(CB46-CE46,CG46)</f>
        <v>0</v>
      </c>
      <c r="CI46" s="84" t="n">
        <f aca="false">CG46-CH46</f>
        <v>0</v>
      </c>
      <c r="CJ46" s="84" t="n">
        <f aca="false">IF($H46=1,MIN(CB46-CE46-CH46,MAX(0,$F46/(1-$F46)*(BX46+CH46)-BY46)),0)</f>
        <v>0</v>
      </c>
      <c r="CK46" s="84" t="n">
        <f aca="false">CB46-CE46-CH46-CJ46</f>
        <v>0</v>
      </c>
      <c r="CL46" s="84" t="n">
        <f aca="false">CE46+CH46+(1-$F46)*CK46</f>
        <v>0</v>
      </c>
      <c r="CM46" s="84" t="n">
        <f aca="false">CJ46+$F46*CK46</f>
        <v>0</v>
      </c>
      <c r="CN46" s="84" t="n">
        <f aca="false">BX46+CH46+(1-$F46)*CK46</f>
        <v>0</v>
      </c>
      <c r="CO46" s="84" t="n">
        <f aca="false">BY46+CM46</f>
        <v>0</v>
      </c>
      <c r="CP46" s="133" t="n">
        <f aca="false">CC46+$D46*Inputs!$F$13-$D46*$E46</f>
        <v>21332.8125</v>
      </c>
      <c r="CQ46" s="84" t="n">
        <f aca="false">CP46*(1+$I46)</f>
        <v>26666.015625</v>
      </c>
      <c r="CR46" s="133" t="n">
        <f aca="false">CQ46*Inputs!$F$14</f>
        <v>0</v>
      </c>
      <c r="CS46" s="84" t="n">
        <f aca="false">CQ46-CR46</f>
        <v>26666.015625</v>
      </c>
      <c r="CT46" s="133" t="n">
        <f aca="false">CF46+$D46*Inputs!$F$13</f>
        <v>16000</v>
      </c>
      <c r="CU46" s="84" t="n">
        <f aca="false">MIN(CR46,CT46)</f>
        <v>0</v>
      </c>
      <c r="CV46" s="84" t="n">
        <f aca="false">CT46-CU46</f>
        <v>16000</v>
      </c>
      <c r="CW46" s="84" t="n">
        <f aca="false">CI46+$G46*(CT46+CI46)</f>
        <v>0</v>
      </c>
      <c r="CX46" s="84" t="n">
        <f aca="false">MIN(CR46-CU46,CW46)</f>
        <v>0</v>
      </c>
      <c r="CY46" s="84" t="n">
        <f aca="false">CW46-CX46</f>
        <v>0</v>
      </c>
      <c r="CZ46" s="84" t="n">
        <f aca="false">IF($H46=1,MIN(CR46-CU46-CX46,MAX(0,$F46/(1-$F46)*(CN46+CX46)-CO46)),0)</f>
        <v>0</v>
      </c>
      <c r="DA46" s="84" t="n">
        <f aca="false">CR46-CU46-CX46-CZ46</f>
        <v>0</v>
      </c>
      <c r="DB46" s="84" t="n">
        <f aca="false">CU46+CX46+(1-$F46)*DA46</f>
        <v>0</v>
      </c>
      <c r="DC46" s="84" t="n">
        <f aca="false">CZ46+$F46*DA46</f>
        <v>0</v>
      </c>
      <c r="DD46" s="84" t="n">
        <f aca="false">CN46+CX46+(1-$F46)*DA46</f>
        <v>0</v>
      </c>
      <c r="DE46" s="84" t="n">
        <f aca="false">CO46+DC46</f>
        <v>0</v>
      </c>
      <c r="DF46" s="133" t="n">
        <f aca="false">CS46+$D46*Inputs!$G$13-$D46*$E46</f>
        <v>30366.015625</v>
      </c>
      <c r="DG46" s="84" t="n">
        <f aca="false">DF46*(1+$I46)</f>
        <v>37957.51953125</v>
      </c>
      <c r="DH46" s="133" t="n">
        <f aca="false">DG46*Inputs!$G$14</f>
        <v>7591.50390625</v>
      </c>
      <c r="DI46" s="84" t="n">
        <f aca="false">DG46-DH46</f>
        <v>30366.015625</v>
      </c>
      <c r="DJ46" s="133" t="n">
        <f aca="false">CV46+$D46*Inputs!$G$13</f>
        <v>20000</v>
      </c>
      <c r="DK46" s="84" t="n">
        <f aca="false">MIN(DH46,DJ46)</f>
        <v>7591.50390625</v>
      </c>
      <c r="DL46" s="84" t="n">
        <f aca="false">DJ46-DK46</f>
        <v>12408.49609375</v>
      </c>
      <c r="DM46" s="84" t="n">
        <f aca="false">CY46+$G46*(DJ46+CY46)</f>
        <v>0</v>
      </c>
      <c r="DN46" s="84" t="n">
        <f aca="false">MIN(DH46-DK46,DM46)</f>
        <v>0</v>
      </c>
      <c r="DO46" s="84" t="n">
        <f aca="false">DM46-DN46</f>
        <v>0</v>
      </c>
      <c r="DP46" s="84" t="n">
        <f aca="false">IF($H46=1,MIN(DH46-DK46-DN46,MAX(0,$F46/(1-$F46)*(DD46+DN46)-DE46)),0)</f>
        <v>0</v>
      </c>
      <c r="DQ46" s="84" t="n">
        <f aca="false">DH46-DK46-DN46-DP46</f>
        <v>0</v>
      </c>
      <c r="DR46" s="84" t="n">
        <f aca="false">DK46+DN46+(1-$F46)*DQ46</f>
        <v>7591.50390625</v>
      </c>
      <c r="DS46" s="84" t="n">
        <f aca="false">DP46+$F46*DQ46</f>
        <v>0</v>
      </c>
      <c r="DT46" s="84" t="n">
        <f aca="false">DD46+DN46+(1-$F46)*DQ46</f>
        <v>0</v>
      </c>
      <c r="DU46" s="84" t="n">
        <f aca="false">DE46+DS46</f>
        <v>0</v>
      </c>
      <c r="DV46" s="133" t="n">
        <f aca="false">DI46+$D46*Inputs!$H$13-$D46*$E46</f>
        <v>30066.015625</v>
      </c>
      <c r="DW46" s="84" t="n">
        <f aca="false">DV46*(1+$I46)</f>
        <v>37582.51953125</v>
      </c>
      <c r="DX46" s="133" t="n">
        <f aca="false">DW46*Inputs!$H$14</f>
        <v>7516.50390625</v>
      </c>
      <c r="DY46" s="84" t="n">
        <f aca="false">DW46-DX46</f>
        <v>30066.015625</v>
      </c>
      <c r="DZ46" s="133" t="n">
        <f aca="false">DL46+$D46*Inputs!$H$13</f>
        <v>12408.49609375</v>
      </c>
      <c r="EA46" s="84" t="n">
        <f aca="false">MIN(DX46,DZ46)</f>
        <v>7516.50390625</v>
      </c>
      <c r="EB46" s="84" t="n">
        <f aca="false">DZ46-EA46</f>
        <v>4891.9921875</v>
      </c>
      <c r="EC46" s="84" t="n">
        <f aca="false">DO46+$G46*(DZ46+DO46)</f>
        <v>0</v>
      </c>
      <c r="ED46" s="84" t="n">
        <f aca="false">MIN(DX46-EA46,EC46)</f>
        <v>0</v>
      </c>
      <c r="EE46" s="84" t="n">
        <f aca="false">EC46-ED46</f>
        <v>0</v>
      </c>
      <c r="EF46" s="84" t="n">
        <f aca="false">IF($H46=1,MIN(DX46-EA46-ED46,MAX(0,$F46/(1-$F46)*(DT46+ED46)-DU46)),0)</f>
        <v>0</v>
      </c>
      <c r="EG46" s="84" t="n">
        <f aca="false">DX46-EA46-ED46-EF46</f>
        <v>0</v>
      </c>
      <c r="EH46" s="84" t="n">
        <f aca="false">EA46+ED46+(1-$F46)*EG46</f>
        <v>7516.50390625</v>
      </c>
      <c r="EI46" s="84" t="n">
        <f aca="false">EF46+$F46*EG46</f>
        <v>0</v>
      </c>
      <c r="EJ46" s="84" t="n">
        <f aca="false">DT46+ED46+(1-$F46)*EG46</f>
        <v>0</v>
      </c>
      <c r="EK46" s="84" t="n">
        <f aca="false">DU46+EI46</f>
        <v>0</v>
      </c>
      <c r="EL46" s="133" t="n">
        <f aca="false">DY46+$D46*Inputs!$I$13-$D46*$E46</f>
        <v>29766.015625</v>
      </c>
      <c r="EM46" s="84" t="n">
        <f aca="false">EL46*(1+$I46)</f>
        <v>37207.51953125</v>
      </c>
      <c r="EN46" s="133" t="n">
        <f aca="false">EM46*Inputs!$I$14</f>
        <v>7441.50390625</v>
      </c>
      <c r="EO46" s="84" t="n">
        <f aca="false">EM46-EN46</f>
        <v>29766.015625</v>
      </c>
      <c r="EP46" s="133" t="n">
        <f aca="false">EB46+$D46*Inputs!$I$13</f>
        <v>4891.9921875</v>
      </c>
      <c r="EQ46" s="84" t="n">
        <f aca="false">MIN(EN46,EP46)</f>
        <v>4891.9921875</v>
      </c>
      <c r="ER46" s="84" t="n">
        <f aca="false">EP46-EQ46</f>
        <v>0</v>
      </c>
      <c r="ES46" s="84" t="n">
        <f aca="false">EE46+$G46*(EP46+EE46)</f>
        <v>0</v>
      </c>
      <c r="ET46" s="84" t="n">
        <f aca="false">MIN(EN46-EQ46,ES46)</f>
        <v>0</v>
      </c>
      <c r="EU46" s="84" t="n">
        <f aca="false">ES46-ET46</f>
        <v>0</v>
      </c>
      <c r="EV46" s="84" t="n">
        <f aca="false">IF($H46=1,MIN(EN46-EQ46-ET46,MAX(0,$F46/(1-$F46)*(EJ46+ET46)-EK46)),0)</f>
        <v>0</v>
      </c>
      <c r="EW46" s="84" t="n">
        <f aca="false">EN46-EQ46-ET46-EV46</f>
        <v>2549.51171875</v>
      </c>
      <c r="EX46" s="84" t="n">
        <f aca="false">EQ46+ET46+(1-$F46)*EW46</f>
        <v>6931.6015625</v>
      </c>
      <c r="EY46" s="84" t="n">
        <f aca="false">EV46+$F46*EW46</f>
        <v>509.90234375</v>
      </c>
      <c r="EZ46" s="84" t="n">
        <f aca="false">EJ46+ET46+(1-$F46)*EW46</f>
        <v>2039.609375</v>
      </c>
      <c r="FA46" s="84" t="n">
        <f aca="false">EK46+EY46</f>
        <v>509.90234375</v>
      </c>
      <c r="FB46" s="133" t="n">
        <f aca="false">EO46+$D46*Inputs!$J$13-$D46*$E46</f>
        <v>29466.015625</v>
      </c>
      <c r="FC46" s="84" t="n">
        <f aca="false">FB46*(1+$I46)</f>
        <v>36832.51953125</v>
      </c>
      <c r="FD46" s="133" t="n">
        <f aca="false">FC46*Inputs!$J$14</f>
        <v>7366.50390625</v>
      </c>
      <c r="FE46" s="84" t="n">
        <f aca="false">FC46-FD46</f>
        <v>29466.015625</v>
      </c>
      <c r="FF46" s="133" t="n">
        <f aca="false">ER46+$D46*Inputs!$J$13</f>
        <v>0</v>
      </c>
      <c r="FG46" s="84" t="n">
        <f aca="false">MIN(FD46,FF46)</f>
        <v>0</v>
      </c>
      <c r="FH46" s="84" t="n">
        <f aca="false">FF46-FG46</f>
        <v>0</v>
      </c>
      <c r="FI46" s="84" t="n">
        <f aca="false">EU46+$G46*(FF46+EU46)</f>
        <v>0</v>
      </c>
      <c r="FJ46" s="84" t="n">
        <f aca="false">MIN(FD46-FG46,FI46)</f>
        <v>0</v>
      </c>
      <c r="FK46" s="84" t="n">
        <f aca="false">FI46-FJ46</f>
        <v>0</v>
      </c>
      <c r="FL46" s="84" t="n">
        <f aca="false">IF($H46=1,MIN(FD46-FG46-FJ46,MAX(0,$F46/(1-$F46)*(EZ46+FJ46)-FA46)),0)</f>
        <v>0</v>
      </c>
      <c r="FM46" s="84" t="n">
        <f aca="false">FD46-FG46-FJ46-FL46</f>
        <v>7366.50390625</v>
      </c>
      <c r="FN46" s="84" t="n">
        <f aca="false">FG46+FJ46+(1-$F46)*FM46</f>
        <v>5893.203125</v>
      </c>
      <c r="FO46" s="84" t="n">
        <f aca="false">FL46+$F46*FM46</f>
        <v>1473.30078125</v>
      </c>
      <c r="FP46" s="84" t="n">
        <f aca="false">EZ46+FJ46+(1-$F46)*FM46</f>
        <v>7932.8125</v>
      </c>
      <c r="FQ46" s="84" t="n">
        <f aca="false">FA46+FO46</f>
        <v>1983.203125</v>
      </c>
      <c r="FR46" s="133" t="n">
        <f aca="false">FE46+$D46*Inputs!$K$13-$D46*$E46</f>
        <v>29166.015625</v>
      </c>
      <c r="FS46" s="84" t="n">
        <f aca="false">FR46*(1+$I46)</f>
        <v>36457.51953125</v>
      </c>
      <c r="FT46" s="133" t="n">
        <f aca="false">FS46*Inputs!$K$14</f>
        <v>7291.50390625</v>
      </c>
      <c r="FU46" s="84" t="n">
        <f aca="false">FS46-FT46</f>
        <v>29166.015625</v>
      </c>
      <c r="FV46" s="133" t="n">
        <f aca="false">FH46+$D46*Inputs!$K$13</f>
        <v>0</v>
      </c>
      <c r="FW46" s="84" t="n">
        <f aca="false">MIN(FT46,FV46)</f>
        <v>0</v>
      </c>
      <c r="FX46" s="84" t="n">
        <f aca="false">FV46-FW46</f>
        <v>0</v>
      </c>
      <c r="FY46" s="84" t="n">
        <f aca="false">FK46+$G46*(FV46+FK46)</f>
        <v>0</v>
      </c>
      <c r="FZ46" s="84" t="n">
        <f aca="false">MIN(FT46-FW46,FY46)</f>
        <v>0</v>
      </c>
      <c r="GA46" s="84" t="n">
        <f aca="false">FY46-FZ46</f>
        <v>0</v>
      </c>
      <c r="GB46" s="84" t="n">
        <f aca="false">IF($H46=1,MIN(FT46-FW46-FZ46,MAX(0,$F46/(1-$F46)*(FP46+FZ46)-FQ46)),0)</f>
        <v>0</v>
      </c>
      <c r="GC46" s="84" t="n">
        <f aca="false">FT46-FW46-FZ46-GB46</f>
        <v>7291.50390625</v>
      </c>
      <c r="GD46" s="84" t="n">
        <f aca="false">FW46+FZ46+(1-$F46)*GC46</f>
        <v>5833.203125</v>
      </c>
      <c r="GE46" s="84" t="n">
        <f aca="false">GB46+$F46*GC46</f>
        <v>1458.30078125</v>
      </c>
      <c r="GF46" s="84" t="n">
        <f aca="false">FP46+FZ46+(1-$F46)*GC46</f>
        <v>13766.015625</v>
      </c>
      <c r="GG46" s="84" t="n">
        <f aca="false">FQ46+GE46</f>
        <v>3441.50390625</v>
      </c>
      <c r="GH46" s="133" t="n">
        <f aca="false">FU46+$D46*Inputs!$L$13-$D46*$E46</f>
        <v>28866.015625</v>
      </c>
      <c r="GI46" s="84" t="n">
        <f aca="false">GH46*(1+$I46)</f>
        <v>36082.51953125</v>
      </c>
      <c r="GJ46" s="133" t="n">
        <f aca="false">GI46*Inputs!$L$14</f>
        <v>36082.51953125</v>
      </c>
      <c r="GK46" s="84" t="n">
        <f aca="false">GI46-GJ46</f>
        <v>0</v>
      </c>
      <c r="GL46" s="133" t="n">
        <f aca="false">FX46+$D46*Inputs!$L$13</f>
        <v>0</v>
      </c>
      <c r="GM46" s="84" t="n">
        <f aca="false">MIN(GJ46,GL46)</f>
        <v>0</v>
      </c>
      <c r="GN46" s="84" t="n">
        <f aca="false">GL46-GM46</f>
        <v>0</v>
      </c>
      <c r="GO46" s="84" t="n">
        <f aca="false">GA46+$G46*(GL46+GA46)</f>
        <v>0</v>
      </c>
      <c r="GP46" s="84" t="n">
        <f aca="false">MIN(GJ46-GM46,GO46)</f>
        <v>0</v>
      </c>
      <c r="GQ46" s="84" t="n">
        <f aca="false">GO46-GP46</f>
        <v>0</v>
      </c>
      <c r="GR46" s="84" t="n">
        <f aca="false">IF($H46=1,MIN(GJ46-GM46-GP46,MAX(0,$F46/(1-$F46)*(GF46+GP46)-GG46)),0)</f>
        <v>0</v>
      </c>
      <c r="GS46" s="84" t="n">
        <f aca="false">GJ46-GM46-GP46-GR46</f>
        <v>36082.51953125</v>
      </c>
      <c r="GT46" s="84" t="n">
        <f aca="false">GM46+GP46+(1-$F46)*GS46</f>
        <v>28866.015625</v>
      </c>
      <c r="GU46" s="84" t="n">
        <f aca="false">GR46+$F46*GS46</f>
        <v>7216.50390625</v>
      </c>
      <c r="GV46" s="84" t="n">
        <f aca="false">GF46+GP46+(1-$F46)*GS46</f>
        <v>42632.03125</v>
      </c>
      <c r="GW46" s="84" t="n">
        <f aca="false">GG46+GU46</f>
        <v>10658.0078125</v>
      </c>
    </row>
    <row r="47" customFormat="false" ht="15" hidden="false" customHeight="false" outlineLevel="0" collapsed="false">
      <c r="A47" s="5" t="s">
        <v>635</v>
      </c>
      <c r="B47" s="5" t="s">
        <v>636</v>
      </c>
      <c r="C47" s="135" t="n">
        <v>26</v>
      </c>
      <c r="D47" s="47" t="n">
        <f aca="false">Inputs!$C$6</f>
        <v>20000</v>
      </c>
      <c r="E47" s="35" t="n">
        <f aca="false">Inputs!$C$18</f>
        <v>0.015</v>
      </c>
      <c r="F47" s="36" t="n">
        <f aca="false">Inputs!$C$20</f>
        <v>0.2</v>
      </c>
      <c r="G47" s="30" t="n">
        <v>0</v>
      </c>
      <c r="H47" s="27" t="n">
        <v>0</v>
      </c>
      <c r="I47" s="132" t="n">
        <f aca="false">Inputs!$C$38+$C47*Inputs!$C$39</f>
        <v>0.26</v>
      </c>
      <c r="J47" s="36" t="n">
        <f aca="false">Inputs!$C$9</f>
        <v>0.15</v>
      </c>
      <c r="K47" s="89" t="n">
        <f aca="false">IRR(W47:AG47,0.1)</f>
        <v>0.213751277308882</v>
      </c>
      <c r="L47" s="45" t="n">
        <f aca="false">W47+NPV($J47,X47:AG47)</f>
        <v>5938.31600587542</v>
      </c>
      <c r="M47" s="45" t="n">
        <f aca="false">SUM(BF47,BV47,CL47,DB47,DR47,EH47,EX47,FN47,GD47,GT47)</f>
        <v>66047.8571575462</v>
      </c>
      <c r="N47" s="43" t="n">
        <f aca="false">IF($D47*SUM(Inputs!$C$13:$L$13)=0,0,M47/($D47*SUM(Inputs!$C$13:$L$13)))</f>
        <v>3.30239285787731</v>
      </c>
      <c r="O47" s="42" t="n">
        <f aca="false">$D47*$E47*COLUMNS(Inputs!$C$13:$L$13)</f>
        <v>3000</v>
      </c>
      <c r="P47" s="45" t="n">
        <f aca="false">SUM(BG47,BW47,CM47,DC47,DS47,EI47,EY47,FO47,GE47,GU47)</f>
        <v>11511.9642893866</v>
      </c>
      <c r="Q47" s="42" t="n">
        <f aca="false">PV($J47,COLUMNS(Inputs!$C$13:$L$13),-$D47*$E47,0,1)</f>
        <v>1731.47517591971</v>
      </c>
      <c r="R47" s="45" t="n">
        <f aca="false">NPV($J47,BG47,BW47,CM47,DC47,DS47,EI47,EY47,FO47,GE47,GU47)</f>
        <v>3113.55716369572</v>
      </c>
      <c r="S47" s="45" t="n">
        <f aca="false">Q47+R47</f>
        <v>4845.03233961543</v>
      </c>
      <c r="T47" s="32" t="n">
        <f aca="false">IF(S47=0,0,Q47/S47)</f>
        <v>0.357371231923943</v>
      </c>
      <c r="U47" s="45" t="n">
        <f aca="false">ROUND(ABS(GK47)+ABS(SUM(AV47,BL47,CB47,CR47,DH47,DX47,EN47,FD47,FT47,GJ47)-M47-P47)+ABS(S47-(AH47+NPV($J47,AI47:AR47))),6)</f>
        <v>0</v>
      </c>
      <c r="W47" s="133" t="n">
        <f aca="false">-$D47*Inputs!$C$13</f>
        <v>-4000</v>
      </c>
      <c r="X47" s="133" t="n">
        <f aca="false">BF47-$D47*Inputs!$D$13</f>
        <v>-4000</v>
      </c>
      <c r="Y47" s="133" t="n">
        <f aca="false">BV47-$D47*Inputs!$E$13</f>
        <v>-4000</v>
      </c>
      <c r="Z47" s="133" t="n">
        <f aca="false">CL47-$D47*Inputs!$F$13</f>
        <v>-4000</v>
      </c>
      <c r="AA47" s="133" t="n">
        <f aca="false">DB47-$D47*Inputs!$G$13</f>
        <v>-4000</v>
      </c>
      <c r="AB47" s="133" t="n">
        <f aca="false">DR47-$D47*Inputs!$H$13</f>
        <v>7802.742556224</v>
      </c>
      <c r="AC47" s="133" t="n">
        <f aca="false">EH47-$D47*Inputs!$I$13</f>
        <v>7789.56449667379</v>
      </c>
      <c r="AD47" s="133" t="n">
        <f aca="false">EX47-$D47*Inputs!$J$13</f>
        <v>7102.56339953819</v>
      </c>
      <c r="AE47" s="133" t="n">
        <f aca="false">FN47-$D47*Inputs!$K$13</f>
        <v>6210.31300859869</v>
      </c>
      <c r="AF47" s="133" t="n">
        <f aca="false">GD47-$D47*Inputs!$L$13</f>
        <v>6199.51551266748</v>
      </c>
      <c r="AG47" s="84" t="n">
        <f aca="false">GT47</f>
        <v>30943.1581838441</v>
      </c>
      <c r="AH47" s="84" t="n">
        <f aca="false">$D47*$E47</f>
        <v>300</v>
      </c>
      <c r="AI47" s="84" t="n">
        <f aca="false">BG47+$D47*$E47</f>
        <v>300</v>
      </c>
      <c r="AJ47" s="84" t="n">
        <f aca="false">BW47+$D47*$E47</f>
        <v>300</v>
      </c>
      <c r="AK47" s="84" t="n">
        <f aca="false">CM47+$D47*$E47</f>
        <v>300</v>
      </c>
      <c r="AL47" s="84" t="n">
        <f aca="false">DC47+$D47*$E47</f>
        <v>300</v>
      </c>
      <c r="AM47" s="84" t="n">
        <f aca="false">DS47+$D47*$E47</f>
        <v>300</v>
      </c>
      <c r="AN47" s="84" t="n">
        <f aca="false">EI47+$D47*$E47</f>
        <v>300</v>
      </c>
      <c r="AO47" s="84" t="n">
        <f aca="false">EY47+$D47*$E47</f>
        <v>973.717613108996</v>
      </c>
      <c r="AP47" s="84" t="n">
        <f aca="false">FO47+$D47*$E47</f>
        <v>1852.57825214967</v>
      </c>
      <c r="AQ47" s="84" t="n">
        <f aca="false">GE47+$D47*$E47</f>
        <v>1849.87887816687</v>
      </c>
      <c r="AR47" s="84" t="n">
        <f aca="false">GU47</f>
        <v>7735.78954596102</v>
      </c>
      <c r="AT47" s="133" t="n">
        <f aca="false">$D47*Inputs!$C$13-$D47*$E47</f>
        <v>3700</v>
      </c>
      <c r="AU47" s="84" t="n">
        <f aca="false">AT47*(1+$I47)</f>
        <v>4662</v>
      </c>
      <c r="AV47" s="133" t="n">
        <f aca="false">AU47*Inputs!$C$14</f>
        <v>0</v>
      </c>
      <c r="AW47" s="84" t="n">
        <f aca="false">AU47-AV47</f>
        <v>4662</v>
      </c>
      <c r="AX47" s="133" t="n">
        <f aca="false">$D47*Inputs!$C$13</f>
        <v>4000</v>
      </c>
      <c r="AY47" s="84" t="n">
        <f aca="false">MIN(AV47,AX47)</f>
        <v>0</v>
      </c>
      <c r="AZ47" s="84" t="n">
        <f aca="false">AX47-AY47</f>
        <v>4000</v>
      </c>
      <c r="BA47" s="84" t="n">
        <f aca="false">$G47*AX47</f>
        <v>0</v>
      </c>
      <c r="BB47" s="84" t="n">
        <f aca="false">MIN(AV47-AY47,BA47)</f>
        <v>0</v>
      </c>
      <c r="BC47" s="84" t="n">
        <f aca="false">BA47-BB47</f>
        <v>0</v>
      </c>
      <c r="BD47" s="84" t="n">
        <f aca="false">IF($H47=1,MIN(AV47-AY47-BB47,MAX(0,$F47/(1-$F47)*BB47)),0)</f>
        <v>0</v>
      </c>
      <c r="BE47" s="84" t="n">
        <f aca="false">AV47-AY47-BB47-BD47</f>
        <v>0</v>
      </c>
      <c r="BF47" s="84" t="n">
        <f aca="false">AY47+BB47+(1-$F47)*BE47</f>
        <v>0</v>
      </c>
      <c r="BG47" s="84" t="n">
        <f aca="false">BD47+$F47*BE47</f>
        <v>0</v>
      </c>
      <c r="BH47" s="84" t="n">
        <f aca="false">BB47+(1-$F47)*BE47</f>
        <v>0</v>
      </c>
      <c r="BI47" s="84" t="n">
        <f aca="false">BG47</f>
        <v>0</v>
      </c>
      <c r="BJ47" s="133" t="n">
        <f aca="false">AW47+$D47*Inputs!$D$13-$D47*$E47</f>
        <v>8362</v>
      </c>
      <c r="BK47" s="84" t="n">
        <f aca="false">BJ47*(1+$I47)</f>
        <v>10536.12</v>
      </c>
      <c r="BL47" s="133" t="n">
        <f aca="false">BK47*Inputs!$D$14</f>
        <v>0</v>
      </c>
      <c r="BM47" s="84" t="n">
        <f aca="false">BK47-BL47</f>
        <v>10536.12</v>
      </c>
      <c r="BN47" s="133" t="n">
        <f aca="false">AZ47+$D47*Inputs!$D$13</f>
        <v>8000</v>
      </c>
      <c r="BO47" s="84" t="n">
        <f aca="false">MIN(BL47,BN47)</f>
        <v>0</v>
      </c>
      <c r="BP47" s="84" t="n">
        <f aca="false">BN47-BO47</f>
        <v>8000</v>
      </c>
      <c r="BQ47" s="84" t="n">
        <f aca="false">BC47+$G47*(BN47+BC47)</f>
        <v>0</v>
      </c>
      <c r="BR47" s="84" t="n">
        <f aca="false">MIN(BL47-BO47,BQ47)</f>
        <v>0</v>
      </c>
      <c r="BS47" s="84" t="n">
        <f aca="false">BQ47-BR47</f>
        <v>0</v>
      </c>
      <c r="BT47" s="84" t="n">
        <f aca="false">IF($H47=1,MIN(BL47-BO47-BR47,MAX(0,$F47/(1-$F47)*(BH47+BR47)-BI47)),0)</f>
        <v>0</v>
      </c>
      <c r="BU47" s="84" t="n">
        <f aca="false">BL47-BO47-BR47-BT47</f>
        <v>0</v>
      </c>
      <c r="BV47" s="84" t="n">
        <f aca="false">BO47+BR47+(1-$F47)*BU47</f>
        <v>0</v>
      </c>
      <c r="BW47" s="84" t="n">
        <f aca="false">BT47+$F47*BU47</f>
        <v>0</v>
      </c>
      <c r="BX47" s="84" t="n">
        <f aca="false">BH47+BR47+(1-$F47)*BU47</f>
        <v>0</v>
      </c>
      <c r="BY47" s="84" t="n">
        <f aca="false">BI47+BW47</f>
        <v>0</v>
      </c>
      <c r="BZ47" s="133" t="n">
        <f aca="false">BM47+$D47*Inputs!$E$13-$D47*$E47</f>
        <v>14236.12</v>
      </c>
      <c r="CA47" s="84" t="n">
        <f aca="false">BZ47*(1+$I47)</f>
        <v>17937.5112</v>
      </c>
      <c r="CB47" s="133" t="n">
        <f aca="false">CA47*Inputs!$E$14</f>
        <v>0</v>
      </c>
      <c r="CC47" s="84" t="n">
        <f aca="false">CA47-CB47</f>
        <v>17937.5112</v>
      </c>
      <c r="CD47" s="133" t="n">
        <f aca="false">BP47+$D47*Inputs!$E$13</f>
        <v>12000</v>
      </c>
      <c r="CE47" s="84" t="n">
        <f aca="false">MIN(CB47,CD47)</f>
        <v>0</v>
      </c>
      <c r="CF47" s="84" t="n">
        <f aca="false">CD47-CE47</f>
        <v>12000</v>
      </c>
      <c r="CG47" s="84" t="n">
        <f aca="false">BS47+$G47*(CD47+BS47)</f>
        <v>0</v>
      </c>
      <c r="CH47" s="84" t="n">
        <f aca="false">MIN(CB47-CE47,CG47)</f>
        <v>0</v>
      </c>
      <c r="CI47" s="84" t="n">
        <f aca="false">CG47-CH47</f>
        <v>0</v>
      </c>
      <c r="CJ47" s="84" t="n">
        <f aca="false">IF($H47=1,MIN(CB47-CE47-CH47,MAX(0,$F47/(1-$F47)*(BX47+CH47)-BY47)),0)</f>
        <v>0</v>
      </c>
      <c r="CK47" s="84" t="n">
        <f aca="false">CB47-CE47-CH47-CJ47</f>
        <v>0</v>
      </c>
      <c r="CL47" s="84" t="n">
        <f aca="false">CE47+CH47+(1-$F47)*CK47</f>
        <v>0</v>
      </c>
      <c r="CM47" s="84" t="n">
        <f aca="false">CJ47+$F47*CK47</f>
        <v>0</v>
      </c>
      <c r="CN47" s="84" t="n">
        <f aca="false">BX47+CH47+(1-$F47)*CK47</f>
        <v>0</v>
      </c>
      <c r="CO47" s="84" t="n">
        <f aca="false">BY47+CM47</f>
        <v>0</v>
      </c>
      <c r="CP47" s="133" t="n">
        <f aca="false">CC47+$D47*Inputs!$F$13-$D47*$E47</f>
        <v>21637.5112</v>
      </c>
      <c r="CQ47" s="84" t="n">
        <f aca="false">CP47*(1+$I47)</f>
        <v>27263.264112</v>
      </c>
      <c r="CR47" s="133" t="n">
        <f aca="false">CQ47*Inputs!$F$14</f>
        <v>0</v>
      </c>
      <c r="CS47" s="84" t="n">
        <f aca="false">CQ47-CR47</f>
        <v>27263.264112</v>
      </c>
      <c r="CT47" s="133" t="n">
        <f aca="false">CF47+$D47*Inputs!$F$13</f>
        <v>16000</v>
      </c>
      <c r="CU47" s="84" t="n">
        <f aca="false">MIN(CR47,CT47)</f>
        <v>0</v>
      </c>
      <c r="CV47" s="84" t="n">
        <f aca="false">CT47-CU47</f>
        <v>16000</v>
      </c>
      <c r="CW47" s="84" t="n">
        <f aca="false">CI47+$G47*(CT47+CI47)</f>
        <v>0</v>
      </c>
      <c r="CX47" s="84" t="n">
        <f aca="false">MIN(CR47-CU47,CW47)</f>
        <v>0</v>
      </c>
      <c r="CY47" s="84" t="n">
        <f aca="false">CW47-CX47</f>
        <v>0</v>
      </c>
      <c r="CZ47" s="84" t="n">
        <f aca="false">IF($H47=1,MIN(CR47-CU47-CX47,MAX(0,$F47/(1-$F47)*(CN47+CX47)-CO47)),0)</f>
        <v>0</v>
      </c>
      <c r="DA47" s="84" t="n">
        <f aca="false">CR47-CU47-CX47-CZ47</f>
        <v>0</v>
      </c>
      <c r="DB47" s="84" t="n">
        <f aca="false">CU47+CX47+(1-$F47)*DA47</f>
        <v>0</v>
      </c>
      <c r="DC47" s="84" t="n">
        <f aca="false">CZ47+$F47*DA47</f>
        <v>0</v>
      </c>
      <c r="DD47" s="84" t="n">
        <f aca="false">CN47+CX47+(1-$F47)*DA47</f>
        <v>0</v>
      </c>
      <c r="DE47" s="84" t="n">
        <f aca="false">CO47+DC47</f>
        <v>0</v>
      </c>
      <c r="DF47" s="133" t="n">
        <f aca="false">CS47+$D47*Inputs!$G$13-$D47*$E47</f>
        <v>30963.264112</v>
      </c>
      <c r="DG47" s="84" t="n">
        <f aca="false">DF47*(1+$I47)</f>
        <v>39013.71278112</v>
      </c>
      <c r="DH47" s="133" t="n">
        <f aca="false">DG47*Inputs!$G$14</f>
        <v>7802.742556224</v>
      </c>
      <c r="DI47" s="84" t="n">
        <f aca="false">DG47-DH47</f>
        <v>31210.970224896</v>
      </c>
      <c r="DJ47" s="133" t="n">
        <f aca="false">CV47+$D47*Inputs!$G$13</f>
        <v>20000</v>
      </c>
      <c r="DK47" s="84" t="n">
        <f aca="false">MIN(DH47,DJ47)</f>
        <v>7802.742556224</v>
      </c>
      <c r="DL47" s="84" t="n">
        <f aca="false">DJ47-DK47</f>
        <v>12197.257443776</v>
      </c>
      <c r="DM47" s="84" t="n">
        <f aca="false">CY47+$G47*(DJ47+CY47)</f>
        <v>0</v>
      </c>
      <c r="DN47" s="84" t="n">
        <f aca="false">MIN(DH47-DK47,DM47)</f>
        <v>0</v>
      </c>
      <c r="DO47" s="84" t="n">
        <f aca="false">DM47-DN47</f>
        <v>0</v>
      </c>
      <c r="DP47" s="84" t="n">
        <f aca="false">IF($H47=1,MIN(DH47-DK47-DN47,MAX(0,$F47/(1-$F47)*(DD47+DN47)-DE47)),0)</f>
        <v>0</v>
      </c>
      <c r="DQ47" s="84" t="n">
        <f aca="false">DH47-DK47-DN47-DP47</f>
        <v>0</v>
      </c>
      <c r="DR47" s="84" t="n">
        <f aca="false">DK47+DN47+(1-$F47)*DQ47</f>
        <v>7802.742556224</v>
      </c>
      <c r="DS47" s="84" t="n">
        <f aca="false">DP47+$F47*DQ47</f>
        <v>0</v>
      </c>
      <c r="DT47" s="84" t="n">
        <f aca="false">DD47+DN47+(1-$F47)*DQ47</f>
        <v>0</v>
      </c>
      <c r="DU47" s="84" t="n">
        <f aca="false">DE47+DS47</f>
        <v>0</v>
      </c>
      <c r="DV47" s="133" t="n">
        <f aca="false">DI47+$D47*Inputs!$H$13-$D47*$E47</f>
        <v>30910.970224896</v>
      </c>
      <c r="DW47" s="84" t="n">
        <f aca="false">DV47*(1+$I47)</f>
        <v>38947.822483369</v>
      </c>
      <c r="DX47" s="133" t="n">
        <f aca="false">DW47*Inputs!$H$14</f>
        <v>7789.56449667379</v>
      </c>
      <c r="DY47" s="84" t="n">
        <f aca="false">DW47-DX47</f>
        <v>31158.2579866952</v>
      </c>
      <c r="DZ47" s="133" t="n">
        <f aca="false">DL47+$D47*Inputs!$H$13</f>
        <v>12197.257443776</v>
      </c>
      <c r="EA47" s="84" t="n">
        <f aca="false">MIN(DX47,DZ47)</f>
        <v>7789.56449667379</v>
      </c>
      <c r="EB47" s="84" t="n">
        <f aca="false">DZ47-EA47</f>
        <v>4407.69294710221</v>
      </c>
      <c r="EC47" s="84" t="n">
        <f aca="false">DO47+$G47*(DZ47+DO47)</f>
        <v>0</v>
      </c>
      <c r="ED47" s="84" t="n">
        <f aca="false">MIN(DX47-EA47,EC47)</f>
        <v>0</v>
      </c>
      <c r="EE47" s="84" t="n">
        <f aca="false">EC47-ED47</f>
        <v>0</v>
      </c>
      <c r="EF47" s="84" t="n">
        <f aca="false">IF($H47=1,MIN(DX47-EA47-ED47,MAX(0,$F47/(1-$F47)*(DT47+ED47)-DU47)),0)</f>
        <v>0</v>
      </c>
      <c r="EG47" s="84" t="n">
        <f aca="false">DX47-EA47-ED47-EF47</f>
        <v>0</v>
      </c>
      <c r="EH47" s="84" t="n">
        <f aca="false">EA47+ED47+(1-$F47)*EG47</f>
        <v>7789.56449667379</v>
      </c>
      <c r="EI47" s="84" t="n">
        <f aca="false">EF47+$F47*EG47</f>
        <v>0</v>
      </c>
      <c r="EJ47" s="84" t="n">
        <f aca="false">DT47+ED47+(1-$F47)*EG47</f>
        <v>0</v>
      </c>
      <c r="EK47" s="84" t="n">
        <f aca="false">DU47+EI47</f>
        <v>0</v>
      </c>
      <c r="EL47" s="133" t="n">
        <f aca="false">DY47+$D47*Inputs!$I$13-$D47*$E47</f>
        <v>30858.2579866952</v>
      </c>
      <c r="EM47" s="84" t="n">
        <f aca="false">EL47*(1+$I47)</f>
        <v>38881.4050632359</v>
      </c>
      <c r="EN47" s="133" t="n">
        <f aca="false">EM47*Inputs!$I$14</f>
        <v>7776.28101264718</v>
      </c>
      <c r="EO47" s="84" t="n">
        <f aca="false">EM47-EN47</f>
        <v>31105.1240505887</v>
      </c>
      <c r="EP47" s="133" t="n">
        <f aca="false">EB47+$D47*Inputs!$I$13</f>
        <v>4407.69294710221</v>
      </c>
      <c r="EQ47" s="84" t="n">
        <f aca="false">MIN(EN47,EP47)</f>
        <v>4407.69294710221</v>
      </c>
      <c r="ER47" s="84" t="n">
        <f aca="false">EP47-EQ47</f>
        <v>0</v>
      </c>
      <c r="ES47" s="84" t="n">
        <f aca="false">EE47+$G47*(EP47+EE47)</f>
        <v>0</v>
      </c>
      <c r="ET47" s="84" t="n">
        <f aca="false">MIN(EN47-EQ47,ES47)</f>
        <v>0</v>
      </c>
      <c r="EU47" s="84" t="n">
        <f aca="false">ES47-ET47</f>
        <v>0</v>
      </c>
      <c r="EV47" s="84" t="n">
        <f aca="false">IF($H47=1,MIN(EN47-EQ47-ET47,MAX(0,$F47/(1-$F47)*(EJ47+ET47)-EK47)),0)</f>
        <v>0</v>
      </c>
      <c r="EW47" s="84" t="n">
        <f aca="false">EN47-EQ47-ET47-EV47</f>
        <v>3368.58806554498</v>
      </c>
      <c r="EX47" s="84" t="n">
        <f aca="false">EQ47+ET47+(1-$F47)*EW47</f>
        <v>7102.56339953819</v>
      </c>
      <c r="EY47" s="84" t="n">
        <f aca="false">EV47+$F47*EW47</f>
        <v>673.717613108996</v>
      </c>
      <c r="EZ47" s="84" t="n">
        <f aca="false">EJ47+ET47+(1-$F47)*EW47</f>
        <v>2694.87045243598</v>
      </c>
      <c r="FA47" s="84" t="n">
        <f aca="false">EK47+EY47</f>
        <v>673.717613108996</v>
      </c>
      <c r="FB47" s="133" t="n">
        <f aca="false">EO47+$D47*Inputs!$J$13-$D47*$E47</f>
        <v>30805.1240505887</v>
      </c>
      <c r="FC47" s="84" t="n">
        <f aca="false">FB47*(1+$I47)</f>
        <v>38814.4563037418</v>
      </c>
      <c r="FD47" s="133" t="n">
        <f aca="false">FC47*Inputs!$J$14</f>
        <v>7762.89126074836</v>
      </c>
      <c r="FE47" s="84" t="n">
        <f aca="false">FC47-FD47</f>
        <v>31051.5650429934</v>
      </c>
      <c r="FF47" s="133" t="n">
        <f aca="false">ER47+$D47*Inputs!$J$13</f>
        <v>0</v>
      </c>
      <c r="FG47" s="84" t="n">
        <f aca="false">MIN(FD47,FF47)</f>
        <v>0</v>
      </c>
      <c r="FH47" s="84" t="n">
        <f aca="false">FF47-FG47</f>
        <v>0</v>
      </c>
      <c r="FI47" s="84" t="n">
        <f aca="false">EU47+$G47*(FF47+EU47)</f>
        <v>0</v>
      </c>
      <c r="FJ47" s="84" t="n">
        <f aca="false">MIN(FD47-FG47,FI47)</f>
        <v>0</v>
      </c>
      <c r="FK47" s="84" t="n">
        <f aca="false">FI47-FJ47</f>
        <v>0</v>
      </c>
      <c r="FL47" s="84" t="n">
        <f aca="false">IF($H47=1,MIN(FD47-FG47-FJ47,MAX(0,$F47/(1-$F47)*(EZ47+FJ47)-FA47)),0)</f>
        <v>0</v>
      </c>
      <c r="FM47" s="84" t="n">
        <f aca="false">FD47-FG47-FJ47-FL47</f>
        <v>7762.89126074836</v>
      </c>
      <c r="FN47" s="84" t="n">
        <f aca="false">FG47+FJ47+(1-$F47)*FM47</f>
        <v>6210.31300859869</v>
      </c>
      <c r="FO47" s="84" t="n">
        <f aca="false">FL47+$F47*FM47</f>
        <v>1552.57825214967</v>
      </c>
      <c r="FP47" s="84" t="n">
        <f aca="false">EZ47+FJ47+(1-$F47)*FM47</f>
        <v>8905.18346103467</v>
      </c>
      <c r="FQ47" s="84" t="n">
        <f aca="false">FA47+FO47</f>
        <v>2226.29586525867</v>
      </c>
      <c r="FR47" s="133" t="n">
        <f aca="false">FE47+$D47*Inputs!$K$13-$D47*$E47</f>
        <v>30751.5650429934</v>
      </c>
      <c r="FS47" s="84" t="n">
        <f aca="false">FR47*(1+$I47)</f>
        <v>38746.9719541717</v>
      </c>
      <c r="FT47" s="133" t="n">
        <f aca="false">FS47*Inputs!$K$14</f>
        <v>7749.39439083435</v>
      </c>
      <c r="FU47" s="84" t="n">
        <f aca="false">FS47-FT47</f>
        <v>30997.5775633374</v>
      </c>
      <c r="FV47" s="133" t="n">
        <f aca="false">FH47+$D47*Inputs!$K$13</f>
        <v>0</v>
      </c>
      <c r="FW47" s="84" t="n">
        <f aca="false">MIN(FT47,FV47)</f>
        <v>0</v>
      </c>
      <c r="FX47" s="84" t="n">
        <f aca="false">FV47-FW47</f>
        <v>0</v>
      </c>
      <c r="FY47" s="84" t="n">
        <f aca="false">FK47+$G47*(FV47+FK47)</f>
        <v>0</v>
      </c>
      <c r="FZ47" s="84" t="n">
        <f aca="false">MIN(FT47-FW47,FY47)</f>
        <v>0</v>
      </c>
      <c r="GA47" s="84" t="n">
        <f aca="false">FY47-FZ47</f>
        <v>0</v>
      </c>
      <c r="GB47" s="84" t="n">
        <f aca="false">IF($H47=1,MIN(FT47-FW47-FZ47,MAX(0,$F47/(1-$F47)*(FP47+FZ47)-FQ47)),0)</f>
        <v>0</v>
      </c>
      <c r="GC47" s="84" t="n">
        <f aca="false">FT47-FW47-FZ47-GB47</f>
        <v>7749.39439083435</v>
      </c>
      <c r="GD47" s="84" t="n">
        <f aca="false">FW47+FZ47+(1-$F47)*GC47</f>
        <v>6199.51551266748</v>
      </c>
      <c r="GE47" s="84" t="n">
        <f aca="false">GB47+$F47*GC47</f>
        <v>1549.87887816687</v>
      </c>
      <c r="GF47" s="84" t="n">
        <f aca="false">FP47+FZ47+(1-$F47)*GC47</f>
        <v>15104.6989737022</v>
      </c>
      <c r="GG47" s="84" t="n">
        <f aca="false">FQ47+GE47</f>
        <v>3776.17474342554</v>
      </c>
      <c r="GH47" s="133" t="n">
        <f aca="false">FU47+$D47*Inputs!$L$13-$D47*$E47</f>
        <v>30697.5775633374</v>
      </c>
      <c r="GI47" s="84" t="n">
        <f aca="false">GH47*(1+$I47)</f>
        <v>38678.9477298051</v>
      </c>
      <c r="GJ47" s="133" t="n">
        <f aca="false">GI47*Inputs!$L$14</f>
        <v>38678.9477298051</v>
      </c>
      <c r="GK47" s="84" t="n">
        <f aca="false">GI47-GJ47</f>
        <v>0</v>
      </c>
      <c r="GL47" s="133" t="n">
        <f aca="false">FX47+$D47*Inputs!$L$13</f>
        <v>0</v>
      </c>
      <c r="GM47" s="84" t="n">
        <f aca="false">MIN(GJ47,GL47)</f>
        <v>0</v>
      </c>
      <c r="GN47" s="84" t="n">
        <f aca="false">GL47-GM47</f>
        <v>0</v>
      </c>
      <c r="GO47" s="84" t="n">
        <f aca="false">GA47+$G47*(GL47+GA47)</f>
        <v>0</v>
      </c>
      <c r="GP47" s="84" t="n">
        <f aca="false">MIN(GJ47-GM47,GO47)</f>
        <v>0</v>
      </c>
      <c r="GQ47" s="84" t="n">
        <f aca="false">GO47-GP47</f>
        <v>0</v>
      </c>
      <c r="GR47" s="84" t="n">
        <f aca="false">IF($H47=1,MIN(GJ47-GM47-GP47,MAX(0,$F47/(1-$F47)*(GF47+GP47)-GG47)),0)</f>
        <v>0</v>
      </c>
      <c r="GS47" s="84" t="n">
        <f aca="false">GJ47-GM47-GP47-GR47</f>
        <v>38678.9477298051</v>
      </c>
      <c r="GT47" s="84" t="n">
        <f aca="false">GM47+GP47+(1-$F47)*GS47</f>
        <v>30943.1581838441</v>
      </c>
      <c r="GU47" s="84" t="n">
        <f aca="false">GR47+$F47*GS47</f>
        <v>7735.78954596102</v>
      </c>
      <c r="GV47" s="84" t="n">
        <f aca="false">GF47+GP47+(1-$F47)*GS47</f>
        <v>46047.8571575462</v>
      </c>
      <c r="GW47" s="84" t="n">
        <f aca="false">GG47+GU47</f>
        <v>11511.9642893866</v>
      </c>
    </row>
    <row r="48" customFormat="false" ht="15" hidden="false" customHeight="false" outlineLevel="0" collapsed="false">
      <c r="A48" s="5" t="s">
        <v>635</v>
      </c>
      <c r="B48" s="5" t="s">
        <v>636</v>
      </c>
      <c r="C48" s="135" t="n">
        <v>27</v>
      </c>
      <c r="D48" s="47" t="n">
        <f aca="false">Inputs!$C$6</f>
        <v>20000</v>
      </c>
      <c r="E48" s="35" t="n">
        <f aca="false">Inputs!$C$18</f>
        <v>0.015</v>
      </c>
      <c r="F48" s="36" t="n">
        <f aca="false">Inputs!$C$20</f>
        <v>0.2</v>
      </c>
      <c r="G48" s="30" t="n">
        <v>0</v>
      </c>
      <c r="H48" s="27" t="n">
        <v>0</v>
      </c>
      <c r="I48" s="132" t="n">
        <f aca="false">Inputs!$C$38+$C48*Inputs!$C$39</f>
        <v>0.27</v>
      </c>
      <c r="J48" s="36" t="n">
        <f aca="false">Inputs!$C$9</f>
        <v>0.15</v>
      </c>
      <c r="K48" s="89" t="n">
        <f aca="false">IRR(W48:AG48,0.1)</f>
        <v>0.223204274320159</v>
      </c>
      <c r="L48" s="45" t="n">
        <f aca="false">W48+NPV($J48,X48:AG48)</f>
        <v>6999.22488434471</v>
      </c>
      <c r="M48" s="45" t="n">
        <f aca="false">SUM(BF48,BV48,CL48,DB48,DR48,EH48,EX48,FN48,GD48,GT48)</f>
        <v>69652.0192338837</v>
      </c>
      <c r="N48" s="43" t="n">
        <f aca="false">IF($D48*SUM(Inputs!$C$13:$L$13)=0,0,M48/($D48*SUM(Inputs!$C$13:$L$13)))</f>
        <v>3.48260096169419</v>
      </c>
      <c r="O48" s="42" t="n">
        <f aca="false">$D48*$E48*COLUMNS(Inputs!$C$13:$L$13)</f>
        <v>3000</v>
      </c>
      <c r="P48" s="45" t="n">
        <f aca="false">SUM(BG48,BW48,CM48,DC48,DS48,EI48,EY48,FO48,GE48,GU48)</f>
        <v>12413.0048084709</v>
      </c>
      <c r="Q48" s="42" t="n">
        <f aca="false">PV($J48,COLUMNS(Inputs!$C$13:$L$13),-$D48*$E48,0,1)</f>
        <v>1731.47517591971</v>
      </c>
      <c r="R48" s="45" t="n">
        <f aca="false">NPV($J48,BG48,BW48,CM48,DC48,DS48,EI48,EY48,FO48,GE48,GU48)</f>
        <v>3368.25795658404</v>
      </c>
      <c r="S48" s="45" t="n">
        <f aca="false">Q48+R48</f>
        <v>5099.73313250375</v>
      </c>
      <c r="T48" s="32" t="n">
        <f aca="false">IF(S48=0,0,Q48/S48)</f>
        <v>0.339522702645742</v>
      </c>
      <c r="U48" s="45" t="n">
        <f aca="false">ROUND(ABS(GK48)+ABS(SUM(AV48,BL48,CB48,CR48,DH48,DX48,EN48,FD48,FT48,GJ48)-M48-P48)+ABS(S48-(AH48+NPV($J48,AI48:AR48))),6)</f>
        <v>0</v>
      </c>
      <c r="W48" s="133" t="n">
        <f aca="false">-$D48*Inputs!$C$13</f>
        <v>-4000</v>
      </c>
      <c r="X48" s="133" t="n">
        <f aca="false">BF48-$D48*Inputs!$D$13</f>
        <v>-4000</v>
      </c>
      <c r="Y48" s="133" t="n">
        <f aca="false">BV48-$D48*Inputs!$E$13</f>
        <v>-4000</v>
      </c>
      <c r="Z48" s="133" t="n">
        <f aca="false">CL48-$D48*Inputs!$F$13</f>
        <v>-4000</v>
      </c>
      <c r="AA48" s="133" t="n">
        <f aca="false">DB48-$D48*Inputs!$G$13</f>
        <v>-4000</v>
      </c>
      <c r="AB48" s="133" t="n">
        <f aca="false">DR48-$D48*Inputs!$H$13</f>
        <v>8019.059099518</v>
      </c>
      <c r="AC48" s="133" t="n">
        <f aca="false">EH48-$D48*Inputs!$I$13</f>
        <v>8071.16404511029</v>
      </c>
      <c r="AD48" s="133" t="n">
        <f aca="false">EX48-$D48*Inputs!$J$13</f>
        <v>7281.23750693998</v>
      </c>
      <c r="AE48" s="133" t="n">
        <f aca="false">FN48-$D48*Inputs!$K$13</f>
        <v>6542.31065003949</v>
      </c>
      <c r="AF48" s="133" t="n">
        <f aca="false">GD48-$D48*Inputs!$L$13</f>
        <v>6586.02762044013</v>
      </c>
      <c r="AG48" s="84" t="n">
        <f aca="false">GT48</f>
        <v>33152.2203118358</v>
      </c>
      <c r="AH48" s="84" t="n">
        <f aca="false">$D48*$E48</f>
        <v>300</v>
      </c>
      <c r="AI48" s="84" t="n">
        <f aca="false">BG48+$D48*$E48</f>
        <v>300</v>
      </c>
      <c r="AJ48" s="84" t="n">
        <f aca="false">BW48+$D48*$E48</f>
        <v>300</v>
      </c>
      <c r="AK48" s="84" t="n">
        <f aca="false">CM48+$D48*$E48</f>
        <v>300</v>
      </c>
      <c r="AL48" s="84" t="n">
        <f aca="false">DC48+$D48*$E48</f>
        <v>300</v>
      </c>
      <c r="AM48" s="84" t="n">
        <f aca="false">DS48+$D48*$E48</f>
        <v>300</v>
      </c>
      <c r="AN48" s="84" t="n">
        <f aca="false">EI48+$D48*$E48</f>
        <v>300</v>
      </c>
      <c r="AO48" s="84" t="n">
        <f aca="false">EY48+$D48*$E48</f>
        <v>1142.86516289207</v>
      </c>
      <c r="AP48" s="84" t="n">
        <f aca="false">FO48+$D48*$E48</f>
        <v>1935.57766250987</v>
      </c>
      <c r="AQ48" s="84" t="n">
        <f aca="false">GE48+$D48*$E48</f>
        <v>1946.50690511003</v>
      </c>
      <c r="AR48" s="84" t="n">
        <f aca="false">GU48</f>
        <v>8288.05507795896</v>
      </c>
      <c r="AT48" s="133" t="n">
        <f aca="false">$D48*Inputs!$C$13-$D48*$E48</f>
        <v>3700</v>
      </c>
      <c r="AU48" s="84" t="n">
        <f aca="false">AT48*(1+$I48)</f>
        <v>4699</v>
      </c>
      <c r="AV48" s="133" t="n">
        <f aca="false">AU48*Inputs!$C$14</f>
        <v>0</v>
      </c>
      <c r="AW48" s="84" t="n">
        <f aca="false">AU48-AV48</f>
        <v>4699</v>
      </c>
      <c r="AX48" s="133" t="n">
        <f aca="false">$D48*Inputs!$C$13</f>
        <v>4000</v>
      </c>
      <c r="AY48" s="84" t="n">
        <f aca="false">MIN(AV48,AX48)</f>
        <v>0</v>
      </c>
      <c r="AZ48" s="84" t="n">
        <f aca="false">AX48-AY48</f>
        <v>4000</v>
      </c>
      <c r="BA48" s="84" t="n">
        <f aca="false">$G48*AX48</f>
        <v>0</v>
      </c>
      <c r="BB48" s="84" t="n">
        <f aca="false">MIN(AV48-AY48,BA48)</f>
        <v>0</v>
      </c>
      <c r="BC48" s="84" t="n">
        <f aca="false">BA48-BB48</f>
        <v>0</v>
      </c>
      <c r="BD48" s="84" t="n">
        <f aca="false">IF($H48=1,MIN(AV48-AY48-BB48,MAX(0,$F48/(1-$F48)*BB48)),0)</f>
        <v>0</v>
      </c>
      <c r="BE48" s="84" t="n">
        <f aca="false">AV48-AY48-BB48-BD48</f>
        <v>0</v>
      </c>
      <c r="BF48" s="84" t="n">
        <f aca="false">AY48+BB48+(1-$F48)*BE48</f>
        <v>0</v>
      </c>
      <c r="BG48" s="84" t="n">
        <f aca="false">BD48+$F48*BE48</f>
        <v>0</v>
      </c>
      <c r="BH48" s="84" t="n">
        <f aca="false">BB48+(1-$F48)*BE48</f>
        <v>0</v>
      </c>
      <c r="BI48" s="84" t="n">
        <f aca="false">BG48</f>
        <v>0</v>
      </c>
      <c r="BJ48" s="133" t="n">
        <f aca="false">AW48+$D48*Inputs!$D$13-$D48*$E48</f>
        <v>8399</v>
      </c>
      <c r="BK48" s="84" t="n">
        <f aca="false">BJ48*(1+$I48)</f>
        <v>10666.73</v>
      </c>
      <c r="BL48" s="133" t="n">
        <f aca="false">BK48*Inputs!$D$14</f>
        <v>0</v>
      </c>
      <c r="BM48" s="84" t="n">
        <f aca="false">BK48-BL48</f>
        <v>10666.73</v>
      </c>
      <c r="BN48" s="133" t="n">
        <f aca="false">AZ48+$D48*Inputs!$D$13</f>
        <v>8000</v>
      </c>
      <c r="BO48" s="84" t="n">
        <f aca="false">MIN(BL48,BN48)</f>
        <v>0</v>
      </c>
      <c r="BP48" s="84" t="n">
        <f aca="false">BN48-BO48</f>
        <v>8000</v>
      </c>
      <c r="BQ48" s="84" t="n">
        <f aca="false">BC48+$G48*(BN48+BC48)</f>
        <v>0</v>
      </c>
      <c r="BR48" s="84" t="n">
        <f aca="false">MIN(BL48-BO48,BQ48)</f>
        <v>0</v>
      </c>
      <c r="BS48" s="84" t="n">
        <f aca="false">BQ48-BR48</f>
        <v>0</v>
      </c>
      <c r="BT48" s="84" t="n">
        <f aca="false">IF($H48=1,MIN(BL48-BO48-BR48,MAX(0,$F48/(1-$F48)*(BH48+BR48)-BI48)),0)</f>
        <v>0</v>
      </c>
      <c r="BU48" s="84" t="n">
        <f aca="false">BL48-BO48-BR48-BT48</f>
        <v>0</v>
      </c>
      <c r="BV48" s="84" t="n">
        <f aca="false">BO48+BR48+(1-$F48)*BU48</f>
        <v>0</v>
      </c>
      <c r="BW48" s="84" t="n">
        <f aca="false">BT48+$F48*BU48</f>
        <v>0</v>
      </c>
      <c r="BX48" s="84" t="n">
        <f aca="false">BH48+BR48+(1-$F48)*BU48</f>
        <v>0</v>
      </c>
      <c r="BY48" s="84" t="n">
        <f aca="false">BI48+BW48</f>
        <v>0</v>
      </c>
      <c r="BZ48" s="133" t="n">
        <f aca="false">BM48+$D48*Inputs!$E$13-$D48*$E48</f>
        <v>14366.73</v>
      </c>
      <c r="CA48" s="84" t="n">
        <f aca="false">BZ48*(1+$I48)</f>
        <v>18245.7471</v>
      </c>
      <c r="CB48" s="133" t="n">
        <f aca="false">CA48*Inputs!$E$14</f>
        <v>0</v>
      </c>
      <c r="CC48" s="84" t="n">
        <f aca="false">CA48-CB48</f>
        <v>18245.7471</v>
      </c>
      <c r="CD48" s="133" t="n">
        <f aca="false">BP48+$D48*Inputs!$E$13</f>
        <v>12000</v>
      </c>
      <c r="CE48" s="84" t="n">
        <f aca="false">MIN(CB48,CD48)</f>
        <v>0</v>
      </c>
      <c r="CF48" s="84" t="n">
        <f aca="false">CD48-CE48</f>
        <v>12000</v>
      </c>
      <c r="CG48" s="84" t="n">
        <f aca="false">BS48+$G48*(CD48+BS48)</f>
        <v>0</v>
      </c>
      <c r="CH48" s="84" t="n">
        <f aca="false">MIN(CB48-CE48,CG48)</f>
        <v>0</v>
      </c>
      <c r="CI48" s="84" t="n">
        <f aca="false">CG48-CH48</f>
        <v>0</v>
      </c>
      <c r="CJ48" s="84" t="n">
        <f aca="false">IF($H48=1,MIN(CB48-CE48-CH48,MAX(0,$F48/(1-$F48)*(BX48+CH48)-BY48)),0)</f>
        <v>0</v>
      </c>
      <c r="CK48" s="84" t="n">
        <f aca="false">CB48-CE48-CH48-CJ48</f>
        <v>0</v>
      </c>
      <c r="CL48" s="84" t="n">
        <f aca="false">CE48+CH48+(1-$F48)*CK48</f>
        <v>0</v>
      </c>
      <c r="CM48" s="84" t="n">
        <f aca="false">CJ48+$F48*CK48</f>
        <v>0</v>
      </c>
      <c r="CN48" s="84" t="n">
        <f aca="false">BX48+CH48+(1-$F48)*CK48</f>
        <v>0</v>
      </c>
      <c r="CO48" s="84" t="n">
        <f aca="false">BY48+CM48</f>
        <v>0</v>
      </c>
      <c r="CP48" s="133" t="n">
        <f aca="false">CC48+$D48*Inputs!$F$13-$D48*$E48</f>
        <v>21945.7471</v>
      </c>
      <c r="CQ48" s="84" t="n">
        <f aca="false">CP48*(1+$I48)</f>
        <v>27871.098817</v>
      </c>
      <c r="CR48" s="133" t="n">
        <f aca="false">CQ48*Inputs!$F$14</f>
        <v>0</v>
      </c>
      <c r="CS48" s="84" t="n">
        <f aca="false">CQ48-CR48</f>
        <v>27871.098817</v>
      </c>
      <c r="CT48" s="133" t="n">
        <f aca="false">CF48+$D48*Inputs!$F$13</f>
        <v>16000</v>
      </c>
      <c r="CU48" s="84" t="n">
        <f aca="false">MIN(CR48,CT48)</f>
        <v>0</v>
      </c>
      <c r="CV48" s="84" t="n">
        <f aca="false">CT48-CU48</f>
        <v>16000</v>
      </c>
      <c r="CW48" s="84" t="n">
        <f aca="false">CI48+$G48*(CT48+CI48)</f>
        <v>0</v>
      </c>
      <c r="CX48" s="84" t="n">
        <f aca="false">MIN(CR48-CU48,CW48)</f>
        <v>0</v>
      </c>
      <c r="CY48" s="84" t="n">
        <f aca="false">CW48-CX48</f>
        <v>0</v>
      </c>
      <c r="CZ48" s="84" t="n">
        <f aca="false">IF($H48=1,MIN(CR48-CU48-CX48,MAX(0,$F48/(1-$F48)*(CN48+CX48)-CO48)),0)</f>
        <v>0</v>
      </c>
      <c r="DA48" s="84" t="n">
        <f aca="false">CR48-CU48-CX48-CZ48</f>
        <v>0</v>
      </c>
      <c r="DB48" s="84" t="n">
        <f aca="false">CU48+CX48+(1-$F48)*DA48</f>
        <v>0</v>
      </c>
      <c r="DC48" s="84" t="n">
        <f aca="false">CZ48+$F48*DA48</f>
        <v>0</v>
      </c>
      <c r="DD48" s="84" t="n">
        <f aca="false">CN48+CX48+(1-$F48)*DA48</f>
        <v>0</v>
      </c>
      <c r="DE48" s="84" t="n">
        <f aca="false">CO48+DC48</f>
        <v>0</v>
      </c>
      <c r="DF48" s="133" t="n">
        <f aca="false">CS48+$D48*Inputs!$G$13-$D48*$E48</f>
        <v>31571.098817</v>
      </c>
      <c r="DG48" s="84" t="n">
        <f aca="false">DF48*(1+$I48)</f>
        <v>40095.29549759</v>
      </c>
      <c r="DH48" s="133" t="n">
        <f aca="false">DG48*Inputs!$G$14</f>
        <v>8019.059099518</v>
      </c>
      <c r="DI48" s="84" t="n">
        <f aca="false">DG48-DH48</f>
        <v>32076.236398072</v>
      </c>
      <c r="DJ48" s="133" t="n">
        <f aca="false">CV48+$D48*Inputs!$G$13</f>
        <v>20000</v>
      </c>
      <c r="DK48" s="84" t="n">
        <f aca="false">MIN(DH48,DJ48)</f>
        <v>8019.059099518</v>
      </c>
      <c r="DL48" s="84" t="n">
        <f aca="false">DJ48-DK48</f>
        <v>11980.940900482</v>
      </c>
      <c r="DM48" s="84" t="n">
        <f aca="false">CY48+$G48*(DJ48+CY48)</f>
        <v>0</v>
      </c>
      <c r="DN48" s="84" t="n">
        <f aca="false">MIN(DH48-DK48,DM48)</f>
        <v>0</v>
      </c>
      <c r="DO48" s="84" t="n">
        <f aca="false">DM48-DN48</f>
        <v>0</v>
      </c>
      <c r="DP48" s="84" t="n">
        <f aca="false">IF($H48=1,MIN(DH48-DK48-DN48,MAX(0,$F48/(1-$F48)*(DD48+DN48)-DE48)),0)</f>
        <v>0</v>
      </c>
      <c r="DQ48" s="84" t="n">
        <f aca="false">DH48-DK48-DN48-DP48</f>
        <v>0</v>
      </c>
      <c r="DR48" s="84" t="n">
        <f aca="false">DK48+DN48+(1-$F48)*DQ48</f>
        <v>8019.059099518</v>
      </c>
      <c r="DS48" s="84" t="n">
        <f aca="false">DP48+$F48*DQ48</f>
        <v>0</v>
      </c>
      <c r="DT48" s="84" t="n">
        <f aca="false">DD48+DN48+(1-$F48)*DQ48</f>
        <v>0</v>
      </c>
      <c r="DU48" s="84" t="n">
        <f aca="false">DE48+DS48</f>
        <v>0</v>
      </c>
      <c r="DV48" s="133" t="n">
        <f aca="false">DI48+$D48*Inputs!$H$13-$D48*$E48</f>
        <v>31776.236398072</v>
      </c>
      <c r="DW48" s="84" t="n">
        <f aca="false">DV48*(1+$I48)</f>
        <v>40355.8202255515</v>
      </c>
      <c r="DX48" s="133" t="n">
        <f aca="false">DW48*Inputs!$H$14</f>
        <v>8071.16404511029</v>
      </c>
      <c r="DY48" s="84" t="n">
        <f aca="false">DW48-DX48</f>
        <v>32284.6561804412</v>
      </c>
      <c r="DZ48" s="133" t="n">
        <f aca="false">DL48+$D48*Inputs!$H$13</f>
        <v>11980.940900482</v>
      </c>
      <c r="EA48" s="84" t="n">
        <f aca="false">MIN(DX48,DZ48)</f>
        <v>8071.16404511029</v>
      </c>
      <c r="EB48" s="84" t="n">
        <f aca="false">DZ48-EA48</f>
        <v>3909.77685537171</v>
      </c>
      <c r="EC48" s="84" t="n">
        <f aca="false">DO48+$G48*(DZ48+DO48)</f>
        <v>0</v>
      </c>
      <c r="ED48" s="84" t="n">
        <f aca="false">MIN(DX48-EA48,EC48)</f>
        <v>0</v>
      </c>
      <c r="EE48" s="84" t="n">
        <f aca="false">EC48-ED48</f>
        <v>0</v>
      </c>
      <c r="EF48" s="84" t="n">
        <f aca="false">IF($H48=1,MIN(DX48-EA48-ED48,MAX(0,$F48/(1-$F48)*(DT48+ED48)-DU48)),0)</f>
        <v>0</v>
      </c>
      <c r="EG48" s="84" t="n">
        <f aca="false">DX48-EA48-ED48-EF48</f>
        <v>0</v>
      </c>
      <c r="EH48" s="84" t="n">
        <f aca="false">EA48+ED48+(1-$F48)*EG48</f>
        <v>8071.16404511029</v>
      </c>
      <c r="EI48" s="84" t="n">
        <f aca="false">EF48+$F48*EG48</f>
        <v>0</v>
      </c>
      <c r="EJ48" s="84" t="n">
        <f aca="false">DT48+ED48+(1-$F48)*EG48</f>
        <v>0</v>
      </c>
      <c r="EK48" s="84" t="n">
        <f aca="false">DU48+EI48</f>
        <v>0</v>
      </c>
      <c r="EL48" s="133" t="n">
        <f aca="false">DY48+$D48*Inputs!$I$13-$D48*$E48</f>
        <v>31984.6561804412</v>
      </c>
      <c r="EM48" s="84" t="n">
        <f aca="false">EL48*(1+$I48)</f>
        <v>40620.5133491603</v>
      </c>
      <c r="EN48" s="133" t="n">
        <f aca="false">EM48*Inputs!$I$14</f>
        <v>8124.10266983205</v>
      </c>
      <c r="EO48" s="84" t="n">
        <f aca="false">EM48-EN48</f>
        <v>32496.4106793282</v>
      </c>
      <c r="EP48" s="133" t="n">
        <f aca="false">EB48+$D48*Inputs!$I$13</f>
        <v>3909.77685537171</v>
      </c>
      <c r="EQ48" s="84" t="n">
        <f aca="false">MIN(EN48,EP48)</f>
        <v>3909.77685537171</v>
      </c>
      <c r="ER48" s="84" t="n">
        <f aca="false">EP48-EQ48</f>
        <v>0</v>
      </c>
      <c r="ES48" s="84" t="n">
        <f aca="false">EE48+$G48*(EP48+EE48)</f>
        <v>0</v>
      </c>
      <c r="ET48" s="84" t="n">
        <f aca="false">MIN(EN48-EQ48,ES48)</f>
        <v>0</v>
      </c>
      <c r="EU48" s="84" t="n">
        <f aca="false">ES48-ET48</f>
        <v>0</v>
      </c>
      <c r="EV48" s="84" t="n">
        <f aca="false">IF($H48=1,MIN(EN48-EQ48-ET48,MAX(0,$F48/(1-$F48)*(EJ48+ET48)-EK48)),0)</f>
        <v>0</v>
      </c>
      <c r="EW48" s="84" t="n">
        <f aca="false">EN48-EQ48-ET48-EV48</f>
        <v>4214.32581446035</v>
      </c>
      <c r="EX48" s="84" t="n">
        <f aca="false">EQ48+ET48+(1-$F48)*EW48</f>
        <v>7281.23750693998</v>
      </c>
      <c r="EY48" s="84" t="n">
        <f aca="false">EV48+$F48*EW48</f>
        <v>842.865162892069</v>
      </c>
      <c r="EZ48" s="84" t="n">
        <f aca="false">EJ48+ET48+(1-$F48)*EW48</f>
        <v>3371.46065156828</v>
      </c>
      <c r="FA48" s="84" t="n">
        <f aca="false">EK48+EY48</f>
        <v>842.865162892069</v>
      </c>
      <c r="FB48" s="133" t="n">
        <f aca="false">EO48+$D48*Inputs!$J$13-$D48*$E48</f>
        <v>32196.4106793282</v>
      </c>
      <c r="FC48" s="84" t="n">
        <f aca="false">FB48*(1+$I48)</f>
        <v>40889.4415627468</v>
      </c>
      <c r="FD48" s="133" t="n">
        <f aca="false">FC48*Inputs!$J$14</f>
        <v>8177.88831254937</v>
      </c>
      <c r="FE48" s="84" t="n">
        <f aca="false">FC48-FD48</f>
        <v>32711.5532501975</v>
      </c>
      <c r="FF48" s="133" t="n">
        <f aca="false">ER48+$D48*Inputs!$J$13</f>
        <v>0</v>
      </c>
      <c r="FG48" s="84" t="n">
        <f aca="false">MIN(FD48,FF48)</f>
        <v>0</v>
      </c>
      <c r="FH48" s="84" t="n">
        <f aca="false">FF48-FG48</f>
        <v>0</v>
      </c>
      <c r="FI48" s="84" t="n">
        <f aca="false">EU48+$G48*(FF48+EU48)</f>
        <v>0</v>
      </c>
      <c r="FJ48" s="84" t="n">
        <f aca="false">MIN(FD48-FG48,FI48)</f>
        <v>0</v>
      </c>
      <c r="FK48" s="84" t="n">
        <f aca="false">FI48-FJ48</f>
        <v>0</v>
      </c>
      <c r="FL48" s="84" t="n">
        <f aca="false">IF($H48=1,MIN(FD48-FG48-FJ48,MAX(0,$F48/(1-$F48)*(EZ48+FJ48)-FA48)),0)</f>
        <v>0</v>
      </c>
      <c r="FM48" s="84" t="n">
        <f aca="false">FD48-FG48-FJ48-FL48</f>
        <v>8177.88831254937</v>
      </c>
      <c r="FN48" s="84" t="n">
        <f aca="false">FG48+FJ48+(1-$F48)*FM48</f>
        <v>6542.31065003949</v>
      </c>
      <c r="FO48" s="84" t="n">
        <f aca="false">FL48+$F48*FM48</f>
        <v>1635.57766250987</v>
      </c>
      <c r="FP48" s="84" t="n">
        <f aca="false">EZ48+FJ48+(1-$F48)*FM48</f>
        <v>9913.77130160777</v>
      </c>
      <c r="FQ48" s="84" t="n">
        <f aca="false">FA48+FO48</f>
        <v>2478.44282540194</v>
      </c>
      <c r="FR48" s="133" t="n">
        <f aca="false">FE48+$D48*Inputs!$K$13-$D48*$E48</f>
        <v>32411.5532501975</v>
      </c>
      <c r="FS48" s="84" t="n">
        <f aca="false">FR48*(1+$I48)</f>
        <v>41162.6726277508</v>
      </c>
      <c r="FT48" s="133" t="n">
        <f aca="false">FS48*Inputs!$K$14</f>
        <v>8232.53452555016</v>
      </c>
      <c r="FU48" s="84" t="n">
        <f aca="false">FS48-FT48</f>
        <v>32930.1381022006</v>
      </c>
      <c r="FV48" s="133" t="n">
        <f aca="false">FH48+$D48*Inputs!$K$13</f>
        <v>0</v>
      </c>
      <c r="FW48" s="84" t="n">
        <f aca="false">MIN(FT48,FV48)</f>
        <v>0</v>
      </c>
      <c r="FX48" s="84" t="n">
        <f aca="false">FV48-FW48</f>
        <v>0</v>
      </c>
      <c r="FY48" s="84" t="n">
        <f aca="false">FK48+$G48*(FV48+FK48)</f>
        <v>0</v>
      </c>
      <c r="FZ48" s="84" t="n">
        <f aca="false">MIN(FT48-FW48,FY48)</f>
        <v>0</v>
      </c>
      <c r="GA48" s="84" t="n">
        <f aca="false">FY48-FZ48</f>
        <v>0</v>
      </c>
      <c r="GB48" s="84" t="n">
        <f aca="false">IF($H48=1,MIN(FT48-FW48-FZ48,MAX(0,$F48/(1-$F48)*(FP48+FZ48)-FQ48)),0)</f>
        <v>0</v>
      </c>
      <c r="GC48" s="84" t="n">
        <f aca="false">FT48-FW48-FZ48-GB48</f>
        <v>8232.53452555016</v>
      </c>
      <c r="GD48" s="84" t="n">
        <f aca="false">FW48+FZ48+(1-$F48)*GC48</f>
        <v>6586.02762044013</v>
      </c>
      <c r="GE48" s="84" t="n">
        <f aca="false">GB48+$F48*GC48</f>
        <v>1646.50690511003</v>
      </c>
      <c r="GF48" s="84" t="n">
        <f aca="false">FP48+FZ48+(1-$F48)*GC48</f>
        <v>16499.7989220479</v>
      </c>
      <c r="GG48" s="84" t="n">
        <f aca="false">FQ48+GE48</f>
        <v>4124.94973051198</v>
      </c>
      <c r="GH48" s="133" t="n">
        <f aca="false">FU48+$D48*Inputs!$L$13-$D48*$E48</f>
        <v>32630.1381022006</v>
      </c>
      <c r="GI48" s="84" t="n">
        <f aca="false">GH48*(1+$I48)</f>
        <v>41440.2753897948</v>
      </c>
      <c r="GJ48" s="133" t="n">
        <f aca="false">GI48*Inputs!$L$14</f>
        <v>41440.2753897948</v>
      </c>
      <c r="GK48" s="84" t="n">
        <f aca="false">GI48-GJ48</f>
        <v>0</v>
      </c>
      <c r="GL48" s="133" t="n">
        <f aca="false">FX48+$D48*Inputs!$L$13</f>
        <v>0</v>
      </c>
      <c r="GM48" s="84" t="n">
        <f aca="false">MIN(GJ48,GL48)</f>
        <v>0</v>
      </c>
      <c r="GN48" s="84" t="n">
        <f aca="false">GL48-GM48</f>
        <v>0</v>
      </c>
      <c r="GO48" s="84" t="n">
        <f aca="false">GA48+$G48*(GL48+GA48)</f>
        <v>0</v>
      </c>
      <c r="GP48" s="84" t="n">
        <f aca="false">MIN(GJ48-GM48,GO48)</f>
        <v>0</v>
      </c>
      <c r="GQ48" s="84" t="n">
        <f aca="false">GO48-GP48</f>
        <v>0</v>
      </c>
      <c r="GR48" s="84" t="n">
        <f aca="false">IF($H48=1,MIN(GJ48-GM48-GP48,MAX(0,$F48/(1-$F48)*(GF48+GP48)-GG48)),0)</f>
        <v>0</v>
      </c>
      <c r="GS48" s="84" t="n">
        <f aca="false">GJ48-GM48-GP48-GR48</f>
        <v>41440.2753897948</v>
      </c>
      <c r="GT48" s="84" t="n">
        <f aca="false">GM48+GP48+(1-$F48)*GS48</f>
        <v>33152.2203118358</v>
      </c>
      <c r="GU48" s="84" t="n">
        <f aca="false">GR48+$F48*GS48</f>
        <v>8288.05507795896</v>
      </c>
      <c r="GV48" s="84" t="n">
        <f aca="false">GF48+GP48+(1-$F48)*GS48</f>
        <v>49652.0192338837</v>
      </c>
      <c r="GW48" s="84" t="n">
        <f aca="false">GG48+GU48</f>
        <v>12413.0048084709</v>
      </c>
    </row>
    <row r="49" customFormat="false" ht="15" hidden="false" customHeight="false" outlineLevel="0" collapsed="false">
      <c r="A49" s="5" t="s">
        <v>635</v>
      </c>
      <c r="B49" s="5" t="s">
        <v>636</v>
      </c>
      <c r="C49" s="135" t="n">
        <v>28</v>
      </c>
      <c r="D49" s="47" t="n">
        <f aca="false">Inputs!$C$6</f>
        <v>20000</v>
      </c>
      <c r="E49" s="35" t="n">
        <f aca="false">Inputs!$C$18</f>
        <v>0.015</v>
      </c>
      <c r="F49" s="36" t="n">
        <f aca="false">Inputs!$C$20</f>
        <v>0.2</v>
      </c>
      <c r="G49" s="30" t="n">
        <v>0</v>
      </c>
      <c r="H49" s="27" t="n">
        <v>0</v>
      </c>
      <c r="I49" s="132" t="n">
        <f aca="false">Inputs!$C$38+$C49*Inputs!$C$39</f>
        <v>0.28</v>
      </c>
      <c r="J49" s="36" t="n">
        <f aca="false">Inputs!$C$9</f>
        <v>0.15</v>
      </c>
      <c r="K49" s="89" t="n">
        <f aca="false">IRR(W49:AG49,0.1)</f>
        <v>0.232671451853009</v>
      </c>
      <c r="L49" s="45" t="n">
        <f aca="false">W49+NPV($J49,X49:AG49)</f>
        <v>8115.02775619416</v>
      </c>
      <c r="M49" s="45" t="n">
        <f aca="false">SUM(BF49,BV49,CL49,DB49,DR49,EH49,EX49,FN49,GD49,GT49)</f>
        <v>73454.1246112535</v>
      </c>
      <c r="N49" s="43" t="n">
        <f aca="false">IF($D49*SUM(Inputs!$C$13:$L$13)=0,0,M49/($D49*SUM(Inputs!$C$13:$L$13)))</f>
        <v>3.67270623056267</v>
      </c>
      <c r="O49" s="42" t="n">
        <f aca="false">$D49*$E49*COLUMNS(Inputs!$C$13:$L$13)</f>
        <v>3000</v>
      </c>
      <c r="P49" s="45" t="n">
        <f aca="false">SUM(BG49,BW49,CM49,DC49,DS49,EI49,EY49,FO49,GE49,GU49)</f>
        <v>13363.5311528134</v>
      </c>
      <c r="Q49" s="42" t="n">
        <f aca="false">PV($J49,COLUMNS(Inputs!$C$13:$L$13),-$D49*$E49,0,1)</f>
        <v>1731.47517591971</v>
      </c>
      <c r="R49" s="45" t="n">
        <f aca="false">NPV($J49,BG49,BW49,CM49,DC49,DS49,EI49,EY49,FO49,GE49,GU49)</f>
        <v>3636.40185684164</v>
      </c>
      <c r="S49" s="45" t="n">
        <f aca="false">Q49+R49</f>
        <v>5367.87703276135</v>
      </c>
      <c r="T49" s="32" t="n">
        <f aca="false">IF(S49=0,0,Q49/S49)</f>
        <v>0.322562377146892</v>
      </c>
      <c r="U49" s="45" t="n">
        <f aca="false">ROUND(ABS(GK49)+ABS(SUM(AV49,BL49,CB49,CR49,DH49,DX49,EN49,FD49,FT49,GJ49)-M49-P49)+ABS(S49-(AH49+NPV($J49,AI49:AR49))),6)</f>
        <v>0</v>
      </c>
      <c r="W49" s="133" t="n">
        <f aca="false">-$D49*Inputs!$C$13</f>
        <v>-4000</v>
      </c>
      <c r="X49" s="133" t="n">
        <f aca="false">BF49-$D49*Inputs!$D$13</f>
        <v>-4000</v>
      </c>
      <c r="Y49" s="133" t="n">
        <f aca="false">BV49-$D49*Inputs!$E$13</f>
        <v>-4000</v>
      </c>
      <c r="Z49" s="133" t="n">
        <f aca="false">CL49-$D49*Inputs!$F$13</f>
        <v>-4000</v>
      </c>
      <c r="AA49" s="133" t="n">
        <f aca="false">DB49-$D49*Inputs!$G$13</f>
        <v>-4000</v>
      </c>
      <c r="AB49" s="133" t="n">
        <f aca="false">DR49-$D49*Inputs!$H$13</f>
        <v>8240.551493632</v>
      </c>
      <c r="AC49" s="133" t="n">
        <f aca="false">EH49-$D49*Inputs!$I$13</f>
        <v>8361.52472947917</v>
      </c>
      <c r="AD49" s="133" t="n">
        <f aca="false">EX49-$D49*Inputs!$J$13</f>
        <v>7467.9058137671</v>
      </c>
      <c r="AE49" s="133" t="n">
        <f aca="false">FN49-$D49*Inputs!$K$13</f>
        <v>6889.80076379068</v>
      </c>
      <c r="AF49" s="133" t="n">
        <f aca="false">GD49-$D49*Inputs!$L$13</f>
        <v>6993.71598212166</v>
      </c>
      <c r="AG49" s="84" t="n">
        <f aca="false">GT49</f>
        <v>35500.6258284629</v>
      </c>
      <c r="AH49" s="84" t="n">
        <f aca="false">$D49*$E49</f>
        <v>300</v>
      </c>
      <c r="AI49" s="84" t="n">
        <f aca="false">BG49+$D49*$E49</f>
        <v>300</v>
      </c>
      <c r="AJ49" s="84" t="n">
        <f aca="false">BW49+$D49*$E49</f>
        <v>300</v>
      </c>
      <c r="AK49" s="84" t="n">
        <f aca="false">CM49+$D49*$E49</f>
        <v>300</v>
      </c>
      <c r="AL49" s="84" t="n">
        <f aca="false">DC49+$D49*$E49</f>
        <v>300</v>
      </c>
      <c r="AM49" s="84" t="n">
        <f aca="false">DS49+$D49*$E49</f>
        <v>300</v>
      </c>
      <c r="AN49" s="84" t="n">
        <f aca="false">EI49+$D49*$E49</f>
        <v>300</v>
      </c>
      <c r="AO49" s="84" t="n">
        <f aca="false">EY49+$D49*$E49</f>
        <v>1317.49550921957</v>
      </c>
      <c r="AP49" s="84" t="n">
        <f aca="false">FO49+$D49*$E49</f>
        <v>2022.45019094767</v>
      </c>
      <c r="AQ49" s="84" t="n">
        <f aca="false">GE49+$D49*$E49</f>
        <v>2048.42899553041</v>
      </c>
      <c r="AR49" s="84" t="n">
        <f aca="false">GU49</f>
        <v>8875.15645711572</v>
      </c>
      <c r="AT49" s="133" t="n">
        <f aca="false">$D49*Inputs!$C$13-$D49*$E49</f>
        <v>3700</v>
      </c>
      <c r="AU49" s="84" t="n">
        <f aca="false">AT49*(1+$I49)</f>
        <v>4736</v>
      </c>
      <c r="AV49" s="133" t="n">
        <f aca="false">AU49*Inputs!$C$14</f>
        <v>0</v>
      </c>
      <c r="AW49" s="84" t="n">
        <f aca="false">AU49-AV49</f>
        <v>4736</v>
      </c>
      <c r="AX49" s="133" t="n">
        <f aca="false">$D49*Inputs!$C$13</f>
        <v>4000</v>
      </c>
      <c r="AY49" s="84" t="n">
        <f aca="false">MIN(AV49,AX49)</f>
        <v>0</v>
      </c>
      <c r="AZ49" s="84" t="n">
        <f aca="false">AX49-AY49</f>
        <v>4000</v>
      </c>
      <c r="BA49" s="84" t="n">
        <f aca="false">$G49*AX49</f>
        <v>0</v>
      </c>
      <c r="BB49" s="84" t="n">
        <f aca="false">MIN(AV49-AY49,BA49)</f>
        <v>0</v>
      </c>
      <c r="BC49" s="84" t="n">
        <f aca="false">BA49-BB49</f>
        <v>0</v>
      </c>
      <c r="BD49" s="84" t="n">
        <f aca="false">IF($H49=1,MIN(AV49-AY49-BB49,MAX(0,$F49/(1-$F49)*BB49)),0)</f>
        <v>0</v>
      </c>
      <c r="BE49" s="84" t="n">
        <f aca="false">AV49-AY49-BB49-BD49</f>
        <v>0</v>
      </c>
      <c r="BF49" s="84" t="n">
        <f aca="false">AY49+BB49+(1-$F49)*BE49</f>
        <v>0</v>
      </c>
      <c r="BG49" s="84" t="n">
        <f aca="false">BD49+$F49*BE49</f>
        <v>0</v>
      </c>
      <c r="BH49" s="84" t="n">
        <f aca="false">BB49+(1-$F49)*BE49</f>
        <v>0</v>
      </c>
      <c r="BI49" s="84" t="n">
        <f aca="false">BG49</f>
        <v>0</v>
      </c>
      <c r="BJ49" s="133" t="n">
        <f aca="false">AW49+$D49*Inputs!$D$13-$D49*$E49</f>
        <v>8436</v>
      </c>
      <c r="BK49" s="84" t="n">
        <f aca="false">BJ49*(1+$I49)</f>
        <v>10798.08</v>
      </c>
      <c r="BL49" s="133" t="n">
        <f aca="false">BK49*Inputs!$D$14</f>
        <v>0</v>
      </c>
      <c r="BM49" s="84" t="n">
        <f aca="false">BK49-BL49</f>
        <v>10798.08</v>
      </c>
      <c r="BN49" s="133" t="n">
        <f aca="false">AZ49+$D49*Inputs!$D$13</f>
        <v>8000</v>
      </c>
      <c r="BO49" s="84" t="n">
        <f aca="false">MIN(BL49,BN49)</f>
        <v>0</v>
      </c>
      <c r="BP49" s="84" t="n">
        <f aca="false">BN49-BO49</f>
        <v>8000</v>
      </c>
      <c r="BQ49" s="84" t="n">
        <f aca="false">BC49+$G49*(BN49+BC49)</f>
        <v>0</v>
      </c>
      <c r="BR49" s="84" t="n">
        <f aca="false">MIN(BL49-BO49,BQ49)</f>
        <v>0</v>
      </c>
      <c r="BS49" s="84" t="n">
        <f aca="false">BQ49-BR49</f>
        <v>0</v>
      </c>
      <c r="BT49" s="84" t="n">
        <f aca="false">IF($H49=1,MIN(BL49-BO49-BR49,MAX(0,$F49/(1-$F49)*(BH49+BR49)-BI49)),0)</f>
        <v>0</v>
      </c>
      <c r="BU49" s="84" t="n">
        <f aca="false">BL49-BO49-BR49-BT49</f>
        <v>0</v>
      </c>
      <c r="BV49" s="84" t="n">
        <f aca="false">BO49+BR49+(1-$F49)*BU49</f>
        <v>0</v>
      </c>
      <c r="BW49" s="84" t="n">
        <f aca="false">BT49+$F49*BU49</f>
        <v>0</v>
      </c>
      <c r="BX49" s="84" t="n">
        <f aca="false">BH49+BR49+(1-$F49)*BU49</f>
        <v>0</v>
      </c>
      <c r="BY49" s="84" t="n">
        <f aca="false">BI49+BW49</f>
        <v>0</v>
      </c>
      <c r="BZ49" s="133" t="n">
        <f aca="false">BM49+$D49*Inputs!$E$13-$D49*$E49</f>
        <v>14498.08</v>
      </c>
      <c r="CA49" s="84" t="n">
        <f aca="false">BZ49*(1+$I49)</f>
        <v>18557.5424</v>
      </c>
      <c r="CB49" s="133" t="n">
        <f aca="false">CA49*Inputs!$E$14</f>
        <v>0</v>
      </c>
      <c r="CC49" s="84" t="n">
        <f aca="false">CA49-CB49</f>
        <v>18557.5424</v>
      </c>
      <c r="CD49" s="133" t="n">
        <f aca="false">BP49+$D49*Inputs!$E$13</f>
        <v>12000</v>
      </c>
      <c r="CE49" s="84" t="n">
        <f aca="false">MIN(CB49,CD49)</f>
        <v>0</v>
      </c>
      <c r="CF49" s="84" t="n">
        <f aca="false">CD49-CE49</f>
        <v>12000</v>
      </c>
      <c r="CG49" s="84" t="n">
        <f aca="false">BS49+$G49*(CD49+BS49)</f>
        <v>0</v>
      </c>
      <c r="CH49" s="84" t="n">
        <f aca="false">MIN(CB49-CE49,CG49)</f>
        <v>0</v>
      </c>
      <c r="CI49" s="84" t="n">
        <f aca="false">CG49-CH49</f>
        <v>0</v>
      </c>
      <c r="CJ49" s="84" t="n">
        <f aca="false">IF($H49=1,MIN(CB49-CE49-CH49,MAX(0,$F49/(1-$F49)*(BX49+CH49)-BY49)),0)</f>
        <v>0</v>
      </c>
      <c r="CK49" s="84" t="n">
        <f aca="false">CB49-CE49-CH49-CJ49</f>
        <v>0</v>
      </c>
      <c r="CL49" s="84" t="n">
        <f aca="false">CE49+CH49+(1-$F49)*CK49</f>
        <v>0</v>
      </c>
      <c r="CM49" s="84" t="n">
        <f aca="false">CJ49+$F49*CK49</f>
        <v>0</v>
      </c>
      <c r="CN49" s="84" t="n">
        <f aca="false">BX49+CH49+(1-$F49)*CK49</f>
        <v>0</v>
      </c>
      <c r="CO49" s="84" t="n">
        <f aca="false">BY49+CM49</f>
        <v>0</v>
      </c>
      <c r="CP49" s="133" t="n">
        <f aca="false">CC49+$D49*Inputs!$F$13-$D49*$E49</f>
        <v>22257.5424</v>
      </c>
      <c r="CQ49" s="84" t="n">
        <f aca="false">CP49*(1+$I49)</f>
        <v>28489.654272</v>
      </c>
      <c r="CR49" s="133" t="n">
        <f aca="false">CQ49*Inputs!$F$14</f>
        <v>0</v>
      </c>
      <c r="CS49" s="84" t="n">
        <f aca="false">CQ49-CR49</f>
        <v>28489.654272</v>
      </c>
      <c r="CT49" s="133" t="n">
        <f aca="false">CF49+$D49*Inputs!$F$13</f>
        <v>16000</v>
      </c>
      <c r="CU49" s="84" t="n">
        <f aca="false">MIN(CR49,CT49)</f>
        <v>0</v>
      </c>
      <c r="CV49" s="84" t="n">
        <f aca="false">CT49-CU49</f>
        <v>16000</v>
      </c>
      <c r="CW49" s="84" t="n">
        <f aca="false">CI49+$G49*(CT49+CI49)</f>
        <v>0</v>
      </c>
      <c r="CX49" s="84" t="n">
        <f aca="false">MIN(CR49-CU49,CW49)</f>
        <v>0</v>
      </c>
      <c r="CY49" s="84" t="n">
        <f aca="false">CW49-CX49</f>
        <v>0</v>
      </c>
      <c r="CZ49" s="84" t="n">
        <f aca="false">IF($H49=1,MIN(CR49-CU49-CX49,MAX(0,$F49/(1-$F49)*(CN49+CX49)-CO49)),0)</f>
        <v>0</v>
      </c>
      <c r="DA49" s="84" t="n">
        <f aca="false">CR49-CU49-CX49-CZ49</f>
        <v>0</v>
      </c>
      <c r="DB49" s="84" t="n">
        <f aca="false">CU49+CX49+(1-$F49)*DA49</f>
        <v>0</v>
      </c>
      <c r="DC49" s="84" t="n">
        <f aca="false">CZ49+$F49*DA49</f>
        <v>0</v>
      </c>
      <c r="DD49" s="84" t="n">
        <f aca="false">CN49+CX49+(1-$F49)*DA49</f>
        <v>0</v>
      </c>
      <c r="DE49" s="84" t="n">
        <f aca="false">CO49+DC49</f>
        <v>0</v>
      </c>
      <c r="DF49" s="133" t="n">
        <f aca="false">CS49+$D49*Inputs!$G$13-$D49*$E49</f>
        <v>32189.654272</v>
      </c>
      <c r="DG49" s="84" t="n">
        <f aca="false">DF49*(1+$I49)</f>
        <v>41202.75746816</v>
      </c>
      <c r="DH49" s="133" t="n">
        <f aca="false">DG49*Inputs!$G$14</f>
        <v>8240.551493632</v>
      </c>
      <c r="DI49" s="84" t="n">
        <f aca="false">DG49-DH49</f>
        <v>32962.205974528</v>
      </c>
      <c r="DJ49" s="133" t="n">
        <f aca="false">CV49+$D49*Inputs!$G$13</f>
        <v>20000</v>
      </c>
      <c r="DK49" s="84" t="n">
        <f aca="false">MIN(DH49,DJ49)</f>
        <v>8240.551493632</v>
      </c>
      <c r="DL49" s="84" t="n">
        <f aca="false">DJ49-DK49</f>
        <v>11759.448506368</v>
      </c>
      <c r="DM49" s="84" t="n">
        <f aca="false">CY49+$G49*(DJ49+CY49)</f>
        <v>0</v>
      </c>
      <c r="DN49" s="84" t="n">
        <f aca="false">MIN(DH49-DK49,DM49)</f>
        <v>0</v>
      </c>
      <c r="DO49" s="84" t="n">
        <f aca="false">DM49-DN49</f>
        <v>0</v>
      </c>
      <c r="DP49" s="84" t="n">
        <f aca="false">IF($H49=1,MIN(DH49-DK49-DN49,MAX(0,$F49/(1-$F49)*(DD49+DN49)-DE49)),0)</f>
        <v>0</v>
      </c>
      <c r="DQ49" s="84" t="n">
        <f aca="false">DH49-DK49-DN49-DP49</f>
        <v>0</v>
      </c>
      <c r="DR49" s="84" t="n">
        <f aca="false">DK49+DN49+(1-$F49)*DQ49</f>
        <v>8240.551493632</v>
      </c>
      <c r="DS49" s="84" t="n">
        <f aca="false">DP49+$F49*DQ49</f>
        <v>0</v>
      </c>
      <c r="DT49" s="84" t="n">
        <f aca="false">DD49+DN49+(1-$F49)*DQ49</f>
        <v>0</v>
      </c>
      <c r="DU49" s="84" t="n">
        <f aca="false">DE49+DS49</f>
        <v>0</v>
      </c>
      <c r="DV49" s="133" t="n">
        <f aca="false">DI49+$D49*Inputs!$H$13-$D49*$E49</f>
        <v>32662.205974528</v>
      </c>
      <c r="DW49" s="84" t="n">
        <f aca="false">DV49*(1+$I49)</f>
        <v>41807.6236473958</v>
      </c>
      <c r="DX49" s="133" t="n">
        <f aca="false">DW49*Inputs!$H$14</f>
        <v>8361.52472947917</v>
      </c>
      <c r="DY49" s="84" t="n">
        <f aca="false">DW49-DX49</f>
        <v>33446.0989179167</v>
      </c>
      <c r="DZ49" s="133" t="n">
        <f aca="false">DL49+$D49*Inputs!$H$13</f>
        <v>11759.448506368</v>
      </c>
      <c r="EA49" s="84" t="n">
        <f aca="false">MIN(DX49,DZ49)</f>
        <v>8361.52472947917</v>
      </c>
      <c r="EB49" s="84" t="n">
        <f aca="false">DZ49-EA49</f>
        <v>3397.92377688883</v>
      </c>
      <c r="EC49" s="84" t="n">
        <f aca="false">DO49+$G49*(DZ49+DO49)</f>
        <v>0</v>
      </c>
      <c r="ED49" s="84" t="n">
        <f aca="false">MIN(DX49-EA49,EC49)</f>
        <v>0</v>
      </c>
      <c r="EE49" s="84" t="n">
        <f aca="false">EC49-ED49</f>
        <v>0</v>
      </c>
      <c r="EF49" s="84" t="n">
        <f aca="false">IF($H49=1,MIN(DX49-EA49-ED49,MAX(0,$F49/(1-$F49)*(DT49+ED49)-DU49)),0)</f>
        <v>0</v>
      </c>
      <c r="EG49" s="84" t="n">
        <f aca="false">DX49-EA49-ED49-EF49</f>
        <v>0</v>
      </c>
      <c r="EH49" s="84" t="n">
        <f aca="false">EA49+ED49+(1-$F49)*EG49</f>
        <v>8361.52472947917</v>
      </c>
      <c r="EI49" s="84" t="n">
        <f aca="false">EF49+$F49*EG49</f>
        <v>0</v>
      </c>
      <c r="EJ49" s="84" t="n">
        <f aca="false">DT49+ED49+(1-$F49)*EG49</f>
        <v>0</v>
      </c>
      <c r="EK49" s="84" t="n">
        <f aca="false">DU49+EI49</f>
        <v>0</v>
      </c>
      <c r="EL49" s="133" t="n">
        <f aca="false">DY49+$D49*Inputs!$I$13-$D49*$E49</f>
        <v>33146.0989179167</v>
      </c>
      <c r="EM49" s="84" t="n">
        <f aca="false">EL49*(1+$I49)</f>
        <v>42427.0066149333</v>
      </c>
      <c r="EN49" s="133" t="n">
        <f aca="false">EM49*Inputs!$I$14</f>
        <v>8485.40132298667</v>
      </c>
      <c r="EO49" s="84" t="n">
        <f aca="false">EM49-EN49</f>
        <v>33941.6052919467</v>
      </c>
      <c r="EP49" s="133" t="n">
        <f aca="false">EB49+$D49*Inputs!$I$13</f>
        <v>3397.92377688883</v>
      </c>
      <c r="EQ49" s="84" t="n">
        <f aca="false">MIN(EN49,EP49)</f>
        <v>3397.92377688883</v>
      </c>
      <c r="ER49" s="84" t="n">
        <f aca="false">EP49-EQ49</f>
        <v>0</v>
      </c>
      <c r="ES49" s="84" t="n">
        <f aca="false">EE49+$G49*(EP49+EE49)</f>
        <v>0</v>
      </c>
      <c r="ET49" s="84" t="n">
        <f aca="false">MIN(EN49-EQ49,ES49)</f>
        <v>0</v>
      </c>
      <c r="EU49" s="84" t="n">
        <f aca="false">ES49-ET49</f>
        <v>0</v>
      </c>
      <c r="EV49" s="84" t="n">
        <f aca="false">IF($H49=1,MIN(EN49-EQ49-ET49,MAX(0,$F49/(1-$F49)*(EJ49+ET49)-EK49)),0)</f>
        <v>0</v>
      </c>
      <c r="EW49" s="84" t="n">
        <f aca="false">EN49-EQ49-ET49-EV49</f>
        <v>5087.47754609784</v>
      </c>
      <c r="EX49" s="84" t="n">
        <f aca="false">EQ49+ET49+(1-$F49)*EW49</f>
        <v>7467.9058137671</v>
      </c>
      <c r="EY49" s="84" t="n">
        <f aca="false">EV49+$F49*EW49</f>
        <v>1017.49550921957</v>
      </c>
      <c r="EZ49" s="84" t="n">
        <f aca="false">EJ49+ET49+(1-$F49)*EW49</f>
        <v>4069.98203687827</v>
      </c>
      <c r="FA49" s="84" t="n">
        <f aca="false">EK49+EY49</f>
        <v>1017.49550921957</v>
      </c>
      <c r="FB49" s="133" t="n">
        <f aca="false">EO49+$D49*Inputs!$J$13-$D49*$E49</f>
        <v>33641.6052919467</v>
      </c>
      <c r="FC49" s="84" t="n">
        <f aca="false">FB49*(1+$I49)</f>
        <v>43061.2547736918</v>
      </c>
      <c r="FD49" s="133" t="n">
        <f aca="false">FC49*Inputs!$J$14</f>
        <v>8612.25095473835</v>
      </c>
      <c r="FE49" s="84" t="n">
        <f aca="false">FC49-FD49</f>
        <v>34449.0038189534</v>
      </c>
      <c r="FF49" s="133" t="n">
        <f aca="false">ER49+$D49*Inputs!$J$13</f>
        <v>0</v>
      </c>
      <c r="FG49" s="84" t="n">
        <f aca="false">MIN(FD49,FF49)</f>
        <v>0</v>
      </c>
      <c r="FH49" s="84" t="n">
        <f aca="false">FF49-FG49</f>
        <v>0</v>
      </c>
      <c r="FI49" s="84" t="n">
        <f aca="false">EU49+$G49*(FF49+EU49)</f>
        <v>0</v>
      </c>
      <c r="FJ49" s="84" t="n">
        <f aca="false">MIN(FD49-FG49,FI49)</f>
        <v>0</v>
      </c>
      <c r="FK49" s="84" t="n">
        <f aca="false">FI49-FJ49</f>
        <v>0</v>
      </c>
      <c r="FL49" s="84" t="n">
        <f aca="false">IF($H49=1,MIN(FD49-FG49-FJ49,MAX(0,$F49/(1-$F49)*(EZ49+FJ49)-FA49)),0)</f>
        <v>0</v>
      </c>
      <c r="FM49" s="84" t="n">
        <f aca="false">FD49-FG49-FJ49-FL49</f>
        <v>8612.25095473835</v>
      </c>
      <c r="FN49" s="84" t="n">
        <f aca="false">FG49+FJ49+(1-$F49)*FM49</f>
        <v>6889.80076379068</v>
      </c>
      <c r="FO49" s="84" t="n">
        <f aca="false">FL49+$F49*FM49</f>
        <v>1722.45019094767</v>
      </c>
      <c r="FP49" s="84" t="n">
        <f aca="false">EZ49+FJ49+(1-$F49)*FM49</f>
        <v>10959.782800669</v>
      </c>
      <c r="FQ49" s="84" t="n">
        <f aca="false">FA49+FO49</f>
        <v>2739.94570016724</v>
      </c>
      <c r="FR49" s="133" t="n">
        <f aca="false">FE49+$D49*Inputs!$K$13-$D49*$E49</f>
        <v>34149.0038189534</v>
      </c>
      <c r="FS49" s="84" t="n">
        <f aca="false">FR49*(1+$I49)</f>
        <v>43710.7248882603</v>
      </c>
      <c r="FT49" s="133" t="n">
        <f aca="false">FS49*Inputs!$K$14</f>
        <v>8742.14497765207</v>
      </c>
      <c r="FU49" s="84" t="n">
        <f aca="false">FS49-FT49</f>
        <v>34968.5799106083</v>
      </c>
      <c r="FV49" s="133" t="n">
        <f aca="false">FH49+$D49*Inputs!$K$13</f>
        <v>0</v>
      </c>
      <c r="FW49" s="84" t="n">
        <f aca="false">MIN(FT49,FV49)</f>
        <v>0</v>
      </c>
      <c r="FX49" s="84" t="n">
        <f aca="false">FV49-FW49</f>
        <v>0</v>
      </c>
      <c r="FY49" s="84" t="n">
        <f aca="false">FK49+$G49*(FV49+FK49)</f>
        <v>0</v>
      </c>
      <c r="FZ49" s="84" t="n">
        <f aca="false">MIN(FT49-FW49,FY49)</f>
        <v>0</v>
      </c>
      <c r="GA49" s="84" t="n">
        <f aca="false">FY49-FZ49</f>
        <v>0</v>
      </c>
      <c r="GB49" s="84" t="n">
        <f aca="false">IF($H49=1,MIN(FT49-FW49-FZ49,MAX(0,$F49/(1-$F49)*(FP49+FZ49)-FQ49)),0)</f>
        <v>0</v>
      </c>
      <c r="GC49" s="84" t="n">
        <f aca="false">FT49-FW49-FZ49-GB49</f>
        <v>8742.14497765207</v>
      </c>
      <c r="GD49" s="84" t="n">
        <f aca="false">FW49+FZ49+(1-$F49)*GC49</f>
        <v>6993.71598212166</v>
      </c>
      <c r="GE49" s="84" t="n">
        <f aca="false">GB49+$F49*GC49</f>
        <v>1748.42899553041</v>
      </c>
      <c r="GF49" s="84" t="n">
        <f aca="false">FP49+FZ49+(1-$F49)*GC49</f>
        <v>17953.4987827906</v>
      </c>
      <c r="GG49" s="84" t="n">
        <f aca="false">FQ49+GE49</f>
        <v>4488.37469569765</v>
      </c>
      <c r="GH49" s="133" t="n">
        <f aca="false">FU49+$D49*Inputs!$L$13-$D49*$E49</f>
        <v>34668.5799106083</v>
      </c>
      <c r="GI49" s="84" t="n">
        <f aca="false">GH49*(1+$I49)</f>
        <v>44375.7822855786</v>
      </c>
      <c r="GJ49" s="133" t="n">
        <f aca="false">GI49*Inputs!$L$14</f>
        <v>44375.7822855786</v>
      </c>
      <c r="GK49" s="84" t="n">
        <f aca="false">GI49-GJ49</f>
        <v>0</v>
      </c>
      <c r="GL49" s="133" t="n">
        <f aca="false">FX49+$D49*Inputs!$L$13</f>
        <v>0</v>
      </c>
      <c r="GM49" s="84" t="n">
        <f aca="false">MIN(GJ49,GL49)</f>
        <v>0</v>
      </c>
      <c r="GN49" s="84" t="n">
        <f aca="false">GL49-GM49</f>
        <v>0</v>
      </c>
      <c r="GO49" s="84" t="n">
        <f aca="false">GA49+$G49*(GL49+GA49)</f>
        <v>0</v>
      </c>
      <c r="GP49" s="84" t="n">
        <f aca="false">MIN(GJ49-GM49,GO49)</f>
        <v>0</v>
      </c>
      <c r="GQ49" s="84" t="n">
        <f aca="false">GO49-GP49</f>
        <v>0</v>
      </c>
      <c r="GR49" s="84" t="n">
        <f aca="false">IF($H49=1,MIN(GJ49-GM49-GP49,MAX(0,$F49/(1-$F49)*(GF49+GP49)-GG49)),0)</f>
        <v>0</v>
      </c>
      <c r="GS49" s="84" t="n">
        <f aca="false">GJ49-GM49-GP49-GR49</f>
        <v>44375.7822855786</v>
      </c>
      <c r="GT49" s="84" t="n">
        <f aca="false">GM49+GP49+(1-$F49)*GS49</f>
        <v>35500.6258284629</v>
      </c>
      <c r="GU49" s="84" t="n">
        <f aca="false">GR49+$F49*GS49</f>
        <v>8875.15645711572</v>
      </c>
      <c r="GV49" s="84" t="n">
        <f aca="false">GF49+GP49+(1-$F49)*GS49</f>
        <v>53454.1246112535</v>
      </c>
      <c r="GW49" s="84" t="n">
        <f aca="false">GG49+GU49</f>
        <v>13363.5311528134</v>
      </c>
    </row>
    <row r="50" customFormat="false" ht="15" hidden="false" customHeight="false" outlineLevel="0" collapsed="false">
      <c r="A50" s="5" t="s">
        <v>635</v>
      </c>
      <c r="B50" s="5" t="s">
        <v>636</v>
      </c>
      <c r="C50" s="135" t="n">
        <v>29</v>
      </c>
      <c r="D50" s="47" t="n">
        <f aca="false">Inputs!$C$6</f>
        <v>20000</v>
      </c>
      <c r="E50" s="35" t="n">
        <f aca="false">Inputs!$C$18</f>
        <v>0.015</v>
      </c>
      <c r="F50" s="36" t="n">
        <f aca="false">Inputs!$C$20</f>
        <v>0.2</v>
      </c>
      <c r="G50" s="30" t="n">
        <v>0</v>
      </c>
      <c r="H50" s="27" t="n">
        <v>0</v>
      </c>
      <c r="I50" s="132" t="n">
        <f aca="false">Inputs!$C$38+$C50*Inputs!$C$39</f>
        <v>0.29</v>
      </c>
      <c r="J50" s="36" t="n">
        <f aca="false">Inputs!$C$9</f>
        <v>0.15</v>
      </c>
      <c r="K50" s="89" t="n">
        <f aca="false">IRR(W50:AG50,0.1)</f>
        <v>0.242152132291556</v>
      </c>
      <c r="L50" s="45" t="n">
        <f aca="false">W50+NPV($J50,X50:AG50)</f>
        <v>9288.40037864708</v>
      </c>
      <c r="M50" s="45" t="n">
        <f aca="false">SUM(BF50,BV50,CL50,DB50,DR50,EH50,EX50,FN50,GD50,GT50)</f>
        <v>77464.2226120599</v>
      </c>
      <c r="N50" s="43" t="n">
        <f aca="false">IF($D50*SUM(Inputs!$C$13:$L$13)=0,0,M50/($D50*SUM(Inputs!$C$13:$L$13)))</f>
        <v>3.873211130603</v>
      </c>
      <c r="O50" s="42" t="n">
        <f aca="false">$D50*$E50*COLUMNS(Inputs!$C$13:$L$13)</f>
        <v>3000</v>
      </c>
      <c r="P50" s="45" t="n">
        <f aca="false">SUM(BG50,BW50,CM50,DC50,DS50,EI50,EY50,FO50,GE50,GU50)</f>
        <v>14366.055653015</v>
      </c>
      <c r="Q50" s="42" t="n">
        <f aca="false">PV($J50,COLUMNS(Inputs!$C$13:$L$13),-$D50*$E50,0,1)</f>
        <v>1731.47517591971</v>
      </c>
      <c r="R50" s="45" t="n">
        <f aca="false">NPV($J50,BG50,BW50,CM50,DC50,DS50,EI50,EY50,FO50,GE50,GU50)</f>
        <v>3918.65159975812</v>
      </c>
      <c r="S50" s="45" t="n">
        <f aca="false">Q50+R50</f>
        <v>5650.12677567783</v>
      </c>
      <c r="T50" s="32" t="n">
        <f aca="false">IF(S50=0,0,Q50/S50)</f>
        <v>0.306448907195005</v>
      </c>
      <c r="U50" s="45" t="n">
        <f aca="false">ROUND(ABS(GK50)+ABS(SUM(AV50,BL50,CB50,CR50,DH50,DX50,EN50,FD50,FT50,GJ50)-M50-P50)+ABS(S50-(AH50+NPV($J50,AI50:AR50))),6)</f>
        <v>0</v>
      </c>
      <c r="W50" s="133" t="n">
        <f aca="false">-$D50*Inputs!$C$13</f>
        <v>-4000</v>
      </c>
      <c r="X50" s="133" t="n">
        <f aca="false">BF50-$D50*Inputs!$D$13</f>
        <v>-4000</v>
      </c>
      <c r="Y50" s="133" t="n">
        <f aca="false">BV50-$D50*Inputs!$E$13</f>
        <v>-4000</v>
      </c>
      <c r="Z50" s="133" t="n">
        <f aca="false">CL50-$D50*Inputs!$F$13</f>
        <v>-4000</v>
      </c>
      <c r="AA50" s="133" t="n">
        <f aca="false">DB50-$D50*Inputs!$G$13</f>
        <v>-4000</v>
      </c>
      <c r="AB50" s="133" t="n">
        <f aca="false">DR50-$D50*Inputs!$H$13</f>
        <v>8467.319001426</v>
      </c>
      <c r="AC50" s="133" t="n">
        <f aca="false">EH50-$D50*Inputs!$I$13</f>
        <v>8660.87320947163</v>
      </c>
      <c r="AD50" s="133" t="n">
        <f aca="false">EX50-$D50*Inputs!$J$13</f>
        <v>7662.85847956026</v>
      </c>
      <c r="AE50" s="133" t="n">
        <f aca="false">FN50-$D50*Inputs!$K$13</f>
        <v>7253.40882323546</v>
      </c>
      <c r="AF50" s="133" t="n">
        <f aca="false">GD50-$D50*Inputs!$L$13</f>
        <v>7423.59790557899</v>
      </c>
      <c r="AG50" s="84" t="n">
        <f aca="false">GT50</f>
        <v>37996.1651927876</v>
      </c>
      <c r="AH50" s="84" t="n">
        <f aca="false">$D50*$E50</f>
        <v>300</v>
      </c>
      <c r="AI50" s="84" t="n">
        <f aca="false">BG50+$D50*$E50</f>
        <v>300</v>
      </c>
      <c r="AJ50" s="84" t="n">
        <f aca="false">BW50+$D50*$E50</f>
        <v>300</v>
      </c>
      <c r="AK50" s="84" t="n">
        <f aca="false">CM50+$D50*$E50</f>
        <v>300</v>
      </c>
      <c r="AL50" s="84" t="n">
        <f aca="false">DC50+$D50*$E50</f>
        <v>300</v>
      </c>
      <c r="AM50" s="84" t="n">
        <f aca="false">DS50+$D50*$E50</f>
        <v>300</v>
      </c>
      <c r="AN50" s="84" t="n">
        <f aca="false">EI50+$D50*$E50</f>
        <v>300</v>
      </c>
      <c r="AO50" s="84" t="n">
        <f aca="false">EY50+$D50*$E50</f>
        <v>1497.76267261447</v>
      </c>
      <c r="AP50" s="84" t="n">
        <f aca="false">FO50+$D50*$E50</f>
        <v>2113.35220580886</v>
      </c>
      <c r="AQ50" s="84" t="n">
        <f aca="false">GE50+$D50*$E50</f>
        <v>2155.89947639475</v>
      </c>
      <c r="AR50" s="84" t="n">
        <f aca="false">GU50</f>
        <v>9499.0412981969</v>
      </c>
      <c r="AT50" s="133" t="n">
        <f aca="false">$D50*Inputs!$C$13-$D50*$E50</f>
        <v>3700</v>
      </c>
      <c r="AU50" s="84" t="n">
        <f aca="false">AT50*(1+$I50)</f>
        <v>4773</v>
      </c>
      <c r="AV50" s="133" t="n">
        <f aca="false">AU50*Inputs!$C$14</f>
        <v>0</v>
      </c>
      <c r="AW50" s="84" t="n">
        <f aca="false">AU50-AV50</f>
        <v>4773</v>
      </c>
      <c r="AX50" s="133" t="n">
        <f aca="false">$D50*Inputs!$C$13</f>
        <v>4000</v>
      </c>
      <c r="AY50" s="84" t="n">
        <f aca="false">MIN(AV50,AX50)</f>
        <v>0</v>
      </c>
      <c r="AZ50" s="84" t="n">
        <f aca="false">AX50-AY50</f>
        <v>4000</v>
      </c>
      <c r="BA50" s="84" t="n">
        <f aca="false">$G50*AX50</f>
        <v>0</v>
      </c>
      <c r="BB50" s="84" t="n">
        <f aca="false">MIN(AV50-AY50,BA50)</f>
        <v>0</v>
      </c>
      <c r="BC50" s="84" t="n">
        <f aca="false">BA50-BB50</f>
        <v>0</v>
      </c>
      <c r="BD50" s="84" t="n">
        <f aca="false">IF($H50=1,MIN(AV50-AY50-BB50,MAX(0,$F50/(1-$F50)*BB50)),0)</f>
        <v>0</v>
      </c>
      <c r="BE50" s="84" t="n">
        <f aca="false">AV50-AY50-BB50-BD50</f>
        <v>0</v>
      </c>
      <c r="BF50" s="84" t="n">
        <f aca="false">AY50+BB50+(1-$F50)*BE50</f>
        <v>0</v>
      </c>
      <c r="BG50" s="84" t="n">
        <f aca="false">BD50+$F50*BE50</f>
        <v>0</v>
      </c>
      <c r="BH50" s="84" t="n">
        <f aca="false">BB50+(1-$F50)*BE50</f>
        <v>0</v>
      </c>
      <c r="BI50" s="84" t="n">
        <f aca="false">BG50</f>
        <v>0</v>
      </c>
      <c r="BJ50" s="133" t="n">
        <f aca="false">AW50+$D50*Inputs!$D$13-$D50*$E50</f>
        <v>8473</v>
      </c>
      <c r="BK50" s="84" t="n">
        <f aca="false">BJ50*(1+$I50)</f>
        <v>10930.17</v>
      </c>
      <c r="BL50" s="133" t="n">
        <f aca="false">BK50*Inputs!$D$14</f>
        <v>0</v>
      </c>
      <c r="BM50" s="84" t="n">
        <f aca="false">BK50-BL50</f>
        <v>10930.17</v>
      </c>
      <c r="BN50" s="133" t="n">
        <f aca="false">AZ50+$D50*Inputs!$D$13</f>
        <v>8000</v>
      </c>
      <c r="BO50" s="84" t="n">
        <f aca="false">MIN(BL50,BN50)</f>
        <v>0</v>
      </c>
      <c r="BP50" s="84" t="n">
        <f aca="false">BN50-BO50</f>
        <v>8000</v>
      </c>
      <c r="BQ50" s="84" t="n">
        <f aca="false">BC50+$G50*(BN50+BC50)</f>
        <v>0</v>
      </c>
      <c r="BR50" s="84" t="n">
        <f aca="false">MIN(BL50-BO50,BQ50)</f>
        <v>0</v>
      </c>
      <c r="BS50" s="84" t="n">
        <f aca="false">BQ50-BR50</f>
        <v>0</v>
      </c>
      <c r="BT50" s="84" t="n">
        <f aca="false">IF($H50=1,MIN(BL50-BO50-BR50,MAX(0,$F50/(1-$F50)*(BH50+BR50)-BI50)),0)</f>
        <v>0</v>
      </c>
      <c r="BU50" s="84" t="n">
        <f aca="false">BL50-BO50-BR50-BT50</f>
        <v>0</v>
      </c>
      <c r="BV50" s="84" t="n">
        <f aca="false">BO50+BR50+(1-$F50)*BU50</f>
        <v>0</v>
      </c>
      <c r="BW50" s="84" t="n">
        <f aca="false">BT50+$F50*BU50</f>
        <v>0</v>
      </c>
      <c r="BX50" s="84" t="n">
        <f aca="false">BH50+BR50+(1-$F50)*BU50</f>
        <v>0</v>
      </c>
      <c r="BY50" s="84" t="n">
        <f aca="false">BI50+BW50</f>
        <v>0</v>
      </c>
      <c r="BZ50" s="133" t="n">
        <f aca="false">BM50+$D50*Inputs!$E$13-$D50*$E50</f>
        <v>14630.17</v>
      </c>
      <c r="CA50" s="84" t="n">
        <f aca="false">BZ50*(1+$I50)</f>
        <v>18872.9193</v>
      </c>
      <c r="CB50" s="133" t="n">
        <f aca="false">CA50*Inputs!$E$14</f>
        <v>0</v>
      </c>
      <c r="CC50" s="84" t="n">
        <f aca="false">CA50-CB50</f>
        <v>18872.9193</v>
      </c>
      <c r="CD50" s="133" t="n">
        <f aca="false">BP50+$D50*Inputs!$E$13</f>
        <v>12000</v>
      </c>
      <c r="CE50" s="84" t="n">
        <f aca="false">MIN(CB50,CD50)</f>
        <v>0</v>
      </c>
      <c r="CF50" s="84" t="n">
        <f aca="false">CD50-CE50</f>
        <v>12000</v>
      </c>
      <c r="CG50" s="84" t="n">
        <f aca="false">BS50+$G50*(CD50+BS50)</f>
        <v>0</v>
      </c>
      <c r="CH50" s="84" t="n">
        <f aca="false">MIN(CB50-CE50,CG50)</f>
        <v>0</v>
      </c>
      <c r="CI50" s="84" t="n">
        <f aca="false">CG50-CH50</f>
        <v>0</v>
      </c>
      <c r="CJ50" s="84" t="n">
        <f aca="false">IF($H50=1,MIN(CB50-CE50-CH50,MAX(0,$F50/(1-$F50)*(BX50+CH50)-BY50)),0)</f>
        <v>0</v>
      </c>
      <c r="CK50" s="84" t="n">
        <f aca="false">CB50-CE50-CH50-CJ50</f>
        <v>0</v>
      </c>
      <c r="CL50" s="84" t="n">
        <f aca="false">CE50+CH50+(1-$F50)*CK50</f>
        <v>0</v>
      </c>
      <c r="CM50" s="84" t="n">
        <f aca="false">CJ50+$F50*CK50</f>
        <v>0</v>
      </c>
      <c r="CN50" s="84" t="n">
        <f aca="false">BX50+CH50+(1-$F50)*CK50</f>
        <v>0</v>
      </c>
      <c r="CO50" s="84" t="n">
        <f aca="false">BY50+CM50</f>
        <v>0</v>
      </c>
      <c r="CP50" s="133" t="n">
        <f aca="false">CC50+$D50*Inputs!$F$13-$D50*$E50</f>
        <v>22572.9193</v>
      </c>
      <c r="CQ50" s="84" t="n">
        <f aca="false">CP50*(1+$I50)</f>
        <v>29119.065897</v>
      </c>
      <c r="CR50" s="133" t="n">
        <f aca="false">CQ50*Inputs!$F$14</f>
        <v>0</v>
      </c>
      <c r="CS50" s="84" t="n">
        <f aca="false">CQ50-CR50</f>
        <v>29119.065897</v>
      </c>
      <c r="CT50" s="133" t="n">
        <f aca="false">CF50+$D50*Inputs!$F$13</f>
        <v>16000</v>
      </c>
      <c r="CU50" s="84" t="n">
        <f aca="false">MIN(CR50,CT50)</f>
        <v>0</v>
      </c>
      <c r="CV50" s="84" t="n">
        <f aca="false">CT50-CU50</f>
        <v>16000</v>
      </c>
      <c r="CW50" s="84" t="n">
        <f aca="false">CI50+$G50*(CT50+CI50)</f>
        <v>0</v>
      </c>
      <c r="CX50" s="84" t="n">
        <f aca="false">MIN(CR50-CU50,CW50)</f>
        <v>0</v>
      </c>
      <c r="CY50" s="84" t="n">
        <f aca="false">CW50-CX50</f>
        <v>0</v>
      </c>
      <c r="CZ50" s="84" t="n">
        <f aca="false">IF($H50=1,MIN(CR50-CU50-CX50,MAX(0,$F50/(1-$F50)*(CN50+CX50)-CO50)),0)</f>
        <v>0</v>
      </c>
      <c r="DA50" s="84" t="n">
        <f aca="false">CR50-CU50-CX50-CZ50</f>
        <v>0</v>
      </c>
      <c r="DB50" s="84" t="n">
        <f aca="false">CU50+CX50+(1-$F50)*DA50</f>
        <v>0</v>
      </c>
      <c r="DC50" s="84" t="n">
        <f aca="false">CZ50+$F50*DA50</f>
        <v>0</v>
      </c>
      <c r="DD50" s="84" t="n">
        <f aca="false">CN50+CX50+(1-$F50)*DA50</f>
        <v>0</v>
      </c>
      <c r="DE50" s="84" t="n">
        <f aca="false">CO50+DC50</f>
        <v>0</v>
      </c>
      <c r="DF50" s="133" t="n">
        <f aca="false">CS50+$D50*Inputs!$G$13-$D50*$E50</f>
        <v>32819.065897</v>
      </c>
      <c r="DG50" s="84" t="n">
        <f aca="false">DF50*(1+$I50)</f>
        <v>42336.59500713</v>
      </c>
      <c r="DH50" s="133" t="n">
        <f aca="false">DG50*Inputs!$G$14</f>
        <v>8467.319001426</v>
      </c>
      <c r="DI50" s="84" t="n">
        <f aca="false">DG50-DH50</f>
        <v>33869.276005704</v>
      </c>
      <c r="DJ50" s="133" t="n">
        <f aca="false">CV50+$D50*Inputs!$G$13</f>
        <v>20000</v>
      </c>
      <c r="DK50" s="84" t="n">
        <f aca="false">MIN(DH50,DJ50)</f>
        <v>8467.319001426</v>
      </c>
      <c r="DL50" s="84" t="n">
        <f aca="false">DJ50-DK50</f>
        <v>11532.680998574</v>
      </c>
      <c r="DM50" s="84" t="n">
        <f aca="false">CY50+$G50*(DJ50+CY50)</f>
        <v>0</v>
      </c>
      <c r="DN50" s="84" t="n">
        <f aca="false">MIN(DH50-DK50,DM50)</f>
        <v>0</v>
      </c>
      <c r="DO50" s="84" t="n">
        <f aca="false">DM50-DN50</f>
        <v>0</v>
      </c>
      <c r="DP50" s="84" t="n">
        <f aca="false">IF($H50=1,MIN(DH50-DK50-DN50,MAX(0,$F50/(1-$F50)*(DD50+DN50)-DE50)),0)</f>
        <v>0</v>
      </c>
      <c r="DQ50" s="84" t="n">
        <f aca="false">DH50-DK50-DN50-DP50</f>
        <v>0</v>
      </c>
      <c r="DR50" s="84" t="n">
        <f aca="false">DK50+DN50+(1-$F50)*DQ50</f>
        <v>8467.319001426</v>
      </c>
      <c r="DS50" s="84" t="n">
        <f aca="false">DP50+$F50*DQ50</f>
        <v>0</v>
      </c>
      <c r="DT50" s="84" t="n">
        <f aca="false">DD50+DN50+(1-$F50)*DQ50</f>
        <v>0</v>
      </c>
      <c r="DU50" s="84" t="n">
        <f aca="false">DE50+DS50</f>
        <v>0</v>
      </c>
      <c r="DV50" s="133" t="n">
        <f aca="false">DI50+$D50*Inputs!$H$13-$D50*$E50</f>
        <v>33569.276005704</v>
      </c>
      <c r="DW50" s="84" t="n">
        <f aca="false">DV50*(1+$I50)</f>
        <v>43304.3660473582</v>
      </c>
      <c r="DX50" s="133" t="n">
        <f aca="false">DW50*Inputs!$H$14</f>
        <v>8660.87320947163</v>
      </c>
      <c r="DY50" s="84" t="n">
        <f aca="false">DW50-DX50</f>
        <v>34643.4928378865</v>
      </c>
      <c r="DZ50" s="133" t="n">
        <f aca="false">DL50+$D50*Inputs!$H$13</f>
        <v>11532.680998574</v>
      </c>
      <c r="EA50" s="84" t="n">
        <f aca="false">MIN(DX50,DZ50)</f>
        <v>8660.87320947163</v>
      </c>
      <c r="EB50" s="84" t="n">
        <f aca="false">DZ50-EA50</f>
        <v>2871.80778910236</v>
      </c>
      <c r="EC50" s="84" t="n">
        <f aca="false">DO50+$G50*(DZ50+DO50)</f>
        <v>0</v>
      </c>
      <c r="ED50" s="84" t="n">
        <f aca="false">MIN(DX50-EA50,EC50)</f>
        <v>0</v>
      </c>
      <c r="EE50" s="84" t="n">
        <f aca="false">EC50-ED50</f>
        <v>0</v>
      </c>
      <c r="EF50" s="84" t="n">
        <f aca="false">IF($H50=1,MIN(DX50-EA50-ED50,MAX(0,$F50/(1-$F50)*(DT50+ED50)-DU50)),0)</f>
        <v>0</v>
      </c>
      <c r="EG50" s="84" t="n">
        <f aca="false">DX50-EA50-ED50-EF50</f>
        <v>0</v>
      </c>
      <c r="EH50" s="84" t="n">
        <f aca="false">EA50+ED50+(1-$F50)*EG50</f>
        <v>8660.87320947163</v>
      </c>
      <c r="EI50" s="84" t="n">
        <f aca="false">EF50+$F50*EG50</f>
        <v>0</v>
      </c>
      <c r="EJ50" s="84" t="n">
        <f aca="false">DT50+ED50+(1-$F50)*EG50</f>
        <v>0</v>
      </c>
      <c r="EK50" s="84" t="n">
        <f aca="false">DU50+EI50</f>
        <v>0</v>
      </c>
      <c r="EL50" s="133" t="n">
        <f aca="false">DY50+$D50*Inputs!$I$13-$D50*$E50</f>
        <v>34343.4928378865</v>
      </c>
      <c r="EM50" s="84" t="n">
        <f aca="false">EL50*(1+$I50)</f>
        <v>44303.1057608736</v>
      </c>
      <c r="EN50" s="133" t="n">
        <f aca="false">EM50*Inputs!$I$14</f>
        <v>8860.62115217473</v>
      </c>
      <c r="EO50" s="84" t="n">
        <f aca="false">EM50-EN50</f>
        <v>35442.4846086989</v>
      </c>
      <c r="EP50" s="133" t="n">
        <f aca="false">EB50+$D50*Inputs!$I$13</f>
        <v>2871.80778910236</v>
      </c>
      <c r="EQ50" s="84" t="n">
        <f aca="false">MIN(EN50,EP50)</f>
        <v>2871.80778910236</v>
      </c>
      <c r="ER50" s="84" t="n">
        <f aca="false">EP50-EQ50</f>
        <v>0</v>
      </c>
      <c r="ES50" s="84" t="n">
        <f aca="false">EE50+$G50*(EP50+EE50)</f>
        <v>0</v>
      </c>
      <c r="ET50" s="84" t="n">
        <f aca="false">MIN(EN50-EQ50,ES50)</f>
        <v>0</v>
      </c>
      <c r="EU50" s="84" t="n">
        <f aca="false">ES50-ET50</f>
        <v>0</v>
      </c>
      <c r="EV50" s="84" t="n">
        <f aca="false">IF($H50=1,MIN(EN50-EQ50-ET50,MAX(0,$F50/(1-$F50)*(EJ50+ET50)-EK50)),0)</f>
        <v>0</v>
      </c>
      <c r="EW50" s="84" t="n">
        <f aca="false">EN50-EQ50-ET50-EV50</f>
        <v>5988.81336307236</v>
      </c>
      <c r="EX50" s="84" t="n">
        <f aca="false">EQ50+ET50+(1-$F50)*EW50</f>
        <v>7662.85847956026</v>
      </c>
      <c r="EY50" s="84" t="n">
        <f aca="false">EV50+$F50*EW50</f>
        <v>1197.76267261447</v>
      </c>
      <c r="EZ50" s="84" t="n">
        <f aca="false">EJ50+ET50+(1-$F50)*EW50</f>
        <v>4791.05069045789</v>
      </c>
      <c r="FA50" s="84" t="n">
        <f aca="false">EK50+EY50</f>
        <v>1197.76267261447</v>
      </c>
      <c r="FB50" s="133" t="n">
        <f aca="false">EO50+$D50*Inputs!$J$13-$D50*$E50</f>
        <v>35142.4846086989</v>
      </c>
      <c r="FC50" s="84" t="n">
        <f aca="false">FB50*(1+$I50)</f>
        <v>45333.8051452216</v>
      </c>
      <c r="FD50" s="133" t="n">
        <f aca="false">FC50*Inputs!$J$14</f>
        <v>9066.76102904432</v>
      </c>
      <c r="FE50" s="84" t="n">
        <f aca="false">FC50-FD50</f>
        <v>36267.0441161773</v>
      </c>
      <c r="FF50" s="133" t="n">
        <f aca="false">ER50+$D50*Inputs!$J$13</f>
        <v>0</v>
      </c>
      <c r="FG50" s="84" t="n">
        <f aca="false">MIN(FD50,FF50)</f>
        <v>0</v>
      </c>
      <c r="FH50" s="84" t="n">
        <f aca="false">FF50-FG50</f>
        <v>0</v>
      </c>
      <c r="FI50" s="84" t="n">
        <f aca="false">EU50+$G50*(FF50+EU50)</f>
        <v>0</v>
      </c>
      <c r="FJ50" s="84" t="n">
        <f aca="false">MIN(FD50-FG50,FI50)</f>
        <v>0</v>
      </c>
      <c r="FK50" s="84" t="n">
        <f aca="false">FI50-FJ50</f>
        <v>0</v>
      </c>
      <c r="FL50" s="84" t="n">
        <f aca="false">IF($H50=1,MIN(FD50-FG50-FJ50,MAX(0,$F50/(1-$F50)*(EZ50+FJ50)-FA50)),0)</f>
        <v>0</v>
      </c>
      <c r="FM50" s="84" t="n">
        <f aca="false">FD50-FG50-FJ50-FL50</f>
        <v>9066.76102904432</v>
      </c>
      <c r="FN50" s="84" t="n">
        <f aca="false">FG50+FJ50+(1-$F50)*FM50</f>
        <v>7253.40882323546</v>
      </c>
      <c r="FO50" s="84" t="n">
        <f aca="false">FL50+$F50*FM50</f>
        <v>1813.35220580886</v>
      </c>
      <c r="FP50" s="84" t="n">
        <f aca="false">EZ50+FJ50+(1-$F50)*FM50</f>
        <v>12044.4595136934</v>
      </c>
      <c r="FQ50" s="84" t="n">
        <f aca="false">FA50+FO50</f>
        <v>3011.11487842334</v>
      </c>
      <c r="FR50" s="133" t="n">
        <f aca="false">FE50+$D50*Inputs!$K$13-$D50*$E50</f>
        <v>35967.0441161773</v>
      </c>
      <c r="FS50" s="84" t="n">
        <f aca="false">FR50*(1+$I50)</f>
        <v>46397.4869098687</v>
      </c>
      <c r="FT50" s="133" t="n">
        <f aca="false">FS50*Inputs!$K$14</f>
        <v>9279.49738197374</v>
      </c>
      <c r="FU50" s="84" t="n">
        <f aca="false">FS50-FT50</f>
        <v>37117.989527895</v>
      </c>
      <c r="FV50" s="133" t="n">
        <f aca="false">FH50+$D50*Inputs!$K$13</f>
        <v>0</v>
      </c>
      <c r="FW50" s="84" t="n">
        <f aca="false">MIN(FT50,FV50)</f>
        <v>0</v>
      </c>
      <c r="FX50" s="84" t="n">
        <f aca="false">FV50-FW50</f>
        <v>0</v>
      </c>
      <c r="FY50" s="84" t="n">
        <f aca="false">FK50+$G50*(FV50+FK50)</f>
        <v>0</v>
      </c>
      <c r="FZ50" s="84" t="n">
        <f aca="false">MIN(FT50-FW50,FY50)</f>
        <v>0</v>
      </c>
      <c r="GA50" s="84" t="n">
        <f aca="false">FY50-FZ50</f>
        <v>0</v>
      </c>
      <c r="GB50" s="84" t="n">
        <f aca="false">IF($H50=1,MIN(FT50-FW50-FZ50,MAX(0,$F50/(1-$F50)*(FP50+FZ50)-FQ50)),0)</f>
        <v>0</v>
      </c>
      <c r="GC50" s="84" t="n">
        <f aca="false">FT50-FW50-FZ50-GB50</f>
        <v>9279.49738197374</v>
      </c>
      <c r="GD50" s="84" t="n">
        <f aca="false">FW50+FZ50+(1-$F50)*GC50</f>
        <v>7423.59790557899</v>
      </c>
      <c r="GE50" s="84" t="n">
        <f aca="false">GB50+$F50*GC50</f>
        <v>1855.89947639475</v>
      </c>
      <c r="GF50" s="84" t="n">
        <f aca="false">FP50+FZ50+(1-$F50)*GC50</f>
        <v>19468.0574192723</v>
      </c>
      <c r="GG50" s="84" t="n">
        <f aca="false">FQ50+GE50</f>
        <v>4867.01435481809</v>
      </c>
      <c r="GH50" s="133" t="n">
        <f aca="false">FU50+$D50*Inputs!$L$13-$D50*$E50</f>
        <v>36817.989527895</v>
      </c>
      <c r="GI50" s="84" t="n">
        <f aca="false">GH50*(1+$I50)</f>
        <v>47495.2064909845</v>
      </c>
      <c r="GJ50" s="133" t="n">
        <f aca="false">GI50*Inputs!$L$14</f>
        <v>47495.2064909845</v>
      </c>
      <c r="GK50" s="84" t="n">
        <f aca="false">GI50-GJ50</f>
        <v>0</v>
      </c>
      <c r="GL50" s="133" t="n">
        <f aca="false">FX50+$D50*Inputs!$L$13</f>
        <v>0</v>
      </c>
      <c r="GM50" s="84" t="n">
        <f aca="false">MIN(GJ50,GL50)</f>
        <v>0</v>
      </c>
      <c r="GN50" s="84" t="n">
        <f aca="false">GL50-GM50</f>
        <v>0</v>
      </c>
      <c r="GO50" s="84" t="n">
        <f aca="false">GA50+$G50*(GL50+GA50)</f>
        <v>0</v>
      </c>
      <c r="GP50" s="84" t="n">
        <f aca="false">MIN(GJ50-GM50,GO50)</f>
        <v>0</v>
      </c>
      <c r="GQ50" s="84" t="n">
        <f aca="false">GO50-GP50</f>
        <v>0</v>
      </c>
      <c r="GR50" s="84" t="n">
        <f aca="false">IF($H50=1,MIN(GJ50-GM50-GP50,MAX(0,$F50/(1-$F50)*(GF50+GP50)-GG50)),0)</f>
        <v>0</v>
      </c>
      <c r="GS50" s="84" t="n">
        <f aca="false">GJ50-GM50-GP50-GR50</f>
        <v>47495.2064909845</v>
      </c>
      <c r="GT50" s="84" t="n">
        <f aca="false">GM50+GP50+(1-$F50)*GS50</f>
        <v>37996.1651927876</v>
      </c>
      <c r="GU50" s="84" t="n">
        <f aca="false">GR50+$F50*GS50</f>
        <v>9499.0412981969</v>
      </c>
      <c r="GV50" s="84" t="n">
        <f aca="false">GF50+GP50+(1-$F50)*GS50</f>
        <v>57464.2226120599</v>
      </c>
      <c r="GW50" s="84" t="n">
        <f aca="false">GG50+GU50</f>
        <v>14366.055653015</v>
      </c>
    </row>
    <row r="51" customFormat="false" ht="15" hidden="false" customHeight="false" outlineLevel="0" collapsed="false">
      <c r="A51" s="5" t="s">
        <v>635</v>
      </c>
      <c r="B51" s="5" t="s">
        <v>636</v>
      </c>
      <c r="C51" s="135" t="n">
        <v>30</v>
      </c>
      <c r="D51" s="47" t="n">
        <f aca="false">Inputs!$C$6</f>
        <v>20000</v>
      </c>
      <c r="E51" s="35" t="n">
        <f aca="false">Inputs!$C$18</f>
        <v>0.015</v>
      </c>
      <c r="F51" s="36" t="n">
        <f aca="false">Inputs!$C$20</f>
        <v>0.2</v>
      </c>
      <c r="G51" s="30" t="n">
        <v>0</v>
      </c>
      <c r="H51" s="27" t="n">
        <v>0</v>
      </c>
      <c r="I51" s="132" t="n">
        <f aca="false">Inputs!$C$38+$C51*Inputs!$C$39</f>
        <v>0.3</v>
      </c>
      <c r="J51" s="36" t="n">
        <f aca="false">Inputs!$C$9</f>
        <v>0.15</v>
      </c>
      <c r="K51" s="89" t="n">
        <f aca="false">IRR(W51:AG51,0.1)</f>
        <v>0.251645670816069</v>
      </c>
      <c r="L51" s="45" t="n">
        <f aca="false">W51+NPV($J51,X51:AG51)</f>
        <v>10522.1377441016</v>
      </c>
      <c r="M51" s="45" t="n">
        <f aca="false">SUM(BF51,BV51,CL51,DB51,DR51,EH51,EX51,FN51,GD51,GT51)</f>
        <v>81692.8226064582</v>
      </c>
      <c r="N51" s="43" t="n">
        <f aca="false">IF($D51*SUM(Inputs!$C$13:$L$13)=0,0,M51/($D51*SUM(Inputs!$C$13:$L$13)))</f>
        <v>4.08464113032291</v>
      </c>
      <c r="O51" s="42" t="n">
        <f aca="false">$D51*$E51*COLUMNS(Inputs!$C$13:$L$13)</f>
        <v>3000</v>
      </c>
      <c r="P51" s="45" t="n">
        <f aca="false">SUM(BG51,BW51,CM51,DC51,DS51,EI51,EY51,FO51,GE51,GU51)</f>
        <v>15423.2056516145</v>
      </c>
      <c r="Q51" s="42" t="n">
        <f aca="false">PV($J51,COLUMNS(Inputs!$C$13:$L$13),-$D51*$E51,0,1)</f>
        <v>1731.47517591971</v>
      </c>
      <c r="R51" s="45" t="n">
        <f aca="false">NPV($J51,BG51,BW51,CM51,DC51,DS51,EI51,EY51,FO51,GE51,GU51)</f>
        <v>4215.69962553358</v>
      </c>
      <c r="S51" s="45" t="n">
        <f aca="false">Q51+R51</f>
        <v>5947.17480145329</v>
      </c>
      <c r="T51" s="32" t="n">
        <f aca="false">IF(S51=0,0,Q51/S51)</f>
        <v>0.291142472472239</v>
      </c>
      <c r="U51" s="45" t="n">
        <f aca="false">ROUND(ABS(GK51)+ABS(SUM(AV51,BL51,CB51,CR51,DH51,DX51,EN51,FD51,FT51,GJ51)-M51-P51)+ABS(S51-(AH51+NPV($J51,AI51:AR51))),6)</f>
        <v>0</v>
      </c>
      <c r="W51" s="133" t="n">
        <f aca="false">-$D51*Inputs!$C$13</f>
        <v>-4000</v>
      </c>
      <c r="X51" s="133" t="n">
        <f aca="false">BF51-$D51*Inputs!$D$13</f>
        <v>-4000</v>
      </c>
      <c r="Y51" s="133" t="n">
        <f aca="false">BV51-$D51*Inputs!$E$13</f>
        <v>-4000</v>
      </c>
      <c r="Z51" s="133" t="n">
        <f aca="false">CL51-$D51*Inputs!$F$13</f>
        <v>-4000</v>
      </c>
      <c r="AA51" s="133" t="n">
        <f aca="false">DB51-$D51*Inputs!$G$13</f>
        <v>-4000</v>
      </c>
      <c r="AB51" s="133" t="n">
        <f aca="false">DR51-$D51*Inputs!$H$13</f>
        <v>8699.4622</v>
      </c>
      <c r="AC51" s="133" t="n">
        <f aca="false">EH51-$D51*Inputs!$I$13</f>
        <v>8969.440688</v>
      </c>
      <c r="AD51" s="133" t="n">
        <f aca="false">EX51-$D51*Inputs!$J$13</f>
        <v>7866.394074816</v>
      </c>
      <c r="AE51" s="133" t="n">
        <f aca="false">FN51-$D51*Inputs!$K$13</f>
        <v>7633.78163851264</v>
      </c>
      <c r="AF51" s="133" t="n">
        <f aca="false">GD51-$D51*Inputs!$L$13</f>
        <v>7876.73290405315</v>
      </c>
      <c r="AG51" s="84" t="n">
        <f aca="false">GT51</f>
        <v>40647.0111010764</v>
      </c>
      <c r="AH51" s="84" t="n">
        <f aca="false">$D51*$E51</f>
        <v>300</v>
      </c>
      <c r="AI51" s="84" t="n">
        <f aca="false">BG51+$D51*$E51</f>
        <v>300</v>
      </c>
      <c r="AJ51" s="84" t="n">
        <f aca="false">BW51+$D51*$E51</f>
        <v>300</v>
      </c>
      <c r="AK51" s="84" t="n">
        <f aca="false">CM51+$D51*$E51</f>
        <v>300</v>
      </c>
      <c r="AL51" s="84" t="n">
        <f aca="false">DC51+$D51*$E51</f>
        <v>300</v>
      </c>
      <c r="AM51" s="84" t="n">
        <f aca="false">DS51+$D51*$E51</f>
        <v>300</v>
      </c>
      <c r="AN51" s="84" t="n">
        <f aca="false">EI51+$D51*$E51</f>
        <v>300</v>
      </c>
      <c r="AO51" s="84" t="n">
        <f aca="false">EY51+$D51*$E51</f>
        <v>1683.824240704</v>
      </c>
      <c r="AP51" s="84" t="n">
        <f aca="false">FO51+$D51*$E51</f>
        <v>2208.44540962816</v>
      </c>
      <c r="AQ51" s="84" t="n">
        <f aca="false">GE51+$D51*$E51</f>
        <v>2269.18322601329</v>
      </c>
      <c r="AR51" s="84" t="n">
        <f aca="false">GU51</f>
        <v>10161.7527752691</v>
      </c>
      <c r="AT51" s="133" t="n">
        <f aca="false">$D51*Inputs!$C$13-$D51*$E51</f>
        <v>3700</v>
      </c>
      <c r="AU51" s="84" t="n">
        <f aca="false">AT51*(1+$I51)</f>
        <v>4810</v>
      </c>
      <c r="AV51" s="133" t="n">
        <f aca="false">AU51*Inputs!$C$14</f>
        <v>0</v>
      </c>
      <c r="AW51" s="84" t="n">
        <f aca="false">AU51-AV51</f>
        <v>4810</v>
      </c>
      <c r="AX51" s="133" t="n">
        <f aca="false">$D51*Inputs!$C$13</f>
        <v>4000</v>
      </c>
      <c r="AY51" s="84" t="n">
        <f aca="false">MIN(AV51,AX51)</f>
        <v>0</v>
      </c>
      <c r="AZ51" s="84" t="n">
        <f aca="false">AX51-AY51</f>
        <v>4000</v>
      </c>
      <c r="BA51" s="84" t="n">
        <f aca="false">$G51*AX51</f>
        <v>0</v>
      </c>
      <c r="BB51" s="84" t="n">
        <f aca="false">MIN(AV51-AY51,BA51)</f>
        <v>0</v>
      </c>
      <c r="BC51" s="84" t="n">
        <f aca="false">BA51-BB51</f>
        <v>0</v>
      </c>
      <c r="BD51" s="84" t="n">
        <f aca="false">IF($H51=1,MIN(AV51-AY51-BB51,MAX(0,$F51/(1-$F51)*BB51)),0)</f>
        <v>0</v>
      </c>
      <c r="BE51" s="84" t="n">
        <f aca="false">AV51-AY51-BB51-BD51</f>
        <v>0</v>
      </c>
      <c r="BF51" s="84" t="n">
        <f aca="false">AY51+BB51+(1-$F51)*BE51</f>
        <v>0</v>
      </c>
      <c r="BG51" s="84" t="n">
        <f aca="false">BD51+$F51*BE51</f>
        <v>0</v>
      </c>
      <c r="BH51" s="84" t="n">
        <f aca="false">BB51+(1-$F51)*BE51</f>
        <v>0</v>
      </c>
      <c r="BI51" s="84" t="n">
        <f aca="false">BG51</f>
        <v>0</v>
      </c>
      <c r="BJ51" s="133" t="n">
        <f aca="false">AW51+$D51*Inputs!$D$13-$D51*$E51</f>
        <v>8510</v>
      </c>
      <c r="BK51" s="84" t="n">
        <f aca="false">BJ51*(1+$I51)</f>
        <v>11063</v>
      </c>
      <c r="BL51" s="133" t="n">
        <f aca="false">BK51*Inputs!$D$14</f>
        <v>0</v>
      </c>
      <c r="BM51" s="84" t="n">
        <f aca="false">BK51-BL51</f>
        <v>11063</v>
      </c>
      <c r="BN51" s="133" t="n">
        <f aca="false">AZ51+$D51*Inputs!$D$13</f>
        <v>8000</v>
      </c>
      <c r="BO51" s="84" t="n">
        <f aca="false">MIN(BL51,BN51)</f>
        <v>0</v>
      </c>
      <c r="BP51" s="84" t="n">
        <f aca="false">BN51-BO51</f>
        <v>8000</v>
      </c>
      <c r="BQ51" s="84" t="n">
        <f aca="false">BC51+$G51*(BN51+BC51)</f>
        <v>0</v>
      </c>
      <c r="BR51" s="84" t="n">
        <f aca="false">MIN(BL51-BO51,BQ51)</f>
        <v>0</v>
      </c>
      <c r="BS51" s="84" t="n">
        <f aca="false">BQ51-BR51</f>
        <v>0</v>
      </c>
      <c r="BT51" s="84" t="n">
        <f aca="false">IF($H51=1,MIN(BL51-BO51-BR51,MAX(0,$F51/(1-$F51)*(BH51+BR51)-BI51)),0)</f>
        <v>0</v>
      </c>
      <c r="BU51" s="84" t="n">
        <f aca="false">BL51-BO51-BR51-BT51</f>
        <v>0</v>
      </c>
      <c r="BV51" s="84" t="n">
        <f aca="false">BO51+BR51+(1-$F51)*BU51</f>
        <v>0</v>
      </c>
      <c r="BW51" s="84" t="n">
        <f aca="false">BT51+$F51*BU51</f>
        <v>0</v>
      </c>
      <c r="BX51" s="84" t="n">
        <f aca="false">BH51+BR51+(1-$F51)*BU51</f>
        <v>0</v>
      </c>
      <c r="BY51" s="84" t="n">
        <f aca="false">BI51+BW51</f>
        <v>0</v>
      </c>
      <c r="BZ51" s="133" t="n">
        <f aca="false">BM51+$D51*Inputs!$E$13-$D51*$E51</f>
        <v>14763</v>
      </c>
      <c r="CA51" s="84" t="n">
        <f aca="false">BZ51*(1+$I51)</f>
        <v>19191.9</v>
      </c>
      <c r="CB51" s="133" t="n">
        <f aca="false">CA51*Inputs!$E$14</f>
        <v>0</v>
      </c>
      <c r="CC51" s="84" t="n">
        <f aca="false">CA51-CB51</f>
        <v>19191.9</v>
      </c>
      <c r="CD51" s="133" t="n">
        <f aca="false">BP51+$D51*Inputs!$E$13</f>
        <v>12000</v>
      </c>
      <c r="CE51" s="84" t="n">
        <f aca="false">MIN(CB51,CD51)</f>
        <v>0</v>
      </c>
      <c r="CF51" s="84" t="n">
        <f aca="false">CD51-CE51</f>
        <v>12000</v>
      </c>
      <c r="CG51" s="84" t="n">
        <f aca="false">BS51+$G51*(CD51+BS51)</f>
        <v>0</v>
      </c>
      <c r="CH51" s="84" t="n">
        <f aca="false">MIN(CB51-CE51,CG51)</f>
        <v>0</v>
      </c>
      <c r="CI51" s="84" t="n">
        <f aca="false">CG51-CH51</f>
        <v>0</v>
      </c>
      <c r="CJ51" s="84" t="n">
        <f aca="false">IF($H51=1,MIN(CB51-CE51-CH51,MAX(0,$F51/(1-$F51)*(BX51+CH51)-BY51)),0)</f>
        <v>0</v>
      </c>
      <c r="CK51" s="84" t="n">
        <f aca="false">CB51-CE51-CH51-CJ51</f>
        <v>0</v>
      </c>
      <c r="CL51" s="84" t="n">
        <f aca="false">CE51+CH51+(1-$F51)*CK51</f>
        <v>0</v>
      </c>
      <c r="CM51" s="84" t="n">
        <f aca="false">CJ51+$F51*CK51</f>
        <v>0</v>
      </c>
      <c r="CN51" s="84" t="n">
        <f aca="false">BX51+CH51+(1-$F51)*CK51</f>
        <v>0</v>
      </c>
      <c r="CO51" s="84" t="n">
        <f aca="false">BY51+CM51</f>
        <v>0</v>
      </c>
      <c r="CP51" s="133" t="n">
        <f aca="false">CC51+$D51*Inputs!$F$13-$D51*$E51</f>
        <v>22891.9</v>
      </c>
      <c r="CQ51" s="84" t="n">
        <f aca="false">CP51*(1+$I51)</f>
        <v>29759.47</v>
      </c>
      <c r="CR51" s="133" t="n">
        <f aca="false">CQ51*Inputs!$F$14</f>
        <v>0</v>
      </c>
      <c r="CS51" s="84" t="n">
        <f aca="false">CQ51-CR51</f>
        <v>29759.47</v>
      </c>
      <c r="CT51" s="133" t="n">
        <f aca="false">CF51+$D51*Inputs!$F$13</f>
        <v>16000</v>
      </c>
      <c r="CU51" s="84" t="n">
        <f aca="false">MIN(CR51,CT51)</f>
        <v>0</v>
      </c>
      <c r="CV51" s="84" t="n">
        <f aca="false">CT51-CU51</f>
        <v>16000</v>
      </c>
      <c r="CW51" s="84" t="n">
        <f aca="false">CI51+$G51*(CT51+CI51)</f>
        <v>0</v>
      </c>
      <c r="CX51" s="84" t="n">
        <f aca="false">MIN(CR51-CU51,CW51)</f>
        <v>0</v>
      </c>
      <c r="CY51" s="84" t="n">
        <f aca="false">CW51-CX51</f>
        <v>0</v>
      </c>
      <c r="CZ51" s="84" t="n">
        <f aca="false">IF($H51=1,MIN(CR51-CU51-CX51,MAX(0,$F51/(1-$F51)*(CN51+CX51)-CO51)),0)</f>
        <v>0</v>
      </c>
      <c r="DA51" s="84" t="n">
        <f aca="false">CR51-CU51-CX51-CZ51</f>
        <v>0</v>
      </c>
      <c r="DB51" s="84" t="n">
        <f aca="false">CU51+CX51+(1-$F51)*DA51</f>
        <v>0</v>
      </c>
      <c r="DC51" s="84" t="n">
        <f aca="false">CZ51+$F51*DA51</f>
        <v>0</v>
      </c>
      <c r="DD51" s="84" t="n">
        <f aca="false">CN51+CX51+(1-$F51)*DA51</f>
        <v>0</v>
      </c>
      <c r="DE51" s="84" t="n">
        <f aca="false">CO51+DC51</f>
        <v>0</v>
      </c>
      <c r="DF51" s="133" t="n">
        <f aca="false">CS51+$D51*Inputs!$G$13-$D51*$E51</f>
        <v>33459.47</v>
      </c>
      <c r="DG51" s="84" t="n">
        <f aca="false">DF51*(1+$I51)</f>
        <v>43497.311</v>
      </c>
      <c r="DH51" s="133" t="n">
        <f aca="false">DG51*Inputs!$G$14</f>
        <v>8699.4622</v>
      </c>
      <c r="DI51" s="84" t="n">
        <f aca="false">DG51-DH51</f>
        <v>34797.8488</v>
      </c>
      <c r="DJ51" s="133" t="n">
        <f aca="false">CV51+$D51*Inputs!$G$13</f>
        <v>20000</v>
      </c>
      <c r="DK51" s="84" t="n">
        <f aca="false">MIN(DH51,DJ51)</f>
        <v>8699.4622</v>
      </c>
      <c r="DL51" s="84" t="n">
        <f aca="false">DJ51-DK51</f>
        <v>11300.5378</v>
      </c>
      <c r="DM51" s="84" t="n">
        <f aca="false">CY51+$G51*(DJ51+CY51)</f>
        <v>0</v>
      </c>
      <c r="DN51" s="84" t="n">
        <f aca="false">MIN(DH51-DK51,DM51)</f>
        <v>0</v>
      </c>
      <c r="DO51" s="84" t="n">
        <f aca="false">DM51-DN51</f>
        <v>0</v>
      </c>
      <c r="DP51" s="84" t="n">
        <f aca="false">IF($H51=1,MIN(DH51-DK51-DN51,MAX(0,$F51/(1-$F51)*(DD51+DN51)-DE51)),0)</f>
        <v>0</v>
      </c>
      <c r="DQ51" s="84" t="n">
        <f aca="false">DH51-DK51-DN51-DP51</f>
        <v>0</v>
      </c>
      <c r="DR51" s="84" t="n">
        <f aca="false">DK51+DN51+(1-$F51)*DQ51</f>
        <v>8699.4622</v>
      </c>
      <c r="DS51" s="84" t="n">
        <f aca="false">DP51+$F51*DQ51</f>
        <v>0</v>
      </c>
      <c r="DT51" s="84" t="n">
        <f aca="false">DD51+DN51+(1-$F51)*DQ51</f>
        <v>0</v>
      </c>
      <c r="DU51" s="84" t="n">
        <f aca="false">DE51+DS51</f>
        <v>0</v>
      </c>
      <c r="DV51" s="133" t="n">
        <f aca="false">DI51+$D51*Inputs!$H$13-$D51*$E51</f>
        <v>34497.8488</v>
      </c>
      <c r="DW51" s="84" t="n">
        <f aca="false">DV51*(1+$I51)</f>
        <v>44847.20344</v>
      </c>
      <c r="DX51" s="133" t="n">
        <f aca="false">DW51*Inputs!$H$14</f>
        <v>8969.440688</v>
      </c>
      <c r="DY51" s="84" t="n">
        <f aca="false">DW51-DX51</f>
        <v>35877.762752</v>
      </c>
      <c r="DZ51" s="133" t="n">
        <f aca="false">DL51+$D51*Inputs!$H$13</f>
        <v>11300.5378</v>
      </c>
      <c r="EA51" s="84" t="n">
        <f aca="false">MIN(DX51,DZ51)</f>
        <v>8969.440688</v>
      </c>
      <c r="EB51" s="84" t="n">
        <f aca="false">DZ51-EA51</f>
        <v>2331.097112</v>
      </c>
      <c r="EC51" s="84" t="n">
        <f aca="false">DO51+$G51*(DZ51+DO51)</f>
        <v>0</v>
      </c>
      <c r="ED51" s="84" t="n">
        <f aca="false">MIN(DX51-EA51,EC51)</f>
        <v>0</v>
      </c>
      <c r="EE51" s="84" t="n">
        <f aca="false">EC51-ED51</f>
        <v>0</v>
      </c>
      <c r="EF51" s="84" t="n">
        <f aca="false">IF($H51=1,MIN(DX51-EA51-ED51,MAX(0,$F51/(1-$F51)*(DT51+ED51)-DU51)),0)</f>
        <v>0</v>
      </c>
      <c r="EG51" s="84" t="n">
        <f aca="false">DX51-EA51-ED51-EF51</f>
        <v>0</v>
      </c>
      <c r="EH51" s="84" t="n">
        <f aca="false">EA51+ED51+(1-$F51)*EG51</f>
        <v>8969.440688</v>
      </c>
      <c r="EI51" s="84" t="n">
        <f aca="false">EF51+$F51*EG51</f>
        <v>0</v>
      </c>
      <c r="EJ51" s="84" t="n">
        <f aca="false">DT51+ED51+(1-$F51)*EG51</f>
        <v>0</v>
      </c>
      <c r="EK51" s="84" t="n">
        <f aca="false">DU51+EI51</f>
        <v>0</v>
      </c>
      <c r="EL51" s="133" t="n">
        <f aca="false">DY51+$D51*Inputs!$I$13-$D51*$E51</f>
        <v>35577.762752</v>
      </c>
      <c r="EM51" s="84" t="n">
        <f aca="false">EL51*(1+$I51)</f>
        <v>46251.0915776</v>
      </c>
      <c r="EN51" s="133" t="n">
        <f aca="false">EM51*Inputs!$I$14</f>
        <v>9250.21831552</v>
      </c>
      <c r="EO51" s="84" t="n">
        <f aca="false">EM51-EN51</f>
        <v>37000.87326208</v>
      </c>
      <c r="EP51" s="133" t="n">
        <f aca="false">EB51+$D51*Inputs!$I$13</f>
        <v>2331.097112</v>
      </c>
      <c r="EQ51" s="84" t="n">
        <f aca="false">MIN(EN51,EP51)</f>
        <v>2331.097112</v>
      </c>
      <c r="ER51" s="84" t="n">
        <f aca="false">EP51-EQ51</f>
        <v>0</v>
      </c>
      <c r="ES51" s="84" t="n">
        <f aca="false">EE51+$G51*(EP51+EE51)</f>
        <v>0</v>
      </c>
      <c r="ET51" s="84" t="n">
        <f aca="false">MIN(EN51-EQ51,ES51)</f>
        <v>0</v>
      </c>
      <c r="EU51" s="84" t="n">
        <f aca="false">ES51-ET51</f>
        <v>0</v>
      </c>
      <c r="EV51" s="84" t="n">
        <f aca="false">IF($H51=1,MIN(EN51-EQ51-ET51,MAX(0,$F51/(1-$F51)*(EJ51+ET51)-EK51)),0)</f>
        <v>0</v>
      </c>
      <c r="EW51" s="84" t="n">
        <f aca="false">EN51-EQ51-ET51-EV51</f>
        <v>6919.12120352</v>
      </c>
      <c r="EX51" s="84" t="n">
        <f aca="false">EQ51+ET51+(1-$F51)*EW51</f>
        <v>7866.394074816</v>
      </c>
      <c r="EY51" s="84" t="n">
        <f aca="false">EV51+$F51*EW51</f>
        <v>1383.824240704</v>
      </c>
      <c r="EZ51" s="84" t="n">
        <f aca="false">EJ51+ET51+(1-$F51)*EW51</f>
        <v>5535.296962816</v>
      </c>
      <c r="FA51" s="84" t="n">
        <f aca="false">EK51+EY51</f>
        <v>1383.824240704</v>
      </c>
      <c r="FB51" s="133" t="n">
        <f aca="false">EO51+$D51*Inputs!$J$13-$D51*$E51</f>
        <v>36700.87326208</v>
      </c>
      <c r="FC51" s="84" t="n">
        <f aca="false">FB51*(1+$I51)</f>
        <v>47711.135240704</v>
      </c>
      <c r="FD51" s="133" t="n">
        <f aca="false">FC51*Inputs!$J$14</f>
        <v>9542.2270481408</v>
      </c>
      <c r="FE51" s="84" t="n">
        <f aca="false">FC51-FD51</f>
        <v>38168.9081925632</v>
      </c>
      <c r="FF51" s="133" t="n">
        <f aca="false">ER51+$D51*Inputs!$J$13</f>
        <v>0</v>
      </c>
      <c r="FG51" s="84" t="n">
        <f aca="false">MIN(FD51,FF51)</f>
        <v>0</v>
      </c>
      <c r="FH51" s="84" t="n">
        <f aca="false">FF51-FG51</f>
        <v>0</v>
      </c>
      <c r="FI51" s="84" t="n">
        <f aca="false">EU51+$G51*(FF51+EU51)</f>
        <v>0</v>
      </c>
      <c r="FJ51" s="84" t="n">
        <f aca="false">MIN(FD51-FG51,FI51)</f>
        <v>0</v>
      </c>
      <c r="FK51" s="84" t="n">
        <f aca="false">FI51-FJ51</f>
        <v>0</v>
      </c>
      <c r="FL51" s="84" t="n">
        <f aca="false">IF($H51=1,MIN(FD51-FG51-FJ51,MAX(0,$F51/(1-$F51)*(EZ51+FJ51)-FA51)),0)</f>
        <v>0</v>
      </c>
      <c r="FM51" s="84" t="n">
        <f aca="false">FD51-FG51-FJ51-FL51</f>
        <v>9542.2270481408</v>
      </c>
      <c r="FN51" s="84" t="n">
        <f aca="false">FG51+FJ51+(1-$F51)*FM51</f>
        <v>7633.78163851264</v>
      </c>
      <c r="FO51" s="84" t="n">
        <f aca="false">FL51+$F51*FM51</f>
        <v>1908.44540962816</v>
      </c>
      <c r="FP51" s="84" t="n">
        <f aca="false">EZ51+FJ51+(1-$F51)*FM51</f>
        <v>13169.0786013286</v>
      </c>
      <c r="FQ51" s="84" t="n">
        <f aca="false">FA51+FO51</f>
        <v>3292.26965033216</v>
      </c>
      <c r="FR51" s="133" t="n">
        <f aca="false">FE51+$D51*Inputs!$K$13-$D51*$E51</f>
        <v>37868.9081925632</v>
      </c>
      <c r="FS51" s="84" t="n">
        <f aca="false">FR51*(1+$I51)</f>
        <v>49229.5806503322</v>
      </c>
      <c r="FT51" s="133" t="n">
        <f aca="false">FS51*Inputs!$K$14</f>
        <v>9845.91613006644</v>
      </c>
      <c r="FU51" s="84" t="n">
        <f aca="false">FS51-FT51</f>
        <v>39383.6645202657</v>
      </c>
      <c r="FV51" s="133" t="n">
        <f aca="false">FH51+$D51*Inputs!$K$13</f>
        <v>0</v>
      </c>
      <c r="FW51" s="84" t="n">
        <f aca="false">MIN(FT51,FV51)</f>
        <v>0</v>
      </c>
      <c r="FX51" s="84" t="n">
        <f aca="false">FV51-FW51</f>
        <v>0</v>
      </c>
      <c r="FY51" s="84" t="n">
        <f aca="false">FK51+$G51*(FV51+FK51)</f>
        <v>0</v>
      </c>
      <c r="FZ51" s="84" t="n">
        <f aca="false">MIN(FT51-FW51,FY51)</f>
        <v>0</v>
      </c>
      <c r="GA51" s="84" t="n">
        <f aca="false">FY51-FZ51</f>
        <v>0</v>
      </c>
      <c r="GB51" s="84" t="n">
        <f aca="false">IF($H51=1,MIN(FT51-FW51-FZ51,MAX(0,$F51/(1-$F51)*(FP51+FZ51)-FQ51)),0)</f>
        <v>0</v>
      </c>
      <c r="GC51" s="84" t="n">
        <f aca="false">FT51-FW51-FZ51-GB51</f>
        <v>9845.91613006644</v>
      </c>
      <c r="GD51" s="84" t="n">
        <f aca="false">FW51+FZ51+(1-$F51)*GC51</f>
        <v>7876.73290405315</v>
      </c>
      <c r="GE51" s="84" t="n">
        <f aca="false">GB51+$F51*GC51</f>
        <v>1969.18322601329</v>
      </c>
      <c r="GF51" s="84" t="n">
        <f aca="false">FP51+FZ51+(1-$F51)*GC51</f>
        <v>21045.8115053818</v>
      </c>
      <c r="GG51" s="84" t="n">
        <f aca="false">FQ51+GE51</f>
        <v>5261.45287634545</v>
      </c>
      <c r="GH51" s="133" t="n">
        <f aca="false">FU51+$D51*Inputs!$L$13-$D51*$E51</f>
        <v>39083.6645202657</v>
      </c>
      <c r="GI51" s="84" t="n">
        <f aca="false">GH51*(1+$I51)</f>
        <v>50808.7638763455</v>
      </c>
      <c r="GJ51" s="133" t="n">
        <f aca="false">GI51*Inputs!$L$14</f>
        <v>50808.7638763455</v>
      </c>
      <c r="GK51" s="84" t="n">
        <f aca="false">GI51-GJ51</f>
        <v>0</v>
      </c>
      <c r="GL51" s="133" t="n">
        <f aca="false">FX51+$D51*Inputs!$L$13</f>
        <v>0</v>
      </c>
      <c r="GM51" s="84" t="n">
        <f aca="false">MIN(GJ51,GL51)</f>
        <v>0</v>
      </c>
      <c r="GN51" s="84" t="n">
        <f aca="false">GL51-GM51</f>
        <v>0</v>
      </c>
      <c r="GO51" s="84" t="n">
        <f aca="false">GA51+$G51*(GL51+GA51)</f>
        <v>0</v>
      </c>
      <c r="GP51" s="84" t="n">
        <f aca="false">MIN(GJ51-GM51,GO51)</f>
        <v>0</v>
      </c>
      <c r="GQ51" s="84" t="n">
        <f aca="false">GO51-GP51</f>
        <v>0</v>
      </c>
      <c r="GR51" s="84" t="n">
        <f aca="false">IF($H51=1,MIN(GJ51-GM51-GP51,MAX(0,$F51/(1-$F51)*(GF51+GP51)-GG51)),0)</f>
        <v>0</v>
      </c>
      <c r="GS51" s="84" t="n">
        <f aca="false">GJ51-GM51-GP51-GR51</f>
        <v>50808.7638763455</v>
      </c>
      <c r="GT51" s="84" t="n">
        <f aca="false">GM51+GP51+(1-$F51)*GS51</f>
        <v>40647.0111010764</v>
      </c>
      <c r="GU51" s="84" t="n">
        <f aca="false">GR51+$F51*GS51</f>
        <v>10161.7527752691</v>
      </c>
      <c r="GV51" s="84" t="n">
        <f aca="false">GF51+GP51+(1-$F51)*GS51</f>
        <v>61692.8226064582</v>
      </c>
      <c r="GW51" s="84" t="n">
        <f aca="false">GG51+GU51</f>
        <v>15423.2056516145</v>
      </c>
    </row>
    <row r="52" customFormat="false" ht="15" hidden="false" customHeight="false" outlineLevel="0" collapsed="false">
      <c r="A52" s="5" t="s">
        <v>637</v>
      </c>
      <c r="B52" s="5" t="s">
        <v>638</v>
      </c>
      <c r="C52" s="135" t="n">
        <v>0</v>
      </c>
      <c r="D52" s="47" t="n">
        <f aca="false">Inputs!$C$6</f>
        <v>20000</v>
      </c>
      <c r="E52" s="35" t="n">
        <f aca="false">Inputs!$C$19</f>
        <v>0.0135</v>
      </c>
      <c r="F52" s="36" t="n">
        <f aca="false">Inputs!$C$20</f>
        <v>0.2</v>
      </c>
      <c r="G52" s="30" t="n">
        <v>0</v>
      </c>
      <c r="H52" s="27" t="n">
        <v>0</v>
      </c>
      <c r="I52" s="132" t="n">
        <f aca="false">Inputs!$C$38+$C52*Inputs!$C$39</f>
        <v>0</v>
      </c>
      <c r="J52" s="36" t="n">
        <f aca="false">Inputs!$C$9</f>
        <v>0.15</v>
      </c>
      <c r="K52" s="89" t="n">
        <f aca="false">IRR(W52:AG52,0.1)</f>
        <v>-0.025625197842692</v>
      </c>
      <c r="L52" s="45" t="n">
        <f aca="false">W52+NPV($J52,X52:AG52)</f>
        <v>-9181.36217543512</v>
      </c>
      <c r="M52" s="45" t="n">
        <f aca="false">SUM(BF52,BV52,CL52,DB52,DR52,EH52,EX52,FN52,GD52,GT52)</f>
        <v>17300</v>
      </c>
      <c r="N52" s="43" t="n">
        <f aca="false">IF($D52*SUM(Inputs!$C$13:$L$13)=0,0,M52/($D52*SUM(Inputs!$C$13:$L$13)))</f>
        <v>0.865</v>
      </c>
      <c r="O52" s="42" t="n">
        <f aca="false">$D52*$E52*COLUMNS(Inputs!$C$13:$L$13)</f>
        <v>2700</v>
      </c>
      <c r="P52" s="45" t="n">
        <f aca="false">SUM(BG52,BW52,CM52,DC52,DS52,EI52,EY52,FO52,GE52,GU52)</f>
        <v>0</v>
      </c>
      <c r="Q52" s="42" t="n">
        <f aca="false">PV($J52,COLUMNS(Inputs!$C$13:$L$13),-$D52*$E52,0,1)</f>
        <v>1558.32765832774</v>
      </c>
      <c r="R52" s="45" t="n">
        <f aca="false">NPV($J52,BG52,BW52,CM52,DC52,DS52,EI52,EY52,FO52,GE52,GU52)</f>
        <v>0</v>
      </c>
      <c r="S52" s="45" t="n">
        <f aca="false">Q52+R52</f>
        <v>1558.32765832774</v>
      </c>
      <c r="T52" s="32" t="n">
        <f aca="false">IF(S52=0,0,Q52/S52)</f>
        <v>1</v>
      </c>
      <c r="U52" s="45" t="n">
        <f aca="false">ROUND(ABS(GK52)+ABS(SUM(AV52,BL52,CB52,CR52,DH52,DX52,EN52,FD52,FT52,GJ52)-M52-P52)+ABS(S52-(AH52+NPV($J52,AI52:AR52))),6)</f>
        <v>0</v>
      </c>
      <c r="W52" s="133" t="n">
        <f aca="false">-$D52*Inputs!$C$13</f>
        <v>-4000</v>
      </c>
      <c r="X52" s="133" t="n">
        <f aca="false">BF52-$D52*Inputs!$D$13</f>
        <v>-4000</v>
      </c>
      <c r="Y52" s="133" t="n">
        <f aca="false">BV52-$D52*Inputs!$E$13</f>
        <v>-4000</v>
      </c>
      <c r="Z52" s="133" t="n">
        <f aca="false">CL52-$D52*Inputs!$F$13</f>
        <v>-4000</v>
      </c>
      <c r="AA52" s="133" t="n">
        <f aca="false">DB52-$D52*Inputs!$G$13</f>
        <v>-4000</v>
      </c>
      <c r="AB52" s="133" t="n">
        <f aca="false">DR52-$D52*Inputs!$H$13</f>
        <v>3730</v>
      </c>
      <c r="AC52" s="133" t="n">
        <f aca="false">EH52-$D52*Inputs!$I$13</f>
        <v>2930</v>
      </c>
      <c r="AD52" s="133" t="n">
        <f aca="false">EX52-$D52*Inputs!$J$13</f>
        <v>2290</v>
      </c>
      <c r="AE52" s="133" t="n">
        <f aca="false">FN52-$D52*Inputs!$K$13</f>
        <v>1778</v>
      </c>
      <c r="AF52" s="133" t="n">
        <f aca="false">GD52-$D52*Inputs!$L$13</f>
        <v>1368.4</v>
      </c>
      <c r="AG52" s="84" t="n">
        <f aca="false">GT52</f>
        <v>5203.6</v>
      </c>
      <c r="AH52" s="84" t="n">
        <f aca="false">$D52*$E52</f>
        <v>270</v>
      </c>
      <c r="AI52" s="84" t="n">
        <f aca="false">BG52+$D52*$E52</f>
        <v>270</v>
      </c>
      <c r="AJ52" s="84" t="n">
        <f aca="false">BW52+$D52*$E52</f>
        <v>270</v>
      </c>
      <c r="AK52" s="84" t="n">
        <f aca="false">CM52+$D52*$E52</f>
        <v>270</v>
      </c>
      <c r="AL52" s="84" t="n">
        <f aca="false">DC52+$D52*$E52</f>
        <v>270</v>
      </c>
      <c r="AM52" s="84" t="n">
        <f aca="false">DS52+$D52*$E52</f>
        <v>270</v>
      </c>
      <c r="AN52" s="84" t="n">
        <f aca="false">EI52+$D52*$E52</f>
        <v>270</v>
      </c>
      <c r="AO52" s="84" t="n">
        <f aca="false">EY52+$D52*$E52</f>
        <v>270</v>
      </c>
      <c r="AP52" s="84" t="n">
        <f aca="false">FO52+$D52*$E52</f>
        <v>270</v>
      </c>
      <c r="AQ52" s="84" t="n">
        <f aca="false">GE52+$D52*$E52</f>
        <v>270</v>
      </c>
      <c r="AR52" s="84" t="n">
        <f aca="false">GU52</f>
        <v>0</v>
      </c>
      <c r="AT52" s="133" t="n">
        <f aca="false">$D52*Inputs!$C$13-$D52*$E52</f>
        <v>3730</v>
      </c>
      <c r="AU52" s="84" t="n">
        <f aca="false">AT52*(1+$I52)</f>
        <v>3730</v>
      </c>
      <c r="AV52" s="133" t="n">
        <f aca="false">AU52*Inputs!$C$14</f>
        <v>0</v>
      </c>
      <c r="AW52" s="84" t="n">
        <f aca="false">AU52-AV52</f>
        <v>3730</v>
      </c>
      <c r="AX52" s="133" t="n">
        <f aca="false">$D52*Inputs!$C$13</f>
        <v>4000</v>
      </c>
      <c r="AY52" s="84" t="n">
        <f aca="false">MIN(AV52,AX52)</f>
        <v>0</v>
      </c>
      <c r="AZ52" s="84" t="n">
        <f aca="false">AX52-AY52</f>
        <v>4000</v>
      </c>
      <c r="BA52" s="84" t="n">
        <f aca="false">$G52*AX52</f>
        <v>0</v>
      </c>
      <c r="BB52" s="84" t="n">
        <f aca="false">MIN(AV52-AY52,BA52)</f>
        <v>0</v>
      </c>
      <c r="BC52" s="84" t="n">
        <f aca="false">BA52-BB52</f>
        <v>0</v>
      </c>
      <c r="BD52" s="84" t="n">
        <f aca="false">IF($H52=1,MIN(AV52-AY52-BB52,MAX(0,$F52/(1-$F52)*BB52)),0)</f>
        <v>0</v>
      </c>
      <c r="BE52" s="84" t="n">
        <f aca="false">AV52-AY52-BB52-BD52</f>
        <v>0</v>
      </c>
      <c r="BF52" s="84" t="n">
        <f aca="false">AY52+BB52+(1-$F52)*BE52</f>
        <v>0</v>
      </c>
      <c r="BG52" s="84" t="n">
        <f aca="false">BD52+$F52*BE52</f>
        <v>0</v>
      </c>
      <c r="BH52" s="84" t="n">
        <f aca="false">BB52+(1-$F52)*BE52</f>
        <v>0</v>
      </c>
      <c r="BI52" s="84" t="n">
        <f aca="false">BG52</f>
        <v>0</v>
      </c>
      <c r="BJ52" s="133" t="n">
        <f aca="false">AW52+$D52*Inputs!$D$13-$D52*$E52</f>
        <v>7460</v>
      </c>
      <c r="BK52" s="84" t="n">
        <f aca="false">BJ52*(1+$I52)</f>
        <v>7460</v>
      </c>
      <c r="BL52" s="133" t="n">
        <f aca="false">BK52*Inputs!$D$14</f>
        <v>0</v>
      </c>
      <c r="BM52" s="84" t="n">
        <f aca="false">BK52-BL52</f>
        <v>7460</v>
      </c>
      <c r="BN52" s="133" t="n">
        <f aca="false">AZ52+$D52*Inputs!$D$13</f>
        <v>8000</v>
      </c>
      <c r="BO52" s="84" t="n">
        <f aca="false">MIN(BL52,BN52)</f>
        <v>0</v>
      </c>
      <c r="BP52" s="84" t="n">
        <f aca="false">BN52-BO52</f>
        <v>8000</v>
      </c>
      <c r="BQ52" s="84" t="n">
        <f aca="false">BC52+$G52*(BN52+BC52)</f>
        <v>0</v>
      </c>
      <c r="BR52" s="84" t="n">
        <f aca="false">MIN(BL52-BO52,BQ52)</f>
        <v>0</v>
      </c>
      <c r="BS52" s="84" t="n">
        <f aca="false">BQ52-BR52</f>
        <v>0</v>
      </c>
      <c r="BT52" s="84" t="n">
        <f aca="false">IF($H52=1,MIN(BL52-BO52-BR52,MAX(0,$F52/(1-$F52)*(BH52+BR52)-BI52)),0)</f>
        <v>0</v>
      </c>
      <c r="BU52" s="84" t="n">
        <f aca="false">BL52-BO52-BR52-BT52</f>
        <v>0</v>
      </c>
      <c r="BV52" s="84" t="n">
        <f aca="false">BO52+BR52+(1-$F52)*BU52</f>
        <v>0</v>
      </c>
      <c r="BW52" s="84" t="n">
        <f aca="false">BT52+$F52*BU52</f>
        <v>0</v>
      </c>
      <c r="BX52" s="84" t="n">
        <f aca="false">BH52+BR52+(1-$F52)*BU52</f>
        <v>0</v>
      </c>
      <c r="BY52" s="84" t="n">
        <f aca="false">BI52+BW52</f>
        <v>0</v>
      </c>
      <c r="BZ52" s="133" t="n">
        <f aca="false">BM52+$D52*Inputs!$E$13-$D52*$E52</f>
        <v>11190</v>
      </c>
      <c r="CA52" s="84" t="n">
        <f aca="false">BZ52*(1+$I52)</f>
        <v>11190</v>
      </c>
      <c r="CB52" s="133" t="n">
        <f aca="false">CA52*Inputs!$E$14</f>
        <v>0</v>
      </c>
      <c r="CC52" s="84" t="n">
        <f aca="false">CA52-CB52</f>
        <v>11190</v>
      </c>
      <c r="CD52" s="133" t="n">
        <f aca="false">BP52+$D52*Inputs!$E$13</f>
        <v>12000</v>
      </c>
      <c r="CE52" s="84" t="n">
        <f aca="false">MIN(CB52,CD52)</f>
        <v>0</v>
      </c>
      <c r="CF52" s="84" t="n">
        <f aca="false">CD52-CE52</f>
        <v>12000</v>
      </c>
      <c r="CG52" s="84" t="n">
        <f aca="false">BS52+$G52*(CD52+BS52)</f>
        <v>0</v>
      </c>
      <c r="CH52" s="84" t="n">
        <f aca="false">MIN(CB52-CE52,CG52)</f>
        <v>0</v>
      </c>
      <c r="CI52" s="84" t="n">
        <f aca="false">CG52-CH52</f>
        <v>0</v>
      </c>
      <c r="CJ52" s="84" t="n">
        <f aca="false">IF($H52=1,MIN(CB52-CE52-CH52,MAX(0,$F52/(1-$F52)*(BX52+CH52)-BY52)),0)</f>
        <v>0</v>
      </c>
      <c r="CK52" s="84" t="n">
        <f aca="false">CB52-CE52-CH52-CJ52</f>
        <v>0</v>
      </c>
      <c r="CL52" s="84" t="n">
        <f aca="false">CE52+CH52+(1-$F52)*CK52</f>
        <v>0</v>
      </c>
      <c r="CM52" s="84" t="n">
        <f aca="false">CJ52+$F52*CK52</f>
        <v>0</v>
      </c>
      <c r="CN52" s="84" t="n">
        <f aca="false">BX52+CH52+(1-$F52)*CK52</f>
        <v>0</v>
      </c>
      <c r="CO52" s="84" t="n">
        <f aca="false">BY52+CM52</f>
        <v>0</v>
      </c>
      <c r="CP52" s="133" t="n">
        <f aca="false">CC52+$D52*Inputs!$F$13-$D52*$E52</f>
        <v>14920</v>
      </c>
      <c r="CQ52" s="84" t="n">
        <f aca="false">CP52*(1+$I52)</f>
        <v>14920</v>
      </c>
      <c r="CR52" s="133" t="n">
        <f aca="false">CQ52*Inputs!$F$14</f>
        <v>0</v>
      </c>
      <c r="CS52" s="84" t="n">
        <f aca="false">CQ52-CR52</f>
        <v>14920</v>
      </c>
      <c r="CT52" s="133" t="n">
        <f aca="false">CF52+$D52*Inputs!$F$13</f>
        <v>16000</v>
      </c>
      <c r="CU52" s="84" t="n">
        <f aca="false">MIN(CR52,CT52)</f>
        <v>0</v>
      </c>
      <c r="CV52" s="84" t="n">
        <f aca="false">CT52-CU52</f>
        <v>16000</v>
      </c>
      <c r="CW52" s="84" t="n">
        <f aca="false">CI52+$G52*(CT52+CI52)</f>
        <v>0</v>
      </c>
      <c r="CX52" s="84" t="n">
        <f aca="false">MIN(CR52-CU52,CW52)</f>
        <v>0</v>
      </c>
      <c r="CY52" s="84" t="n">
        <f aca="false">CW52-CX52</f>
        <v>0</v>
      </c>
      <c r="CZ52" s="84" t="n">
        <f aca="false">IF($H52=1,MIN(CR52-CU52-CX52,MAX(0,$F52/(1-$F52)*(CN52+CX52)-CO52)),0)</f>
        <v>0</v>
      </c>
      <c r="DA52" s="84" t="n">
        <f aca="false">CR52-CU52-CX52-CZ52</f>
        <v>0</v>
      </c>
      <c r="DB52" s="84" t="n">
        <f aca="false">CU52+CX52+(1-$F52)*DA52</f>
        <v>0</v>
      </c>
      <c r="DC52" s="84" t="n">
        <f aca="false">CZ52+$F52*DA52</f>
        <v>0</v>
      </c>
      <c r="DD52" s="84" t="n">
        <f aca="false">CN52+CX52+(1-$F52)*DA52</f>
        <v>0</v>
      </c>
      <c r="DE52" s="84" t="n">
        <f aca="false">CO52+DC52</f>
        <v>0</v>
      </c>
      <c r="DF52" s="133" t="n">
        <f aca="false">CS52+$D52*Inputs!$G$13-$D52*$E52</f>
        <v>18650</v>
      </c>
      <c r="DG52" s="84" t="n">
        <f aca="false">DF52*(1+$I52)</f>
        <v>18650</v>
      </c>
      <c r="DH52" s="133" t="n">
        <f aca="false">DG52*Inputs!$G$14</f>
        <v>3730</v>
      </c>
      <c r="DI52" s="84" t="n">
        <f aca="false">DG52-DH52</f>
        <v>14920</v>
      </c>
      <c r="DJ52" s="133" t="n">
        <f aca="false">CV52+$D52*Inputs!$G$13</f>
        <v>20000</v>
      </c>
      <c r="DK52" s="84" t="n">
        <f aca="false">MIN(DH52,DJ52)</f>
        <v>3730</v>
      </c>
      <c r="DL52" s="84" t="n">
        <f aca="false">DJ52-DK52</f>
        <v>16270</v>
      </c>
      <c r="DM52" s="84" t="n">
        <f aca="false">CY52+$G52*(DJ52+CY52)</f>
        <v>0</v>
      </c>
      <c r="DN52" s="84" t="n">
        <f aca="false">MIN(DH52-DK52,DM52)</f>
        <v>0</v>
      </c>
      <c r="DO52" s="84" t="n">
        <f aca="false">DM52-DN52</f>
        <v>0</v>
      </c>
      <c r="DP52" s="84" t="n">
        <f aca="false">IF($H52=1,MIN(DH52-DK52-DN52,MAX(0,$F52/(1-$F52)*(DD52+DN52)-DE52)),0)</f>
        <v>0</v>
      </c>
      <c r="DQ52" s="84" t="n">
        <f aca="false">DH52-DK52-DN52-DP52</f>
        <v>0</v>
      </c>
      <c r="DR52" s="84" t="n">
        <f aca="false">DK52+DN52+(1-$F52)*DQ52</f>
        <v>3730</v>
      </c>
      <c r="DS52" s="84" t="n">
        <f aca="false">DP52+$F52*DQ52</f>
        <v>0</v>
      </c>
      <c r="DT52" s="84" t="n">
        <f aca="false">DD52+DN52+(1-$F52)*DQ52</f>
        <v>0</v>
      </c>
      <c r="DU52" s="84" t="n">
        <f aca="false">DE52+DS52</f>
        <v>0</v>
      </c>
      <c r="DV52" s="133" t="n">
        <f aca="false">DI52+$D52*Inputs!$H$13-$D52*$E52</f>
        <v>14650</v>
      </c>
      <c r="DW52" s="84" t="n">
        <f aca="false">DV52*(1+$I52)</f>
        <v>14650</v>
      </c>
      <c r="DX52" s="133" t="n">
        <f aca="false">DW52*Inputs!$H$14</f>
        <v>2930</v>
      </c>
      <c r="DY52" s="84" t="n">
        <f aca="false">DW52-DX52</f>
        <v>11720</v>
      </c>
      <c r="DZ52" s="133" t="n">
        <f aca="false">DL52+$D52*Inputs!$H$13</f>
        <v>16270</v>
      </c>
      <c r="EA52" s="84" t="n">
        <f aca="false">MIN(DX52,DZ52)</f>
        <v>2930</v>
      </c>
      <c r="EB52" s="84" t="n">
        <f aca="false">DZ52-EA52</f>
        <v>13340</v>
      </c>
      <c r="EC52" s="84" t="n">
        <f aca="false">DO52+$G52*(DZ52+DO52)</f>
        <v>0</v>
      </c>
      <c r="ED52" s="84" t="n">
        <f aca="false">MIN(DX52-EA52,EC52)</f>
        <v>0</v>
      </c>
      <c r="EE52" s="84" t="n">
        <f aca="false">EC52-ED52</f>
        <v>0</v>
      </c>
      <c r="EF52" s="84" t="n">
        <f aca="false">IF($H52=1,MIN(DX52-EA52-ED52,MAX(0,$F52/(1-$F52)*(DT52+ED52)-DU52)),0)</f>
        <v>0</v>
      </c>
      <c r="EG52" s="84" t="n">
        <f aca="false">DX52-EA52-ED52-EF52</f>
        <v>0</v>
      </c>
      <c r="EH52" s="84" t="n">
        <f aca="false">EA52+ED52+(1-$F52)*EG52</f>
        <v>2930</v>
      </c>
      <c r="EI52" s="84" t="n">
        <f aca="false">EF52+$F52*EG52</f>
        <v>0</v>
      </c>
      <c r="EJ52" s="84" t="n">
        <f aca="false">DT52+ED52+(1-$F52)*EG52</f>
        <v>0</v>
      </c>
      <c r="EK52" s="84" t="n">
        <f aca="false">DU52+EI52</f>
        <v>0</v>
      </c>
      <c r="EL52" s="133" t="n">
        <f aca="false">DY52+$D52*Inputs!$I$13-$D52*$E52</f>
        <v>11450</v>
      </c>
      <c r="EM52" s="84" t="n">
        <f aca="false">EL52*(1+$I52)</f>
        <v>11450</v>
      </c>
      <c r="EN52" s="133" t="n">
        <f aca="false">EM52*Inputs!$I$14</f>
        <v>2290</v>
      </c>
      <c r="EO52" s="84" t="n">
        <f aca="false">EM52-EN52</f>
        <v>9160</v>
      </c>
      <c r="EP52" s="133" t="n">
        <f aca="false">EB52+$D52*Inputs!$I$13</f>
        <v>13340</v>
      </c>
      <c r="EQ52" s="84" t="n">
        <f aca="false">MIN(EN52,EP52)</f>
        <v>2290</v>
      </c>
      <c r="ER52" s="84" t="n">
        <f aca="false">EP52-EQ52</f>
        <v>11050</v>
      </c>
      <c r="ES52" s="84" t="n">
        <f aca="false">EE52+$G52*(EP52+EE52)</f>
        <v>0</v>
      </c>
      <c r="ET52" s="84" t="n">
        <f aca="false">MIN(EN52-EQ52,ES52)</f>
        <v>0</v>
      </c>
      <c r="EU52" s="84" t="n">
        <f aca="false">ES52-ET52</f>
        <v>0</v>
      </c>
      <c r="EV52" s="84" t="n">
        <f aca="false">IF($H52=1,MIN(EN52-EQ52-ET52,MAX(0,$F52/(1-$F52)*(EJ52+ET52)-EK52)),0)</f>
        <v>0</v>
      </c>
      <c r="EW52" s="84" t="n">
        <f aca="false">EN52-EQ52-ET52-EV52</f>
        <v>0</v>
      </c>
      <c r="EX52" s="84" t="n">
        <f aca="false">EQ52+ET52+(1-$F52)*EW52</f>
        <v>2290</v>
      </c>
      <c r="EY52" s="84" t="n">
        <f aca="false">EV52+$F52*EW52</f>
        <v>0</v>
      </c>
      <c r="EZ52" s="84" t="n">
        <f aca="false">EJ52+ET52+(1-$F52)*EW52</f>
        <v>0</v>
      </c>
      <c r="FA52" s="84" t="n">
        <f aca="false">EK52+EY52</f>
        <v>0</v>
      </c>
      <c r="FB52" s="133" t="n">
        <f aca="false">EO52+$D52*Inputs!$J$13-$D52*$E52</f>
        <v>8890</v>
      </c>
      <c r="FC52" s="84" t="n">
        <f aca="false">FB52*(1+$I52)</f>
        <v>8890</v>
      </c>
      <c r="FD52" s="133" t="n">
        <f aca="false">FC52*Inputs!$J$14</f>
        <v>1778</v>
      </c>
      <c r="FE52" s="84" t="n">
        <f aca="false">FC52-FD52</f>
        <v>7112</v>
      </c>
      <c r="FF52" s="133" t="n">
        <f aca="false">ER52+$D52*Inputs!$J$13</f>
        <v>11050</v>
      </c>
      <c r="FG52" s="84" t="n">
        <f aca="false">MIN(FD52,FF52)</f>
        <v>1778</v>
      </c>
      <c r="FH52" s="84" t="n">
        <f aca="false">FF52-FG52</f>
        <v>9272</v>
      </c>
      <c r="FI52" s="84" t="n">
        <f aca="false">EU52+$G52*(FF52+EU52)</f>
        <v>0</v>
      </c>
      <c r="FJ52" s="84" t="n">
        <f aca="false">MIN(FD52-FG52,FI52)</f>
        <v>0</v>
      </c>
      <c r="FK52" s="84" t="n">
        <f aca="false">FI52-FJ52</f>
        <v>0</v>
      </c>
      <c r="FL52" s="84" t="n">
        <f aca="false">IF($H52=1,MIN(FD52-FG52-FJ52,MAX(0,$F52/(1-$F52)*(EZ52+FJ52)-FA52)),0)</f>
        <v>0</v>
      </c>
      <c r="FM52" s="84" t="n">
        <f aca="false">FD52-FG52-FJ52-FL52</f>
        <v>0</v>
      </c>
      <c r="FN52" s="84" t="n">
        <f aca="false">FG52+FJ52+(1-$F52)*FM52</f>
        <v>1778</v>
      </c>
      <c r="FO52" s="84" t="n">
        <f aca="false">FL52+$F52*FM52</f>
        <v>0</v>
      </c>
      <c r="FP52" s="84" t="n">
        <f aca="false">EZ52+FJ52+(1-$F52)*FM52</f>
        <v>0</v>
      </c>
      <c r="FQ52" s="84" t="n">
        <f aca="false">FA52+FO52</f>
        <v>0</v>
      </c>
      <c r="FR52" s="133" t="n">
        <f aca="false">FE52+$D52*Inputs!$K$13-$D52*$E52</f>
        <v>6842</v>
      </c>
      <c r="FS52" s="84" t="n">
        <f aca="false">FR52*(1+$I52)</f>
        <v>6842</v>
      </c>
      <c r="FT52" s="133" t="n">
        <f aca="false">FS52*Inputs!$K$14</f>
        <v>1368.4</v>
      </c>
      <c r="FU52" s="84" t="n">
        <f aca="false">FS52-FT52</f>
        <v>5473.6</v>
      </c>
      <c r="FV52" s="133" t="n">
        <f aca="false">FH52+$D52*Inputs!$K$13</f>
        <v>9272</v>
      </c>
      <c r="FW52" s="84" t="n">
        <f aca="false">MIN(FT52,FV52)</f>
        <v>1368.4</v>
      </c>
      <c r="FX52" s="84" t="n">
        <f aca="false">FV52-FW52</f>
        <v>7903.6</v>
      </c>
      <c r="FY52" s="84" t="n">
        <f aca="false">FK52+$G52*(FV52+FK52)</f>
        <v>0</v>
      </c>
      <c r="FZ52" s="84" t="n">
        <f aca="false">MIN(FT52-FW52,FY52)</f>
        <v>0</v>
      </c>
      <c r="GA52" s="84" t="n">
        <f aca="false">FY52-FZ52</f>
        <v>0</v>
      </c>
      <c r="GB52" s="84" t="n">
        <f aca="false">IF($H52=1,MIN(FT52-FW52-FZ52,MAX(0,$F52/(1-$F52)*(FP52+FZ52)-FQ52)),0)</f>
        <v>0</v>
      </c>
      <c r="GC52" s="84" t="n">
        <f aca="false">FT52-FW52-FZ52-GB52</f>
        <v>0</v>
      </c>
      <c r="GD52" s="84" t="n">
        <f aca="false">FW52+FZ52+(1-$F52)*GC52</f>
        <v>1368.4</v>
      </c>
      <c r="GE52" s="84" t="n">
        <f aca="false">GB52+$F52*GC52</f>
        <v>0</v>
      </c>
      <c r="GF52" s="84" t="n">
        <f aca="false">FP52+FZ52+(1-$F52)*GC52</f>
        <v>0</v>
      </c>
      <c r="GG52" s="84" t="n">
        <f aca="false">FQ52+GE52</f>
        <v>0</v>
      </c>
      <c r="GH52" s="133" t="n">
        <f aca="false">FU52+$D52*Inputs!$L$13-$D52*$E52</f>
        <v>5203.6</v>
      </c>
      <c r="GI52" s="84" t="n">
        <f aca="false">GH52*(1+$I52)</f>
        <v>5203.6</v>
      </c>
      <c r="GJ52" s="133" t="n">
        <f aca="false">GI52*Inputs!$L$14</f>
        <v>5203.6</v>
      </c>
      <c r="GK52" s="84" t="n">
        <f aca="false">GI52-GJ52</f>
        <v>0</v>
      </c>
      <c r="GL52" s="133" t="n">
        <f aca="false">FX52+$D52*Inputs!$L$13</f>
        <v>7903.6</v>
      </c>
      <c r="GM52" s="84" t="n">
        <f aca="false">MIN(GJ52,GL52)</f>
        <v>5203.6</v>
      </c>
      <c r="GN52" s="84" t="n">
        <f aca="false">GL52-GM52</f>
        <v>2700</v>
      </c>
      <c r="GO52" s="84" t="n">
        <f aca="false">GA52+$G52*(GL52+GA52)</f>
        <v>0</v>
      </c>
      <c r="GP52" s="84" t="n">
        <f aca="false">MIN(GJ52-GM52,GO52)</f>
        <v>0</v>
      </c>
      <c r="GQ52" s="84" t="n">
        <f aca="false">GO52-GP52</f>
        <v>0</v>
      </c>
      <c r="GR52" s="84" t="n">
        <f aca="false">IF($H52=1,MIN(GJ52-GM52-GP52,MAX(0,$F52/(1-$F52)*(GF52+GP52)-GG52)),0)</f>
        <v>0</v>
      </c>
      <c r="GS52" s="84" t="n">
        <f aca="false">GJ52-GM52-GP52-GR52</f>
        <v>0</v>
      </c>
      <c r="GT52" s="84" t="n">
        <f aca="false">GM52+GP52+(1-$F52)*GS52</f>
        <v>5203.6</v>
      </c>
      <c r="GU52" s="84" t="n">
        <f aca="false">GR52+$F52*GS52</f>
        <v>0</v>
      </c>
      <c r="GV52" s="84" t="n">
        <f aca="false">GF52+GP52+(1-$F52)*GS52</f>
        <v>0</v>
      </c>
      <c r="GW52" s="84" t="n">
        <f aca="false">GG52+GU52</f>
        <v>0</v>
      </c>
    </row>
    <row r="53" customFormat="false" ht="15" hidden="false" customHeight="false" outlineLevel="0" collapsed="false">
      <c r="A53" s="5" t="s">
        <v>637</v>
      </c>
      <c r="B53" s="5" t="s">
        <v>638</v>
      </c>
      <c r="C53" s="135" t="n">
        <v>1</v>
      </c>
      <c r="D53" s="47" t="n">
        <f aca="false">Inputs!$C$6</f>
        <v>20000</v>
      </c>
      <c r="E53" s="35" t="n">
        <f aca="false">Inputs!$C$19</f>
        <v>0.0135</v>
      </c>
      <c r="F53" s="36" t="n">
        <f aca="false">Inputs!$C$20</f>
        <v>0.2</v>
      </c>
      <c r="G53" s="30" t="n">
        <v>0</v>
      </c>
      <c r="H53" s="27" t="n">
        <v>0</v>
      </c>
      <c r="I53" s="132" t="n">
        <f aca="false">Inputs!$C$38+$C53*Inputs!$C$39</f>
        <v>0.01</v>
      </c>
      <c r="J53" s="36" t="n">
        <f aca="false">Inputs!$C$9</f>
        <v>0.15</v>
      </c>
      <c r="K53" s="89" t="n">
        <f aca="false">IRR(W53:AG53,0.1)</f>
        <v>-0.0150982104544355</v>
      </c>
      <c r="L53" s="45" t="n">
        <f aca="false">W53+NPV($J53,X53:AG53)</f>
        <v>-8839.82096536762</v>
      </c>
      <c r="M53" s="45" t="n">
        <f aca="false">SUM(BF53,BV53,CL53,DB53,DR53,EH53,EX53,FN53,GD53,GT53)</f>
        <v>18360.4510249299</v>
      </c>
      <c r="N53" s="43" t="n">
        <f aca="false">IF($D53*SUM(Inputs!$C$13:$L$13)=0,0,M53/($D53*SUM(Inputs!$C$13:$L$13)))</f>
        <v>0.918022551246495</v>
      </c>
      <c r="O53" s="42" t="n">
        <f aca="false">$D53*$E53*COLUMNS(Inputs!$C$13:$L$13)</f>
        <v>2700</v>
      </c>
      <c r="P53" s="45" t="n">
        <f aca="false">SUM(BG53,BW53,CM53,DC53,DS53,EI53,EY53,FO53,GE53,GU53)</f>
        <v>0</v>
      </c>
      <c r="Q53" s="42" t="n">
        <f aca="false">PV($J53,COLUMNS(Inputs!$C$13:$L$13),-$D53*$E53,0,1)</f>
        <v>1558.32765832774</v>
      </c>
      <c r="R53" s="45" t="n">
        <f aca="false">NPV($J53,BG53,BW53,CM53,DC53,DS53,EI53,EY53,FO53,GE53,GU53)</f>
        <v>0</v>
      </c>
      <c r="S53" s="45" t="n">
        <f aca="false">Q53+R53</f>
        <v>1558.32765832774</v>
      </c>
      <c r="T53" s="32" t="n">
        <f aca="false">IF(S53=0,0,Q53/S53)</f>
        <v>1</v>
      </c>
      <c r="U53" s="45" t="n">
        <f aca="false">ROUND(ABS(GK53)+ABS(SUM(AV53,BL53,CB53,CR53,DH53,DX53,EN53,FD53,FT53,GJ53)-M53-P53)+ABS(S53-(AH53+NPV($J53,AI53:AR53))),6)</f>
        <v>0</v>
      </c>
      <c r="W53" s="133" t="n">
        <f aca="false">-$D53*Inputs!$C$13</f>
        <v>-4000</v>
      </c>
      <c r="X53" s="133" t="n">
        <f aca="false">BF53-$D53*Inputs!$D$13</f>
        <v>-4000</v>
      </c>
      <c r="Y53" s="133" t="n">
        <f aca="false">BV53-$D53*Inputs!$E$13</f>
        <v>-4000</v>
      </c>
      <c r="Z53" s="133" t="n">
        <f aca="false">CL53-$D53*Inputs!$F$13</f>
        <v>-4000</v>
      </c>
      <c r="AA53" s="133" t="n">
        <f aca="false">DB53-$D53*Inputs!$G$13</f>
        <v>-4000</v>
      </c>
      <c r="AB53" s="133" t="n">
        <f aca="false">DR53-$D53*Inputs!$H$13</f>
        <v>3843.4032348346</v>
      </c>
      <c r="AC53" s="133" t="n">
        <f aca="false">EH53-$D53*Inputs!$I$13</f>
        <v>3050.92981374636</v>
      </c>
      <c r="AD53" s="133" t="n">
        <f aca="false">EX53-$D53*Inputs!$J$13</f>
        <v>2410.61128950706</v>
      </c>
      <c r="AE53" s="133" t="n">
        <f aca="false">FN53-$D53*Inputs!$K$13</f>
        <v>1893.2339219217</v>
      </c>
      <c r="AF53" s="133" t="n">
        <f aca="false">GD53-$D53*Inputs!$L$13</f>
        <v>1475.19300891274</v>
      </c>
      <c r="AG53" s="84" t="n">
        <f aca="false">GT53</f>
        <v>5687.07975600745</v>
      </c>
      <c r="AH53" s="84" t="n">
        <f aca="false">$D53*$E53</f>
        <v>270</v>
      </c>
      <c r="AI53" s="84" t="n">
        <f aca="false">BG53+$D53*$E53</f>
        <v>270</v>
      </c>
      <c r="AJ53" s="84" t="n">
        <f aca="false">BW53+$D53*$E53</f>
        <v>270</v>
      </c>
      <c r="AK53" s="84" t="n">
        <f aca="false">CM53+$D53*$E53</f>
        <v>270</v>
      </c>
      <c r="AL53" s="84" t="n">
        <f aca="false">DC53+$D53*$E53</f>
        <v>270</v>
      </c>
      <c r="AM53" s="84" t="n">
        <f aca="false">DS53+$D53*$E53</f>
        <v>270</v>
      </c>
      <c r="AN53" s="84" t="n">
        <f aca="false">EI53+$D53*$E53</f>
        <v>270</v>
      </c>
      <c r="AO53" s="84" t="n">
        <f aca="false">EY53+$D53*$E53</f>
        <v>270</v>
      </c>
      <c r="AP53" s="84" t="n">
        <f aca="false">FO53+$D53*$E53</f>
        <v>270</v>
      </c>
      <c r="AQ53" s="84" t="n">
        <f aca="false">GE53+$D53*$E53</f>
        <v>270</v>
      </c>
      <c r="AR53" s="84" t="n">
        <f aca="false">GU53</f>
        <v>0</v>
      </c>
      <c r="AT53" s="133" t="n">
        <f aca="false">$D53*Inputs!$C$13-$D53*$E53</f>
        <v>3730</v>
      </c>
      <c r="AU53" s="84" t="n">
        <f aca="false">AT53*(1+$I53)</f>
        <v>3767.3</v>
      </c>
      <c r="AV53" s="133" t="n">
        <f aca="false">AU53*Inputs!$C$14</f>
        <v>0</v>
      </c>
      <c r="AW53" s="84" t="n">
        <f aca="false">AU53-AV53</f>
        <v>3767.3</v>
      </c>
      <c r="AX53" s="133" t="n">
        <f aca="false">$D53*Inputs!$C$13</f>
        <v>4000</v>
      </c>
      <c r="AY53" s="84" t="n">
        <f aca="false">MIN(AV53,AX53)</f>
        <v>0</v>
      </c>
      <c r="AZ53" s="84" t="n">
        <f aca="false">AX53-AY53</f>
        <v>4000</v>
      </c>
      <c r="BA53" s="84" t="n">
        <f aca="false">$G53*AX53</f>
        <v>0</v>
      </c>
      <c r="BB53" s="84" t="n">
        <f aca="false">MIN(AV53-AY53,BA53)</f>
        <v>0</v>
      </c>
      <c r="BC53" s="84" t="n">
        <f aca="false">BA53-BB53</f>
        <v>0</v>
      </c>
      <c r="BD53" s="84" t="n">
        <f aca="false">IF($H53=1,MIN(AV53-AY53-BB53,MAX(0,$F53/(1-$F53)*BB53)),0)</f>
        <v>0</v>
      </c>
      <c r="BE53" s="84" t="n">
        <f aca="false">AV53-AY53-BB53-BD53</f>
        <v>0</v>
      </c>
      <c r="BF53" s="84" t="n">
        <f aca="false">AY53+BB53+(1-$F53)*BE53</f>
        <v>0</v>
      </c>
      <c r="BG53" s="84" t="n">
        <f aca="false">BD53+$F53*BE53</f>
        <v>0</v>
      </c>
      <c r="BH53" s="84" t="n">
        <f aca="false">BB53+(1-$F53)*BE53</f>
        <v>0</v>
      </c>
      <c r="BI53" s="84" t="n">
        <f aca="false">BG53</f>
        <v>0</v>
      </c>
      <c r="BJ53" s="133" t="n">
        <f aca="false">AW53+$D53*Inputs!$D$13-$D53*$E53</f>
        <v>7497.3</v>
      </c>
      <c r="BK53" s="84" t="n">
        <f aca="false">BJ53*(1+$I53)</f>
        <v>7572.273</v>
      </c>
      <c r="BL53" s="133" t="n">
        <f aca="false">BK53*Inputs!$D$14</f>
        <v>0</v>
      </c>
      <c r="BM53" s="84" t="n">
        <f aca="false">BK53-BL53</f>
        <v>7572.273</v>
      </c>
      <c r="BN53" s="133" t="n">
        <f aca="false">AZ53+$D53*Inputs!$D$13</f>
        <v>8000</v>
      </c>
      <c r="BO53" s="84" t="n">
        <f aca="false">MIN(BL53,BN53)</f>
        <v>0</v>
      </c>
      <c r="BP53" s="84" t="n">
        <f aca="false">BN53-BO53</f>
        <v>8000</v>
      </c>
      <c r="BQ53" s="84" t="n">
        <f aca="false">BC53+$G53*(BN53+BC53)</f>
        <v>0</v>
      </c>
      <c r="BR53" s="84" t="n">
        <f aca="false">MIN(BL53-BO53,BQ53)</f>
        <v>0</v>
      </c>
      <c r="BS53" s="84" t="n">
        <f aca="false">BQ53-BR53</f>
        <v>0</v>
      </c>
      <c r="BT53" s="84" t="n">
        <f aca="false">IF($H53=1,MIN(BL53-BO53-BR53,MAX(0,$F53/(1-$F53)*(BH53+BR53)-BI53)),0)</f>
        <v>0</v>
      </c>
      <c r="BU53" s="84" t="n">
        <f aca="false">BL53-BO53-BR53-BT53</f>
        <v>0</v>
      </c>
      <c r="BV53" s="84" t="n">
        <f aca="false">BO53+BR53+(1-$F53)*BU53</f>
        <v>0</v>
      </c>
      <c r="BW53" s="84" t="n">
        <f aca="false">BT53+$F53*BU53</f>
        <v>0</v>
      </c>
      <c r="BX53" s="84" t="n">
        <f aca="false">BH53+BR53+(1-$F53)*BU53</f>
        <v>0</v>
      </c>
      <c r="BY53" s="84" t="n">
        <f aca="false">BI53+BW53</f>
        <v>0</v>
      </c>
      <c r="BZ53" s="133" t="n">
        <f aca="false">BM53+$D53*Inputs!$E$13-$D53*$E53</f>
        <v>11302.273</v>
      </c>
      <c r="CA53" s="84" t="n">
        <f aca="false">BZ53*(1+$I53)</f>
        <v>11415.29573</v>
      </c>
      <c r="CB53" s="133" t="n">
        <f aca="false">CA53*Inputs!$E$14</f>
        <v>0</v>
      </c>
      <c r="CC53" s="84" t="n">
        <f aca="false">CA53-CB53</f>
        <v>11415.29573</v>
      </c>
      <c r="CD53" s="133" t="n">
        <f aca="false">BP53+$D53*Inputs!$E$13</f>
        <v>12000</v>
      </c>
      <c r="CE53" s="84" t="n">
        <f aca="false">MIN(CB53,CD53)</f>
        <v>0</v>
      </c>
      <c r="CF53" s="84" t="n">
        <f aca="false">CD53-CE53</f>
        <v>12000</v>
      </c>
      <c r="CG53" s="84" t="n">
        <f aca="false">BS53+$G53*(CD53+BS53)</f>
        <v>0</v>
      </c>
      <c r="CH53" s="84" t="n">
        <f aca="false">MIN(CB53-CE53,CG53)</f>
        <v>0</v>
      </c>
      <c r="CI53" s="84" t="n">
        <f aca="false">CG53-CH53</f>
        <v>0</v>
      </c>
      <c r="CJ53" s="84" t="n">
        <f aca="false">IF($H53=1,MIN(CB53-CE53-CH53,MAX(0,$F53/(1-$F53)*(BX53+CH53)-BY53)),0)</f>
        <v>0</v>
      </c>
      <c r="CK53" s="84" t="n">
        <f aca="false">CB53-CE53-CH53-CJ53</f>
        <v>0</v>
      </c>
      <c r="CL53" s="84" t="n">
        <f aca="false">CE53+CH53+(1-$F53)*CK53</f>
        <v>0</v>
      </c>
      <c r="CM53" s="84" t="n">
        <f aca="false">CJ53+$F53*CK53</f>
        <v>0</v>
      </c>
      <c r="CN53" s="84" t="n">
        <f aca="false">BX53+CH53+(1-$F53)*CK53</f>
        <v>0</v>
      </c>
      <c r="CO53" s="84" t="n">
        <f aca="false">BY53+CM53</f>
        <v>0</v>
      </c>
      <c r="CP53" s="133" t="n">
        <f aca="false">CC53+$D53*Inputs!$F$13-$D53*$E53</f>
        <v>15145.29573</v>
      </c>
      <c r="CQ53" s="84" t="n">
        <f aca="false">CP53*(1+$I53)</f>
        <v>15296.7486873</v>
      </c>
      <c r="CR53" s="133" t="n">
        <f aca="false">CQ53*Inputs!$F$14</f>
        <v>0</v>
      </c>
      <c r="CS53" s="84" t="n">
        <f aca="false">CQ53-CR53</f>
        <v>15296.7486873</v>
      </c>
      <c r="CT53" s="133" t="n">
        <f aca="false">CF53+$D53*Inputs!$F$13</f>
        <v>16000</v>
      </c>
      <c r="CU53" s="84" t="n">
        <f aca="false">MIN(CR53,CT53)</f>
        <v>0</v>
      </c>
      <c r="CV53" s="84" t="n">
        <f aca="false">CT53-CU53</f>
        <v>16000</v>
      </c>
      <c r="CW53" s="84" t="n">
        <f aca="false">CI53+$G53*(CT53+CI53)</f>
        <v>0</v>
      </c>
      <c r="CX53" s="84" t="n">
        <f aca="false">MIN(CR53-CU53,CW53)</f>
        <v>0</v>
      </c>
      <c r="CY53" s="84" t="n">
        <f aca="false">CW53-CX53</f>
        <v>0</v>
      </c>
      <c r="CZ53" s="84" t="n">
        <f aca="false">IF($H53=1,MIN(CR53-CU53-CX53,MAX(0,$F53/(1-$F53)*(CN53+CX53)-CO53)),0)</f>
        <v>0</v>
      </c>
      <c r="DA53" s="84" t="n">
        <f aca="false">CR53-CU53-CX53-CZ53</f>
        <v>0</v>
      </c>
      <c r="DB53" s="84" t="n">
        <f aca="false">CU53+CX53+(1-$F53)*DA53</f>
        <v>0</v>
      </c>
      <c r="DC53" s="84" t="n">
        <f aca="false">CZ53+$F53*DA53</f>
        <v>0</v>
      </c>
      <c r="DD53" s="84" t="n">
        <f aca="false">CN53+CX53+(1-$F53)*DA53</f>
        <v>0</v>
      </c>
      <c r="DE53" s="84" t="n">
        <f aca="false">CO53+DC53</f>
        <v>0</v>
      </c>
      <c r="DF53" s="133" t="n">
        <f aca="false">CS53+$D53*Inputs!$G$13-$D53*$E53</f>
        <v>19026.7486873</v>
      </c>
      <c r="DG53" s="84" t="n">
        <f aca="false">DF53*(1+$I53)</f>
        <v>19217.016174173</v>
      </c>
      <c r="DH53" s="133" t="n">
        <f aca="false">DG53*Inputs!$G$14</f>
        <v>3843.4032348346</v>
      </c>
      <c r="DI53" s="84" t="n">
        <f aca="false">DG53-DH53</f>
        <v>15373.6129393384</v>
      </c>
      <c r="DJ53" s="133" t="n">
        <f aca="false">CV53+$D53*Inputs!$G$13</f>
        <v>20000</v>
      </c>
      <c r="DK53" s="84" t="n">
        <f aca="false">MIN(DH53,DJ53)</f>
        <v>3843.4032348346</v>
      </c>
      <c r="DL53" s="84" t="n">
        <f aca="false">DJ53-DK53</f>
        <v>16156.5967651654</v>
      </c>
      <c r="DM53" s="84" t="n">
        <f aca="false">CY53+$G53*(DJ53+CY53)</f>
        <v>0</v>
      </c>
      <c r="DN53" s="84" t="n">
        <f aca="false">MIN(DH53-DK53,DM53)</f>
        <v>0</v>
      </c>
      <c r="DO53" s="84" t="n">
        <f aca="false">DM53-DN53</f>
        <v>0</v>
      </c>
      <c r="DP53" s="84" t="n">
        <f aca="false">IF($H53=1,MIN(DH53-DK53-DN53,MAX(0,$F53/(1-$F53)*(DD53+DN53)-DE53)),0)</f>
        <v>0</v>
      </c>
      <c r="DQ53" s="84" t="n">
        <f aca="false">DH53-DK53-DN53-DP53</f>
        <v>0</v>
      </c>
      <c r="DR53" s="84" t="n">
        <f aca="false">DK53+DN53+(1-$F53)*DQ53</f>
        <v>3843.4032348346</v>
      </c>
      <c r="DS53" s="84" t="n">
        <f aca="false">DP53+$F53*DQ53</f>
        <v>0</v>
      </c>
      <c r="DT53" s="84" t="n">
        <f aca="false">DD53+DN53+(1-$F53)*DQ53</f>
        <v>0</v>
      </c>
      <c r="DU53" s="84" t="n">
        <f aca="false">DE53+DS53</f>
        <v>0</v>
      </c>
      <c r="DV53" s="133" t="n">
        <f aca="false">DI53+$D53*Inputs!$H$13-$D53*$E53</f>
        <v>15103.6129393384</v>
      </c>
      <c r="DW53" s="84" t="n">
        <f aca="false">DV53*(1+$I53)</f>
        <v>15254.6490687318</v>
      </c>
      <c r="DX53" s="133" t="n">
        <f aca="false">DW53*Inputs!$H$14</f>
        <v>3050.92981374636</v>
      </c>
      <c r="DY53" s="84" t="n">
        <f aca="false">DW53-DX53</f>
        <v>12203.7192549854</v>
      </c>
      <c r="DZ53" s="133" t="n">
        <f aca="false">DL53+$D53*Inputs!$H$13</f>
        <v>16156.5967651654</v>
      </c>
      <c r="EA53" s="84" t="n">
        <f aca="false">MIN(DX53,DZ53)</f>
        <v>3050.92981374636</v>
      </c>
      <c r="EB53" s="84" t="n">
        <f aca="false">DZ53-EA53</f>
        <v>13105.666951419</v>
      </c>
      <c r="EC53" s="84" t="n">
        <f aca="false">DO53+$G53*(DZ53+DO53)</f>
        <v>0</v>
      </c>
      <c r="ED53" s="84" t="n">
        <f aca="false">MIN(DX53-EA53,EC53)</f>
        <v>0</v>
      </c>
      <c r="EE53" s="84" t="n">
        <f aca="false">EC53-ED53</f>
        <v>0</v>
      </c>
      <c r="EF53" s="84" t="n">
        <f aca="false">IF($H53=1,MIN(DX53-EA53-ED53,MAX(0,$F53/(1-$F53)*(DT53+ED53)-DU53)),0)</f>
        <v>0</v>
      </c>
      <c r="EG53" s="84" t="n">
        <f aca="false">DX53-EA53-ED53-EF53</f>
        <v>0</v>
      </c>
      <c r="EH53" s="84" t="n">
        <f aca="false">EA53+ED53+(1-$F53)*EG53</f>
        <v>3050.92981374636</v>
      </c>
      <c r="EI53" s="84" t="n">
        <f aca="false">EF53+$F53*EG53</f>
        <v>0</v>
      </c>
      <c r="EJ53" s="84" t="n">
        <f aca="false">DT53+ED53+(1-$F53)*EG53</f>
        <v>0</v>
      </c>
      <c r="EK53" s="84" t="n">
        <f aca="false">DU53+EI53</f>
        <v>0</v>
      </c>
      <c r="EL53" s="133" t="n">
        <f aca="false">DY53+$D53*Inputs!$I$13-$D53*$E53</f>
        <v>11933.7192549854</v>
      </c>
      <c r="EM53" s="84" t="n">
        <f aca="false">EL53*(1+$I53)</f>
        <v>12053.0564475353</v>
      </c>
      <c r="EN53" s="133" t="n">
        <f aca="false">EM53*Inputs!$I$14</f>
        <v>2410.61128950706</v>
      </c>
      <c r="EO53" s="84" t="n">
        <f aca="false">EM53-EN53</f>
        <v>9642.44515802822</v>
      </c>
      <c r="EP53" s="133" t="n">
        <f aca="false">EB53+$D53*Inputs!$I$13</f>
        <v>13105.666951419</v>
      </c>
      <c r="EQ53" s="84" t="n">
        <f aca="false">MIN(EN53,EP53)</f>
        <v>2410.61128950706</v>
      </c>
      <c r="ER53" s="84" t="n">
        <f aca="false">EP53-EQ53</f>
        <v>10695.055661912</v>
      </c>
      <c r="ES53" s="84" t="n">
        <f aca="false">EE53+$G53*(EP53+EE53)</f>
        <v>0</v>
      </c>
      <c r="ET53" s="84" t="n">
        <f aca="false">MIN(EN53-EQ53,ES53)</f>
        <v>0</v>
      </c>
      <c r="EU53" s="84" t="n">
        <f aca="false">ES53-ET53</f>
        <v>0</v>
      </c>
      <c r="EV53" s="84" t="n">
        <f aca="false">IF($H53=1,MIN(EN53-EQ53-ET53,MAX(0,$F53/(1-$F53)*(EJ53+ET53)-EK53)),0)</f>
        <v>0</v>
      </c>
      <c r="EW53" s="84" t="n">
        <f aca="false">EN53-EQ53-ET53-EV53</f>
        <v>0</v>
      </c>
      <c r="EX53" s="84" t="n">
        <f aca="false">EQ53+ET53+(1-$F53)*EW53</f>
        <v>2410.61128950706</v>
      </c>
      <c r="EY53" s="84" t="n">
        <f aca="false">EV53+$F53*EW53</f>
        <v>0</v>
      </c>
      <c r="EZ53" s="84" t="n">
        <f aca="false">EJ53+ET53+(1-$F53)*EW53</f>
        <v>0</v>
      </c>
      <c r="FA53" s="84" t="n">
        <f aca="false">EK53+EY53</f>
        <v>0</v>
      </c>
      <c r="FB53" s="133" t="n">
        <f aca="false">EO53+$D53*Inputs!$J$13-$D53*$E53</f>
        <v>9372.44515802822</v>
      </c>
      <c r="FC53" s="84" t="n">
        <f aca="false">FB53*(1+$I53)</f>
        <v>9466.16960960851</v>
      </c>
      <c r="FD53" s="133" t="n">
        <f aca="false">FC53*Inputs!$J$14</f>
        <v>1893.2339219217</v>
      </c>
      <c r="FE53" s="84" t="n">
        <f aca="false">FC53-FD53</f>
        <v>7572.93568768681</v>
      </c>
      <c r="FF53" s="133" t="n">
        <f aca="false">ER53+$D53*Inputs!$J$13</f>
        <v>10695.055661912</v>
      </c>
      <c r="FG53" s="84" t="n">
        <f aca="false">MIN(FD53,FF53)</f>
        <v>1893.2339219217</v>
      </c>
      <c r="FH53" s="84" t="n">
        <f aca="false">FF53-FG53</f>
        <v>8801.82173999028</v>
      </c>
      <c r="FI53" s="84" t="n">
        <f aca="false">EU53+$G53*(FF53+EU53)</f>
        <v>0</v>
      </c>
      <c r="FJ53" s="84" t="n">
        <f aca="false">MIN(FD53-FG53,FI53)</f>
        <v>0</v>
      </c>
      <c r="FK53" s="84" t="n">
        <f aca="false">FI53-FJ53</f>
        <v>0</v>
      </c>
      <c r="FL53" s="84" t="n">
        <f aca="false">IF($H53=1,MIN(FD53-FG53-FJ53,MAX(0,$F53/(1-$F53)*(EZ53+FJ53)-FA53)),0)</f>
        <v>0</v>
      </c>
      <c r="FM53" s="84" t="n">
        <f aca="false">FD53-FG53-FJ53-FL53</f>
        <v>0</v>
      </c>
      <c r="FN53" s="84" t="n">
        <f aca="false">FG53+FJ53+(1-$F53)*FM53</f>
        <v>1893.2339219217</v>
      </c>
      <c r="FO53" s="84" t="n">
        <f aca="false">FL53+$F53*FM53</f>
        <v>0</v>
      </c>
      <c r="FP53" s="84" t="n">
        <f aca="false">EZ53+FJ53+(1-$F53)*FM53</f>
        <v>0</v>
      </c>
      <c r="FQ53" s="84" t="n">
        <f aca="false">FA53+FO53</f>
        <v>0</v>
      </c>
      <c r="FR53" s="133" t="n">
        <f aca="false">FE53+$D53*Inputs!$K$13-$D53*$E53</f>
        <v>7302.93568768681</v>
      </c>
      <c r="FS53" s="84" t="n">
        <f aca="false">FR53*(1+$I53)</f>
        <v>7375.96504456367</v>
      </c>
      <c r="FT53" s="133" t="n">
        <f aca="false">FS53*Inputs!$K$14</f>
        <v>1475.19300891274</v>
      </c>
      <c r="FU53" s="84" t="n">
        <f aca="false">FS53-FT53</f>
        <v>5900.77203565094</v>
      </c>
      <c r="FV53" s="133" t="n">
        <f aca="false">FH53+$D53*Inputs!$K$13</f>
        <v>8801.82173999028</v>
      </c>
      <c r="FW53" s="84" t="n">
        <f aca="false">MIN(FT53,FV53)</f>
        <v>1475.19300891274</v>
      </c>
      <c r="FX53" s="84" t="n">
        <f aca="false">FV53-FW53</f>
        <v>7326.62873107755</v>
      </c>
      <c r="FY53" s="84" t="n">
        <f aca="false">FK53+$G53*(FV53+FK53)</f>
        <v>0</v>
      </c>
      <c r="FZ53" s="84" t="n">
        <f aca="false">MIN(FT53-FW53,FY53)</f>
        <v>0</v>
      </c>
      <c r="GA53" s="84" t="n">
        <f aca="false">FY53-FZ53</f>
        <v>0</v>
      </c>
      <c r="GB53" s="84" t="n">
        <f aca="false">IF($H53=1,MIN(FT53-FW53-FZ53,MAX(0,$F53/(1-$F53)*(FP53+FZ53)-FQ53)),0)</f>
        <v>0</v>
      </c>
      <c r="GC53" s="84" t="n">
        <f aca="false">FT53-FW53-FZ53-GB53</f>
        <v>0</v>
      </c>
      <c r="GD53" s="84" t="n">
        <f aca="false">FW53+FZ53+(1-$F53)*GC53</f>
        <v>1475.19300891274</v>
      </c>
      <c r="GE53" s="84" t="n">
        <f aca="false">GB53+$F53*GC53</f>
        <v>0</v>
      </c>
      <c r="GF53" s="84" t="n">
        <f aca="false">FP53+FZ53+(1-$F53)*GC53</f>
        <v>0</v>
      </c>
      <c r="GG53" s="84" t="n">
        <f aca="false">FQ53+GE53</f>
        <v>0</v>
      </c>
      <c r="GH53" s="133" t="n">
        <f aca="false">FU53+$D53*Inputs!$L$13-$D53*$E53</f>
        <v>5630.77203565094</v>
      </c>
      <c r="GI53" s="84" t="n">
        <f aca="false">GH53*(1+$I53)</f>
        <v>5687.07975600745</v>
      </c>
      <c r="GJ53" s="133" t="n">
        <f aca="false">GI53*Inputs!$L$14</f>
        <v>5687.07975600745</v>
      </c>
      <c r="GK53" s="84" t="n">
        <f aca="false">GI53-GJ53</f>
        <v>0</v>
      </c>
      <c r="GL53" s="133" t="n">
        <f aca="false">FX53+$D53*Inputs!$L$13</f>
        <v>7326.62873107755</v>
      </c>
      <c r="GM53" s="84" t="n">
        <f aca="false">MIN(GJ53,GL53)</f>
        <v>5687.07975600745</v>
      </c>
      <c r="GN53" s="84" t="n">
        <f aca="false">GL53-GM53</f>
        <v>1639.5489750701</v>
      </c>
      <c r="GO53" s="84" t="n">
        <f aca="false">GA53+$G53*(GL53+GA53)</f>
        <v>0</v>
      </c>
      <c r="GP53" s="84" t="n">
        <f aca="false">MIN(GJ53-GM53,GO53)</f>
        <v>0</v>
      </c>
      <c r="GQ53" s="84" t="n">
        <f aca="false">GO53-GP53</f>
        <v>0</v>
      </c>
      <c r="GR53" s="84" t="n">
        <f aca="false">IF($H53=1,MIN(GJ53-GM53-GP53,MAX(0,$F53/(1-$F53)*(GF53+GP53)-GG53)),0)</f>
        <v>0</v>
      </c>
      <c r="GS53" s="84" t="n">
        <f aca="false">GJ53-GM53-GP53-GR53</f>
        <v>0</v>
      </c>
      <c r="GT53" s="84" t="n">
        <f aca="false">GM53+GP53+(1-$F53)*GS53</f>
        <v>5687.07975600745</v>
      </c>
      <c r="GU53" s="84" t="n">
        <f aca="false">GR53+$F53*GS53</f>
        <v>0</v>
      </c>
      <c r="GV53" s="84" t="n">
        <f aca="false">GF53+GP53+(1-$F53)*GS53</f>
        <v>0</v>
      </c>
      <c r="GW53" s="84" t="n">
        <f aca="false">GG53+GU53</f>
        <v>0</v>
      </c>
    </row>
    <row r="54" customFormat="false" ht="15" hidden="false" customHeight="false" outlineLevel="0" collapsed="false">
      <c r="A54" s="5" t="s">
        <v>637</v>
      </c>
      <c r="B54" s="5" t="s">
        <v>638</v>
      </c>
      <c r="C54" s="135" t="n">
        <v>2</v>
      </c>
      <c r="D54" s="47" t="n">
        <f aca="false">Inputs!$C$6</f>
        <v>20000</v>
      </c>
      <c r="E54" s="35" t="n">
        <f aca="false">Inputs!$C$19</f>
        <v>0.0135</v>
      </c>
      <c r="F54" s="36" t="n">
        <f aca="false">Inputs!$C$20</f>
        <v>0.2</v>
      </c>
      <c r="G54" s="30" t="n">
        <v>0</v>
      </c>
      <c r="H54" s="27" t="n">
        <v>0</v>
      </c>
      <c r="I54" s="132" t="n">
        <f aca="false">Inputs!$C$38+$C54*Inputs!$C$39</f>
        <v>0.02</v>
      </c>
      <c r="J54" s="36" t="n">
        <f aca="false">Inputs!$C$9</f>
        <v>0.15</v>
      </c>
      <c r="K54" s="89" t="n">
        <f aca="false">IRR(W54:AG54,0.1)</f>
        <v>-0.00460606780939016</v>
      </c>
      <c r="L54" s="45" t="n">
        <f aca="false">W54+NPV($J54,X54:AG54)</f>
        <v>-8479.54922696293</v>
      </c>
      <c r="M54" s="45" t="n">
        <f aca="false">SUM(BF54,BV54,CL54,DB54,DR54,EH54,EX54,FN54,GD54,GT54)</f>
        <v>19484.4165653243</v>
      </c>
      <c r="N54" s="43" t="n">
        <f aca="false">IF($D54*SUM(Inputs!$C$13:$L$13)=0,0,M54/($D54*SUM(Inputs!$C$13:$L$13)))</f>
        <v>0.974220828266213</v>
      </c>
      <c r="O54" s="42" t="n">
        <f aca="false">$D54*$E54*COLUMNS(Inputs!$C$13:$L$13)</f>
        <v>2700</v>
      </c>
      <c r="P54" s="45" t="n">
        <f aca="false">SUM(BG54,BW54,CM54,DC54,DS54,EI54,EY54,FO54,GE54,GU54)</f>
        <v>0</v>
      </c>
      <c r="Q54" s="42" t="n">
        <f aca="false">PV($J54,COLUMNS(Inputs!$C$13:$L$13),-$D54*$E54,0,1)</f>
        <v>1558.32765832774</v>
      </c>
      <c r="R54" s="45" t="n">
        <f aca="false">NPV($J54,BG54,BW54,CM54,DC54,DS54,EI54,EY54,FO54,GE54,GU54)</f>
        <v>0</v>
      </c>
      <c r="S54" s="45" t="n">
        <f aca="false">Q54+R54</f>
        <v>1558.32765832774</v>
      </c>
      <c r="T54" s="32" t="n">
        <f aca="false">IF(S54=0,0,Q54/S54)</f>
        <v>1</v>
      </c>
      <c r="U54" s="45" t="n">
        <f aca="false">ROUND(ABS(GK54)+ABS(SUM(AV54,BL54,CB54,CR54,DH54,DX54,EN54,FD54,FT54,GJ54)-M54-P54)+ABS(S54-(AH54+NPV($J54,AI54:AR54))),6)</f>
        <v>0</v>
      </c>
      <c r="W54" s="133" t="n">
        <f aca="false">-$D54*Inputs!$C$13</f>
        <v>-4000</v>
      </c>
      <c r="X54" s="133" t="n">
        <f aca="false">BF54-$D54*Inputs!$D$13</f>
        <v>-4000</v>
      </c>
      <c r="Y54" s="133" t="n">
        <f aca="false">BV54-$D54*Inputs!$E$13</f>
        <v>-4000</v>
      </c>
      <c r="Z54" s="133" t="n">
        <f aca="false">CL54-$D54*Inputs!$F$13</f>
        <v>-4000</v>
      </c>
      <c r="AA54" s="133" t="n">
        <f aca="false">DB54-$D54*Inputs!$G$13</f>
        <v>-4000</v>
      </c>
      <c r="AB54" s="133" t="n">
        <f aca="false">DR54-$D54*Inputs!$H$13</f>
        <v>3959.8582385472</v>
      </c>
      <c r="AC54" s="133" t="n">
        <f aca="false">EH54-$D54*Inputs!$I$13</f>
        <v>3176.16432265452</v>
      </c>
      <c r="AD54" s="133" t="n">
        <f aca="false">EX54-$D54*Inputs!$J$13</f>
        <v>2536.67008728609</v>
      </c>
      <c r="AE54" s="133" t="n">
        <f aca="false">FN54-$D54*Inputs!$K$13</f>
        <v>2014.84279122545</v>
      </c>
      <c r="AF54" s="133" t="n">
        <f aca="false">GD54-$D54*Inputs!$L$13</f>
        <v>1589.03171763996</v>
      </c>
      <c r="AG54" s="84" t="n">
        <f aca="false">GT54</f>
        <v>6207.84940797105</v>
      </c>
      <c r="AH54" s="84" t="n">
        <f aca="false">$D54*$E54</f>
        <v>270</v>
      </c>
      <c r="AI54" s="84" t="n">
        <f aca="false">BG54+$D54*$E54</f>
        <v>270</v>
      </c>
      <c r="AJ54" s="84" t="n">
        <f aca="false">BW54+$D54*$E54</f>
        <v>270</v>
      </c>
      <c r="AK54" s="84" t="n">
        <f aca="false">CM54+$D54*$E54</f>
        <v>270</v>
      </c>
      <c r="AL54" s="84" t="n">
        <f aca="false">DC54+$D54*$E54</f>
        <v>270</v>
      </c>
      <c r="AM54" s="84" t="n">
        <f aca="false">DS54+$D54*$E54</f>
        <v>270</v>
      </c>
      <c r="AN54" s="84" t="n">
        <f aca="false">EI54+$D54*$E54</f>
        <v>270</v>
      </c>
      <c r="AO54" s="84" t="n">
        <f aca="false">EY54+$D54*$E54</f>
        <v>270</v>
      </c>
      <c r="AP54" s="84" t="n">
        <f aca="false">FO54+$D54*$E54</f>
        <v>270</v>
      </c>
      <c r="AQ54" s="84" t="n">
        <f aca="false">GE54+$D54*$E54</f>
        <v>270</v>
      </c>
      <c r="AR54" s="84" t="n">
        <f aca="false">GU54</f>
        <v>0</v>
      </c>
      <c r="AT54" s="133" t="n">
        <f aca="false">$D54*Inputs!$C$13-$D54*$E54</f>
        <v>3730</v>
      </c>
      <c r="AU54" s="84" t="n">
        <f aca="false">AT54*(1+$I54)</f>
        <v>3804.6</v>
      </c>
      <c r="AV54" s="133" t="n">
        <f aca="false">AU54*Inputs!$C$14</f>
        <v>0</v>
      </c>
      <c r="AW54" s="84" t="n">
        <f aca="false">AU54-AV54</f>
        <v>3804.6</v>
      </c>
      <c r="AX54" s="133" t="n">
        <f aca="false">$D54*Inputs!$C$13</f>
        <v>4000</v>
      </c>
      <c r="AY54" s="84" t="n">
        <f aca="false">MIN(AV54,AX54)</f>
        <v>0</v>
      </c>
      <c r="AZ54" s="84" t="n">
        <f aca="false">AX54-AY54</f>
        <v>4000</v>
      </c>
      <c r="BA54" s="84" t="n">
        <f aca="false">$G54*AX54</f>
        <v>0</v>
      </c>
      <c r="BB54" s="84" t="n">
        <f aca="false">MIN(AV54-AY54,BA54)</f>
        <v>0</v>
      </c>
      <c r="BC54" s="84" t="n">
        <f aca="false">BA54-BB54</f>
        <v>0</v>
      </c>
      <c r="BD54" s="84" t="n">
        <f aca="false">IF($H54=1,MIN(AV54-AY54-BB54,MAX(0,$F54/(1-$F54)*BB54)),0)</f>
        <v>0</v>
      </c>
      <c r="BE54" s="84" t="n">
        <f aca="false">AV54-AY54-BB54-BD54</f>
        <v>0</v>
      </c>
      <c r="BF54" s="84" t="n">
        <f aca="false">AY54+BB54+(1-$F54)*BE54</f>
        <v>0</v>
      </c>
      <c r="BG54" s="84" t="n">
        <f aca="false">BD54+$F54*BE54</f>
        <v>0</v>
      </c>
      <c r="BH54" s="84" t="n">
        <f aca="false">BB54+(1-$F54)*BE54</f>
        <v>0</v>
      </c>
      <c r="BI54" s="84" t="n">
        <f aca="false">BG54</f>
        <v>0</v>
      </c>
      <c r="BJ54" s="133" t="n">
        <f aca="false">AW54+$D54*Inputs!$D$13-$D54*$E54</f>
        <v>7534.6</v>
      </c>
      <c r="BK54" s="84" t="n">
        <f aca="false">BJ54*(1+$I54)</f>
        <v>7685.292</v>
      </c>
      <c r="BL54" s="133" t="n">
        <f aca="false">BK54*Inputs!$D$14</f>
        <v>0</v>
      </c>
      <c r="BM54" s="84" t="n">
        <f aca="false">BK54-BL54</f>
        <v>7685.292</v>
      </c>
      <c r="BN54" s="133" t="n">
        <f aca="false">AZ54+$D54*Inputs!$D$13</f>
        <v>8000</v>
      </c>
      <c r="BO54" s="84" t="n">
        <f aca="false">MIN(BL54,BN54)</f>
        <v>0</v>
      </c>
      <c r="BP54" s="84" t="n">
        <f aca="false">BN54-BO54</f>
        <v>8000</v>
      </c>
      <c r="BQ54" s="84" t="n">
        <f aca="false">BC54+$G54*(BN54+BC54)</f>
        <v>0</v>
      </c>
      <c r="BR54" s="84" t="n">
        <f aca="false">MIN(BL54-BO54,BQ54)</f>
        <v>0</v>
      </c>
      <c r="BS54" s="84" t="n">
        <f aca="false">BQ54-BR54</f>
        <v>0</v>
      </c>
      <c r="BT54" s="84" t="n">
        <f aca="false">IF($H54=1,MIN(BL54-BO54-BR54,MAX(0,$F54/(1-$F54)*(BH54+BR54)-BI54)),0)</f>
        <v>0</v>
      </c>
      <c r="BU54" s="84" t="n">
        <f aca="false">BL54-BO54-BR54-BT54</f>
        <v>0</v>
      </c>
      <c r="BV54" s="84" t="n">
        <f aca="false">BO54+BR54+(1-$F54)*BU54</f>
        <v>0</v>
      </c>
      <c r="BW54" s="84" t="n">
        <f aca="false">BT54+$F54*BU54</f>
        <v>0</v>
      </c>
      <c r="BX54" s="84" t="n">
        <f aca="false">BH54+BR54+(1-$F54)*BU54</f>
        <v>0</v>
      </c>
      <c r="BY54" s="84" t="n">
        <f aca="false">BI54+BW54</f>
        <v>0</v>
      </c>
      <c r="BZ54" s="133" t="n">
        <f aca="false">BM54+$D54*Inputs!$E$13-$D54*$E54</f>
        <v>11415.292</v>
      </c>
      <c r="CA54" s="84" t="n">
        <f aca="false">BZ54*(1+$I54)</f>
        <v>11643.59784</v>
      </c>
      <c r="CB54" s="133" t="n">
        <f aca="false">CA54*Inputs!$E$14</f>
        <v>0</v>
      </c>
      <c r="CC54" s="84" t="n">
        <f aca="false">CA54-CB54</f>
        <v>11643.59784</v>
      </c>
      <c r="CD54" s="133" t="n">
        <f aca="false">BP54+$D54*Inputs!$E$13</f>
        <v>12000</v>
      </c>
      <c r="CE54" s="84" t="n">
        <f aca="false">MIN(CB54,CD54)</f>
        <v>0</v>
      </c>
      <c r="CF54" s="84" t="n">
        <f aca="false">CD54-CE54</f>
        <v>12000</v>
      </c>
      <c r="CG54" s="84" t="n">
        <f aca="false">BS54+$G54*(CD54+BS54)</f>
        <v>0</v>
      </c>
      <c r="CH54" s="84" t="n">
        <f aca="false">MIN(CB54-CE54,CG54)</f>
        <v>0</v>
      </c>
      <c r="CI54" s="84" t="n">
        <f aca="false">CG54-CH54</f>
        <v>0</v>
      </c>
      <c r="CJ54" s="84" t="n">
        <f aca="false">IF($H54=1,MIN(CB54-CE54-CH54,MAX(0,$F54/(1-$F54)*(BX54+CH54)-BY54)),0)</f>
        <v>0</v>
      </c>
      <c r="CK54" s="84" t="n">
        <f aca="false">CB54-CE54-CH54-CJ54</f>
        <v>0</v>
      </c>
      <c r="CL54" s="84" t="n">
        <f aca="false">CE54+CH54+(1-$F54)*CK54</f>
        <v>0</v>
      </c>
      <c r="CM54" s="84" t="n">
        <f aca="false">CJ54+$F54*CK54</f>
        <v>0</v>
      </c>
      <c r="CN54" s="84" t="n">
        <f aca="false">BX54+CH54+(1-$F54)*CK54</f>
        <v>0</v>
      </c>
      <c r="CO54" s="84" t="n">
        <f aca="false">BY54+CM54</f>
        <v>0</v>
      </c>
      <c r="CP54" s="133" t="n">
        <f aca="false">CC54+$D54*Inputs!$F$13-$D54*$E54</f>
        <v>15373.59784</v>
      </c>
      <c r="CQ54" s="84" t="n">
        <f aca="false">CP54*(1+$I54)</f>
        <v>15681.0697968</v>
      </c>
      <c r="CR54" s="133" t="n">
        <f aca="false">CQ54*Inputs!$F$14</f>
        <v>0</v>
      </c>
      <c r="CS54" s="84" t="n">
        <f aca="false">CQ54-CR54</f>
        <v>15681.0697968</v>
      </c>
      <c r="CT54" s="133" t="n">
        <f aca="false">CF54+$D54*Inputs!$F$13</f>
        <v>16000</v>
      </c>
      <c r="CU54" s="84" t="n">
        <f aca="false">MIN(CR54,CT54)</f>
        <v>0</v>
      </c>
      <c r="CV54" s="84" t="n">
        <f aca="false">CT54-CU54</f>
        <v>16000</v>
      </c>
      <c r="CW54" s="84" t="n">
        <f aca="false">CI54+$G54*(CT54+CI54)</f>
        <v>0</v>
      </c>
      <c r="CX54" s="84" t="n">
        <f aca="false">MIN(CR54-CU54,CW54)</f>
        <v>0</v>
      </c>
      <c r="CY54" s="84" t="n">
        <f aca="false">CW54-CX54</f>
        <v>0</v>
      </c>
      <c r="CZ54" s="84" t="n">
        <f aca="false">IF($H54=1,MIN(CR54-CU54-CX54,MAX(0,$F54/(1-$F54)*(CN54+CX54)-CO54)),0)</f>
        <v>0</v>
      </c>
      <c r="DA54" s="84" t="n">
        <f aca="false">CR54-CU54-CX54-CZ54</f>
        <v>0</v>
      </c>
      <c r="DB54" s="84" t="n">
        <f aca="false">CU54+CX54+(1-$F54)*DA54</f>
        <v>0</v>
      </c>
      <c r="DC54" s="84" t="n">
        <f aca="false">CZ54+$F54*DA54</f>
        <v>0</v>
      </c>
      <c r="DD54" s="84" t="n">
        <f aca="false">CN54+CX54+(1-$F54)*DA54</f>
        <v>0</v>
      </c>
      <c r="DE54" s="84" t="n">
        <f aca="false">CO54+DC54</f>
        <v>0</v>
      </c>
      <c r="DF54" s="133" t="n">
        <f aca="false">CS54+$D54*Inputs!$G$13-$D54*$E54</f>
        <v>19411.0697968</v>
      </c>
      <c r="DG54" s="84" t="n">
        <f aca="false">DF54*(1+$I54)</f>
        <v>19799.291192736</v>
      </c>
      <c r="DH54" s="133" t="n">
        <f aca="false">DG54*Inputs!$G$14</f>
        <v>3959.8582385472</v>
      </c>
      <c r="DI54" s="84" t="n">
        <f aca="false">DG54-DH54</f>
        <v>15839.4329541888</v>
      </c>
      <c r="DJ54" s="133" t="n">
        <f aca="false">CV54+$D54*Inputs!$G$13</f>
        <v>20000</v>
      </c>
      <c r="DK54" s="84" t="n">
        <f aca="false">MIN(DH54,DJ54)</f>
        <v>3959.8582385472</v>
      </c>
      <c r="DL54" s="84" t="n">
        <f aca="false">DJ54-DK54</f>
        <v>16040.1417614528</v>
      </c>
      <c r="DM54" s="84" t="n">
        <f aca="false">CY54+$G54*(DJ54+CY54)</f>
        <v>0</v>
      </c>
      <c r="DN54" s="84" t="n">
        <f aca="false">MIN(DH54-DK54,DM54)</f>
        <v>0</v>
      </c>
      <c r="DO54" s="84" t="n">
        <f aca="false">DM54-DN54</f>
        <v>0</v>
      </c>
      <c r="DP54" s="84" t="n">
        <f aca="false">IF($H54=1,MIN(DH54-DK54-DN54,MAX(0,$F54/(1-$F54)*(DD54+DN54)-DE54)),0)</f>
        <v>0</v>
      </c>
      <c r="DQ54" s="84" t="n">
        <f aca="false">DH54-DK54-DN54-DP54</f>
        <v>0</v>
      </c>
      <c r="DR54" s="84" t="n">
        <f aca="false">DK54+DN54+(1-$F54)*DQ54</f>
        <v>3959.8582385472</v>
      </c>
      <c r="DS54" s="84" t="n">
        <f aca="false">DP54+$F54*DQ54</f>
        <v>0</v>
      </c>
      <c r="DT54" s="84" t="n">
        <f aca="false">DD54+DN54+(1-$F54)*DQ54</f>
        <v>0</v>
      </c>
      <c r="DU54" s="84" t="n">
        <f aca="false">DE54+DS54</f>
        <v>0</v>
      </c>
      <c r="DV54" s="133" t="n">
        <f aca="false">DI54+$D54*Inputs!$H$13-$D54*$E54</f>
        <v>15569.4329541888</v>
      </c>
      <c r="DW54" s="84" t="n">
        <f aca="false">DV54*(1+$I54)</f>
        <v>15880.8216132726</v>
      </c>
      <c r="DX54" s="133" t="n">
        <f aca="false">DW54*Inputs!$H$14</f>
        <v>3176.16432265452</v>
      </c>
      <c r="DY54" s="84" t="n">
        <f aca="false">DW54-DX54</f>
        <v>12704.6572906181</v>
      </c>
      <c r="DZ54" s="133" t="n">
        <f aca="false">DL54+$D54*Inputs!$H$13</f>
        <v>16040.1417614528</v>
      </c>
      <c r="EA54" s="84" t="n">
        <f aca="false">MIN(DX54,DZ54)</f>
        <v>3176.16432265452</v>
      </c>
      <c r="EB54" s="84" t="n">
        <f aca="false">DZ54-EA54</f>
        <v>12863.9774387983</v>
      </c>
      <c r="EC54" s="84" t="n">
        <f aca="false">DO54+$G54*(DZ54+DO54)</f>
        <v>0</v>
      </c>
      <c r="ED54" s="84" t="n">
        <f aca="false">MIN(DX54-EA54,EC54)</f>
        <v>0</v>
      </c>
      <c r="EE54" s="84" t="n">
        <f aca="false">EC54-ED54</f>
        <v>0</v>
      </c>
      <c r="EF54" s="84" t="n">
        <f aca="false">IF($H54=1,MIN(DX54-EA54-ED54,MAX(0,$F54/(1-$F54)*(DT54+ED54)-DU54)),0)</f>
        <v>0</v>
      </c>
      <c r="EG54" s="84" t="n">
        <f aca="false">DX54-EA54-ED54-EF54</f>
        <v>0</v>
      </c>
      <c r="EH54" s="84" t="n">
        <f aca="false">EA54+ED54+(1-$F54)*EG54</f>
        <v>3176.16432265452</v>
      </c>
      <c r="EI54" s="84" t="n">
        <f aca="false">EF54+$F54*EG54</f>
        <v>0</v>
      </c>
      <c r="EJ54" s="84" t="n">
        <f aca="false">DT54+ED54+(1-$F54)*EG54</f>
        <v>0</v>
      </c>
      <c r="EK54" s="84" t="n">
        <f aca="false">DU54+EI54</f>
        <v>0</v>
      </c>
      <c r="EL54" s="133" t="n">
        <f aca="false">DY54+$D54*Inputs!$I$13-$D54*$E54</f>
        <v>12434.6572906181</v>
      </c>
      <c r="EM54" s="84" t="n">
        <f aca="false">EL54*(1+$I54)</f>
        <v>12683.3504364304</v>
      </c>
      <c r="EN54" s="133" t="n">
        <f aca="false">EM54*Inputs!$I$14</f>
        <v>2536.67008728609</v>
      </c>
      <c r="EO54" s="84" t="n">
        <f aca="false">EM54-EN54</f>
        <v>10146.6803491443</v>
      </c>
      <c r="EP54" s="133" t="n">
        <f aca="false">EB54+$D54*Inputs!$I$13</f>
        <v>12863.9774387983</v>
      </c>
      <c r="EQ54" s="84" t="n">
        <f aca="false">MIN(EN54,EP54)</f>
        <v>2536.67008728609</v>
      </c>
      <c r="ER54" s="84" t="n">
        <f aca="false">EP54-EQ54</f>
        <v>10327.3073515122</v>
      </c>
      <c r="ES54" s="84" t="n">
        <f aca="false">EE54+$G54*(EP54+EE54)</f>
        <v>0</v>
      </c>
      <c r="ET54" s="84" t="n">
        <f aca="false">MIN(EN54-EQ54,ES54)</f>
        <v>0</v>
      </c>
      <c r="EU54" s="84" t="n">
        <f aca="false">ES54-ET54</f>
        <v>0</v>
      </c>
      <c r="EV54" s="84" t="n">
        <f aca="false">IF($H54=1,MIN(EN54-EQ54-ET54,MAX(0,$F54/(1-$F54)*(EJ54+ET54)-EK54)),0)</f>
        <v>0</v>
      </c>
      <c r="EW54" s="84" t="n">
        <f aca="false">EN54-EQ54-ET54-EV54</f>
        <v>0</v>
      </c>
      <c r="EX54" s="84" t="n">
        <f aca="false">EQ54+ET54+(1-$F54)*EW54</f>
        <v>2536.67008728609</v>
      </c>
      <c r="EY54" s="84" t="n">
        <f aca="false">EV54+$F54*EW54</f>
        <v>0</v>
      </c>
      <c r="EZ54" s="84" t="n">
        <f aca="false">EJ54+ET54+(1-$F54)*EW54</f>
        <v>0</v>
      </c>
      <c r="FA54" s="84" t="n">
        <f aca="false">EK54+EY54</f>
        <v>0</v>
      </c>
      <c r="FB54" s="133" t="n">
        <f aca="false">EO54+$D54*Inputs!$J$13-$D54*$E54</f>
        <v>9876.68034914434</v>
      </c>
      <c r="FC54" s="84" t="n">
        <f aca="false">FB54*(1+$I54)</f>
        <v>10074.2139561272</v>
      </c>
      <c r="FD54" s="133" t="n">
        <f aca="false">FC54*Inputs!$J$14</f>
        <v>2014.84279122545</v>
      </c>
      <c r="FE54" s="84" t="n">
        <f aca="false">FC54-FD54</f>
        <v>8059.37116490178</v>
      </c>
      <c r="FF54" s="133" t="n">
        <f aca="false">ER54+$D54*Inputs!$J$13</f>
        <v>10327.3073515122</v>
      </c>
      <c r="FG54" s="84" t="n">
        <f aca="false">MIN(FD54,FF54)</f>
        <v>2014.84279122545</v>
      </c>
      <c r="FH54" s="84" t="n">
        <f aca="false">FF54-FG54</f>
        <v>8312.46456028675</v>
      </c>
      <c r="FI54" s="84" t="n">
        <f aca="false">EU54+$G54*(FF54+EU54)</f>
        <v>0</v>
      </c>
      <c r="FJ54" s="84" t="n">
        <f aca="false">MIN(FD54-FG54,FI54)</f>
        <v>0</v>
      </c>
      <c r="FK54" s="84" t="n">
        <f aca="false">FI54-FJ54</f>
        <v>0</v>
      </c>
      <c r="FL54" s="84" t="n">
        <f aca="false">IF($H54=1,MIN(FD54-FG54-FJ54,MAX(0,$F54/(1-$F54)*(EZ54+FJ54)-FA54)),0)</f>
        <v>0</v>
      </c>
      <c r="FM54" s="84" t="n">
        <f aca="false">FD54-FG54-FJ54-FL54</f>
        <v>0</v>
      </c>
      <c r="FN54" s="84" t="n">
        <f aca="false">FG54+FJ54+(1-$F54)*FM54</f>
        <v>2014.84279122545</v>
      </c>
      <c r="FO54" s="84" t="n">
        <f aca="false">FL54+$F54*FM54</f>
        <v>0</v>
      </c>
      <c r="FP54" s="84" t="n">
        <f aca="false">EZ54+FJ54+(1-$F54)*FM54</f>
        <v>0</v>
      </c>
      <c r="FQ54" s="84" t="n">
        <f aca="false">FA54+FO54</f>
        <v>0</v>
      </c>
      <c r="FR54" s="133" t="n">
        <f aca="false">FE54+$D54*Inputs!$K$13-$D54*$E54</f>
        <v>7789.37116490178</v>
      </c>
      <c r="FS54" s="84" t="n">
        <f aca="false">FR54*(1+$I54)</f>
        <v>7945.15858819982</v>
      </c>
      <c r="FT54" s="133" t="n">
        <f aca="false">FS54*Inputs!$K$14</f>
        <v>1589.03171763996</v>
      </c>
      <c r="FU54" s="84" t="n">
        <f aca="false">FS54-FT54</f>
        <v>6356.12687055985</v>
      </c>
      <c r="FV54" s="133" t="n">
        <f aca="false">FH54+$D54*Inputs!$K$13</f>
        <v>8312.46456028675</v>
      </c>
      <c r="FW54" s="84" t="n">
        <f aca="false">MIN(FT54,FV54)</f>
        <v>1589.03171763996</v>
      </c>
      <c r="FX54" s="84" t="n">
        <f aca="false">FV54-FW54</f>
        <v>6723.43284264679</v>
      </c>
      <c r="FY54" s="84" t="n">
        <f aca="false">FK54+$G54*(FV54+FK54)</f>
        <v>0</v>
      </c>
      <c r="FZ54" s="84" t="n">
        <f aca="false">MIN(FT54-FW54,FY54)</f>
        <v>0</v>
      </c>
      <c r="GA54" s="84" t="n">
        <f aca="false">FY54-FZ54</f>
        <v>0</v>
      </c>
      <c r="GB54" s="84" t="n">
        <f aca="false">IF($H54=1,MIN(FT54-FW54-FZ54,MAX(0,$F54/(1-$F54)*(FP54+FZ54)-FQ54)),0)</f>
        <v>0</v>
      </c>
      <c r="GC54" s="84" t="n">
        <f aca="false">FT54-FW54-FZ54-GB54</f>
        <v>0</v>
      </c>
      <c r="GD54" s="84" t="n">
        <f aca="false">FW54+FZ54+(1-$F54)*GC54</f>
        <v>1589.03171763996</v>
      </c>
      <c r="GE54" s="84" t="n">
        <f aca="false">GB54+$F54*GC54</f>
        <v>0</v>
      </c>
      <c r="GF54" s="84" t="n">
        <f aca="false">FP54+FZ54+(1-$F54)*GC54</f>
        <v>0</v>
      </c>
      <c r="GG54" s="84" t="n">
        <f aca="false">FQ54+GE54</f>
        <v>0</v>
      </c>
      <c r="GH54" s="133" t="n">
        <f aca="false">FU54+$D54*Inputs!$L$13-$D54*$E54</f>
        <v>6086.12687055985</v>
      </c>
      <c r="GI54" s="84" t="n">
        <f aca="false">GH54*(1+$I54)</f>
        <v>6207.84940797105</v>
      </c>
      <c r="GJ54" s="133" t="n">
        <f aca="false">GI54*Inputs!$L$14</f>
        <v>6207.84940797105</v>
      </c>
      <c r="GK54" s="84" t="n">
        <f aca="false">GI54-GJ54</f>
        <v>0</v>
      </c>
      <c r="GL54" s="133" t="n">
        <f aca="false">FX54+$D54*Inputs!$L$13</f>
        <v>6723.43284264679</v>
      </c>
      <c r="GM54" s="84" t="n">
        <f aca="false">MIN(GJ54,GL54)</f>
        <v>6207.84940797105</v>
      </c>
      <c r="GN54" s="84" t="n">
        <f aca="false">GL54-GM54</f>
        <v>515.58343467574</v>
      </c>
      <c r="GO54" s="84" t="n">
        <f aca="false">GA54+$G54*(GL54+GA54)</f>
        <v>0</v>
      </c>
      <c r="GP54" s="84" t="n">
        <f aca="false">MIN(GJ54-GM54,GO54)</f>
        <v>0</v>
      </c>
      <c r="GQ54" s="84" t="n">
        <f aca="false">GO54-GP54</f>
        <v>0</v>
      </c>
      <c r="GR54" s="84" t="n">
        <f aca="false">IF($H54=1,MIN(GJ54-GM54-GP54,MAX(0,$F54/(1-$F54)*(GF54+GP54)-GG54)),0)</f>
        <v>0</v>
      </c>
      <c r="GS54" s="84" t="n">
        <f aca="false">GJ54-GM54-GP54-GR54</f>
        <v>0</v>
      </c>
      <c r="GT54" s="84" t="n">
        <f aca="false">GM54+GP54+(1-$F54)*GS54</f>
        <v>6207.84940797105</v>
      </c>
      <c r="GU54" s="84" t="n">
        <f aca="false">GR54+$F54*GS54</f>
        <v>0</v>
      </c>
      <c r="GV54" s="84" t="n">
        <f aca="false">GF54+GP54+(1-$F54)*GS54</f>
        <v>0</v>
      </c>
      <c r="GW54" s="84" t="n">
        <f aca="false">GG54+GU54</f>
        <v>0</v>
      </c>
    </row>
    <row r="55" customFormat="false" ht="15" hidden="false" customHeight="false" outlineLevel="0" collapsed="false">
      <c r="A55" s="5" t="s">
        <v>637</v>
      </c>
      <c r="B55" s="5" t="s">
        <v>638</v>
      </c>
      <c r="C55" s="135" t="n">
        <v>3</v>
      </c>
      <c r="D55" s="47" t="n">
        <f aca="false">Inputs!$C$6</f>
        <v>20000</v>
      </c>
      <c r="E55" s="35" t="n">
        <f aca="false">Inputs!$C$19</f>
        <v>0.0135</v>
      </c>
      <c r="F55" s="36" t="n">
        <f aca="false">Inputs!$C$20</f>
        <v>0.2</v>
      </c>
      <c r="G55" s="30" t="n">
        <v>0</v>
      </c>
      <c r="H55" s="27" t="n">
        <v>0</v>
      </c>
      <c r="I55" s="132" t="n">
        <f aca="false">Inputs!$C$38+$C55*Inputs!$C$39</f>
        <v>0.03</v>
      </c>
      <c r="J55" s="36" t="n">
        <f aca="false">Inputs!$C$9</f>
        <v>0.15</v>
      </c>
      <c r="K55" s="89" t="n">
        <f aca="false">IRR(W55:AG55,0.1)</f>
        <v>0.00470739553452383</v>
      </c>
      <c r="L55" s="45" t="n">
        <f aca="false">W55+NPV($J55,X55:AG55)</f>
        <v>-8132.93915849214</v>
      </c>
      <c r="M55" s="45" t="n">
        <f aca="false">SUM(BF55,BV55,CL55,DB55,DR55,EH55,EX55,FN55,GD55,GT55)</f>
        <v>20540.4171082204</v>
      </c>
      <c r="N55" s="43" t="n">
        <f aca="false">IF($D55*SUM(Inputs!$C$13:$L$13)=0,0,M55/($D55*SUM(Inputs!$C$13:$L$13)))</f>
        <v>1.02702085541102</v>
      </c>
      <c r="O55" s="42" t="n">
        <f aca="false">$D55*$E55*COLUMNS(Inputs!$C$13:$L$13)</f>
        <v>2700</v>
      </c>
      <c r="P55" s="45" t="n">
        <f aca="false">SUM(BG55,BW55,CM55,DC55,DS55,EI55,EY55,FO55,GE55,GU55)</f>
        <v>135.104277055106</v>
      </c>
      <c r="Q55" s="42" t="n">
        <f aca="false">PV($J55,COLUMNS(Inputs!$C$13:$L$13),-$D55*$E55,0,1)</f>
        <v>1558.32765832774</v>
      </c>
      <c r="R55" s="45" t="n">
        <f aca="false">NPV($J55,BG55,BW55,CM55,DC55,DS55,EI55,EY55,FO55,GE55,GU55)</f>
        <v>33.3957110196734</v>
      </c>
      <c r="S55" s="45" t="n">
        <f aca="false">Q55+R55</f>
        <v>1591.72336934741</v>
      </c>
      <c r="T55" s="32" t="n">
        <f aca="false">IF(S55=0,0,Q55/S55)</f>
        <v>0.979019148890573</v>
      </c>
      <c r="U55" s="45" t="n">
        <f aca="false">ROUND(ABS(GK55)+ABS(SUM(AV55,BL55,CB55,CR55,DH55,DX55,EN55,FD55,FT55,GJ55)-M55-P55)+ABS(S55-(AH55+NPV($J55,AI55:AR55))),6)</f>
        <v>0</v>
      </c>
      <c r="W55" s="133" t="n">
        <f aca="false">-$D55*Inputs!$C$13</f>
        <v>-4000</v>
      </c>
      <c r="X55" s="133" t="n">
        <f aca="false">BF55-$D55*Inputs!$D$13</f>
        <v>-4000</v>
      </c>
      <c r="Y55" s="133" t="n">
        <f aca="false">BV55-$D55*Inputs!$E$13</f>
        <v>-4000</v>
      </c>
      <c r="Z55" s="133" t="n">
        <f aca="false">CL55-$D55*Inputs!$F$13</f>
        <v>-4000</v>
      </c>
      <c r="AA55" s="133" t="n">
        <f aca="false">DB55-$D55*Inputs!$G$13</f>
        <v>-4000</v>
      </c>
      <c r="AB55" s="133" t="n">
        <f aca="false">DR55-$D55*Inputs!$H$13</f>
        <v>4079.4337736878</v>
      </c>
      <c r="AC55" s="133" t="n">
        <f aca="false">EH55-$D55*Inputs!$I$13</f>
        <v>3305.83342951875</v>
      </c>
      <c r="AD55" s="133" t="n">
        <f aca="false">EX55-$D55*Inputs!$J$13</f>
        <v>2668.38674592345</v>
      </c>
      <c r="AE55" s="133" t="n">
        <f aca="false">FN55-$D55*Inputs!$K$13</f>
        <v>2143.13067864092</v>
      </c>
      <c r="AF55" s="133" t="n">
        <f aca="false">GD55-$D55*Inputs!$L$13</f>
        <v>1710.31967920012</v>
      </c>
      <c r="AG55" s="84" t="n">
        <f aca="false">GT55</f>
        <v>6633.31280124939</v>
      </c>
      <c r="AH55" s="84" t="n">
        <f aca="false">$D55*$E55</f>
        <v>270</v>
      </c>
      <c r="AI55" s="84" t="n">
        <f aca="false">BG55+$D55*$E55</f>
        <v>270</v>
      </c>
      <c r="AJ55" s="84" t="n">
        <f aca="false">BW55+$D55*$E55</f>
        <v>270</v>
      </c>
      <c r="AK55" s="84" t="n">
        <f aca="false">CM55+$D55*$E55</f>
        <v>270</v>
      </c>
      <c r="AL55" s="84" t="n">
        <f aca="false">DC55+$D55*$E55</f>
        <v>270</v>
      </c>
      <c r="AM55" s="84" t="n">
        <f aca="false">DS55+$D55*$E55</f>
        <v>270</v>
      </c>
      <c r="AN55" s="84" t="n">
        <f aca="false">EI55+$D55*$E55</f>
        <v>270</v>
      </c>
      <c r="AO55" s="84" t="n">
        <f aca="false">EY55+$D55*$E55</f>
        <v>270</v>
      </c>
      <c r="AP55" s="84" t="n">
        <f aca="false">FO55+$D55*$E55</f>
        <v>270</v>
      </c>
      <c r="AQ55" s="84" t="n">
        <f aca="false">GE55+$D55*$E55</f>
        <v>270</v>
      </c>
      <c r="AR55" s="84" t="n">
        <f aca="false">GU55</f>
        <v>135.104277055106</v>
      </c>
      <c r="AT55" s="133" t="n">
        <f aca="false">$D55*Inputs!$C$13-$D55*$E55</f>
        <v>3730</v>
      </c>
      <c r="AU55" s="84" t="n">
        <f aca="false">AT55*(1+$I55)</f>
        <v>3841.9</v>
      </c>
      <c r="AV55" s="133" t="n">
        <f aca="false">AU55*Inputs!$C$14</f>
        <v>0</v>
      </c>
      <c r="AW55" s="84" t="n">
        <f aca="false">AU55-AV55</f>
        <v>3841.9</v>
      </c>
      <c r="AX55" s="133" t="n">
        <f aca="false">$D55*Inputs!$C$13</f>
        <v>4000</v>
      </c>
      <c r="AY55" s="84" t="n">
        <f aca="false">MIN(AV55,AX55)</f>
        <v>0</v>
      </c>
      <c r="AZ55" s="84" t="n">
        <f aca="false">AX55-AY55</f>
        <v>4000</v>
      </c>
      <c r="BA55" s="84" t="n">
        <f aca="false">$G55*AX55</f>
        <v>0</v>
      </c>
      <c r="BB55" s="84" t="n">
        <f aca="false">MIN(AV55-AY55,BA55)</f>
        <v>0</v>
      </c>
      <c r="BC55" s="84" t="n">
        <f aca="false">BA55-BB55</f>
        <v>0</v>
      </c>
      <c r="BD55" s="84" t="n">
        <f aca="false">IF($H55=1,MIN(AV55-AY55-BB55,MAX(0,$F55/(1-$F55)*BB55)),0)</f>
        <v>0</v>
      </c>
      <c r="BE55" s="84" t="n">
        <f aca="false">AV55-AY55-BB55-BD55</f>
        <v>0</v>
      </c>
      <c r="BF55" s="84" t="n">
        <f aca="false">AY55+BB55+(1-$F55)*BE55</f>
        <v>0</v>
      </c>
      <c r="BG55" s="84" t="n">
        <f aca="false">BD55+$F55*BE55</f>
        <v>0</v>
      </c>
      <c r="BH55" s="84" t="n">
        <f aca="false">BB55+(1-$F55)*BE55</f>
        <v>0</v>
      </c>
      <c r="BI55" s="84" t="n">
        <f aca="false">BG55</f>
        <v>0</v>
      </c>
      <c r="BJ55" s="133" t="n">
        <f aca="false">AW55+$D55*Inputs!$D$13-$D55*$E55</f>
        <v>7571.9</v>
      </c>
      <c r="BK55" s="84" t="n">
        <f aca="false">BJ55*(1+$I55)</f>
        <v>7799.057</v>
      </c>
      <c r="BL55" s="133" t="n">
        <f aca="false">BK55*Inputs!$D$14</f>
        <v>0</v>
      </c>
      <c r="BM55" s="84" t="n">
        <f aca="false">BK55-BL55</f>
        <v>7799.057</v>
      </c>
      <c r="BN55" s="133" t="n">
        <f aca="false">AZ55+$D55*Inputs!$D$13</f>
        <v>8000</v>
      </c>
      <c r="BO55" s="84" t="n">
        <f aca="false">MIN(BL55,BN55)</f>
        <v>0</v>
      </c>
      <c r="BP55" s="84" t="n">
        <f aca="false">BN55-BO55</f>
        <v>8000</v>
      </c>
      <c r="BQ55" s="84" t="n">
        <f aca="false">BC55+$G55*(BN55+BC55)</f>
        <v>0</v>
      </c>
      <c r="BR55" s="84" t="n">
        <f aca="false">MIN(BL55-BO55,BQ55)</f>
        <v>0</v>
      </c>
      <c r="BS55" s="84" t="n">
        <f aca="false">BQ55-BR55</f>
        <v>0</v>
      </c>
      <c r="BT55" s="84" t="n">
        <f aca="false">IF($H55=1,MIN(BL55-BO55-BR55,MAX(0,$F55/(1-$F55)*(BH55+BR55)-BI55)),0)</f>
        <v>0</v>
      </c>
      <c r="BU55" s="84" t="n">
        <f aca="false">BL55-BO55-BR55-BT55</f>
        <v>0</v>
      </c>
      <c r="BV55" s="84" t="n">
        <f aca="false">BO55+BR55+(1-$F55)*BU55</f>
        <v>0</v>
      </c>
      <c r="BW55" s="84" t="n">
        <f aca="false">BT55+$F55*BU55</f>
        <v>0</v>
      </c>
      <c r="BX55" s="84" t="n">
        <f aca="false">BH55+BR55+(1-$F55)*BU55</f>
        <v>0</v>
      </c>
      <c r="BY55" s="84" t="n">
        <f aca="false">BI55+BW55</f>
        <v>0</v>
      </c>
      <c r="BZ55" s="133" t="n">
        <f aca="false">BM55+$D55*Inputs!$E$13-$D55*$E55</f>
        <v>11529.057</v>
      </c>
      <c r="CA55" s="84" t="n">
        <f aca="false">BZ55*(1+$I55)</f>
        <v>11874.92871</v>
      </c>
      <c r="CB55" s="133" t="n">
        <f aca="false">CA55*Inputs!$E$14</f>
        <v>0</v>
      </c>
      <c r="CC55" s="84" t="n">
        <f aca="false">CA55-CB55</f>
        <v>11874.92871</v>
      </c>
      <c r="CD55" s="133" t="n">
        <f aca="false">BP55+$D55*Inputs!$E$13</f>
        <v>12000</v>
      </c>
      <c r="CE55" s="84" t="n">
        <f aca="false">MIN(CB55,CD55)</f>
        <v>0</v>
      </c>
      <c r="CF55" s="84" t="n">
        <f aca="false">CD55-CE55</f>
        <v>12000</v>
      </c>
      <c r="CG55" s="84" t="n">
        <f aca="false">BS55+$G55*(CD55+BS55)</f>
        <v>0</v>
      </c>
      <c r="CH55" s="84" t="n">
        <f aca="false">MIN(CB55-CE55,CG55)</f>
        <v>0</v>
      </c>
      <c r="CI55" s="84" t="n">
        <f aca="false">CG55-CH55</f>
        <v>0</v>
      </c>
      <c r="CJ55" s="84" t="n">
        <f aca="false">IF($H55=1,MIN(CB55-CE55-CH55,MAX(0,$F55/(1-$F55)*(BX55+CH55)-BY55)),0)</f>
        <v>0</v>
      </c>
      <c r="CK55" s="84" t="n">
        <f aca="false">CB55-CE55-CH55-CJ55</f>
        <v>0</v>
      </c>
      <c r="CL55" s="84" t="n">
        <f aca="false">CE55+CH55+(1-$F55)*CK55</f>
        <v>0</v>
      </c>
      <c r="CM55" s="84" t="n">
        <f aca="false">CJ55+$F55*CK55</f>
        <v>0</v>
      </c>
      <c r="CN55" s="84" t="n">
        <f aca="false">BX55+CH55+(1-$F55)*CK55</f>
        <v>0</v>
      </c>
      <c r="CO55" s="84" t="n">
        <f aca="false">BY55+CM55</f>
        <v>0</v>
      </c>
      <c r="CP55" s="133" t="n">
        <f aca="false">CC55+$D55*Inputs!$F$13-$D55*$E55</f>
        <v>15604.92871</v>
      </c>
      <c r="CQ55" s="84" t="n">
        <f aca="false">CP55*(1+$I55)</f>
        <v>16073.0765713</v>
      </c>
      <c r="CR55" s="133" t="n">
        <f aca="false">CQ55*Inputs!$F$14</f>
        <v>0</v>
      </c>
      <c r="CS55" s="84" t="n">
        <f aca="false">CQ55-CR55</f>
        <v>16073.0765713</v>
      </c>
      <c r="CT55" s="133" t="n">
        <f aca="false">CF55+$D55*Inputs!$F$13</f>
        <v>16000</v>
      </c>
      <c r="CU55" s="84" t="n">
        <f aca="false">MIN(CR55,CT55)</f>
        <v>0</v>
      </c>
      <c r="CV55" s="84" t="n">
        <f aca="false">CT55-CU55</f>
        <v>16000</v>
      </c>
      <c r="CW55" s="84" t="n">
        <f aca="false">CI55+$G55*(CT55+CI55)</f>
        <v>0</v>
      </c>
      <c r="CX55" s="84" t="n">
        <f aca="false">MIN(CR55-CU55,CW55)</f>
        <v>0</v>
      </c>
      <c r="CY55" s="84" t="n">
        <f aca="false">CW55-CX55</f>
        <v>0</v>
      </c>
      <c r="CZ55" s="84" t="n">
        <f aca="false">IF($H55=1,MIN(CR55-CU55-CX55,MAX(0,$F55/(1-$F55)*(CN55+CX55)-CO55)),0)</f>
        <v>0</v>
      </c>
      <c r="DA55" s="84" t="n">
        <f aca="false">CR55-CU55-CX55-CZ55</f>
        <v>0</v>
      </c>
      <c r="DB55" s="84" t="n">
        <f aca="false">CU55+CX55+(1-$F55)*DA55</f>
        <v>0</v>
      </c>
      <c r="DC55" s="84" t="n">
        <f aca="false">CZ55+$F55*DA55</f>
        <v>0</v>
      </c>
      <c r="DD55" s="84" t="n">
        <f aca="false">CN55+CX55+(1-$F55)*DA55</f>
        <v>0</v>
      </c>
      <c r="DE55" s="84" t="n">
        <f aca="false">CO55+DC55</f>
        <v>0</v>
      </c>
      <c r="DF55" s="133" t="n">
        <f aca="false">CS55+$D55*Inputs!$G$13-$D55*$E55</f>
        <v>19803.0765713</v>
      </c>
      <c r="DG55" s="84" t="n">
        <f aca="false">DF55*(1+$I55)</f>
        <v>20397.168868439</v>
      </c>
      <c r="DH55" s="133" t="n">
        <f aca="false">DG55*Inputs!$G$14</f>
        <v>4079.4337736878</v>
      </c>
      <c r="DI55" s="84" t="n">
        <f aca="false">DG55-DH55</f>
        <v>16317.7350947512</v>
      </c>
      <c r="DJ55" s="133" t="n">
        <f aca="false">CV55+$D55*Inputs!$G$13</f>
        <v>20000</v>
      </c>
      <c r="DK55" s="84" t="n">
        <f aca="false">MIN(DH55,DJ55)</f>
        <v>4079.4337736878</v>
      </c>
      <c r="DL55" s="84" t="n">
        <f aca="false">DJ55-DK55</f>
        <v>15920.5662263122</v>
      </c>
      <c r="DM55" s="84" t="n">
        <f aca="false">CY55+$G55*(DJ55+CY55)</f>
        <v>0</v>
      </c>
      <c r="DN55" s="84" t="n">
        <f aca="false">MIN(DH55-DK55,DM55)</f>
        <v>0</v>
      </c>
      <c r="DO55" s="84" t="n">
        <f aca="false">DM55-DN55</f>
        <v>0</v>
      </c>
      <c r="DP55" s="84" t="n">
        <f aca="false">IF($H55=1,MIN(DH55-DK55-DN55,MAX(0,$F55/(1-$F55)*(DD55+DN55)-DE55)),0)</f>
        <v>0</v>
      </c>
      <c r="DQ55" s="84" t="n">
        <f aca="false">DH55-DK55-DN55-DP55</f>
        <v>0</v>
      </c>
      <c r="DR55" s="84" t="n">
        <f aca="false">DK55+DN55+(1-$F55)*DQ55</f>
        <v>4079.4337736878</v>
      </c>
      <c r="DS55" s="84" t="n">
        <f aca="false">DP55+$F55*DQ55</f>
        <v>0</v>
      </c>
      <c r="DT55" s="84" t="n">
        <f aca="false">DD55+DN55+(1-$F55)*DQ55</f>
        <v>0</v>
      </c>
      <c r="DU55" s="84" t="n">
        <f aca="false">DE55+DS55</f>
        <v>0</v>
      </c>
      <c r="DV55" s="133" t="n">
        <f aca="false">DI55+$D55*Inputs!$H$13-$D55*$E55</f>
        <v>16047.7350947512</v>
      </c>
      <c r="DW55" s="84" t="n">
        <f aca="false">DV55*(1+$I55)</f>
        <v>16529.1671475937</v>
      </c>
      <c r="DX55" s="133" t="n">
        <f aca="false">DW55*Inputs!$H$14</f>
        <v>3305.83342951875</v>
      </c>
      <c r="DY55" s="84" t="n">
        <f aca="false">DW55-DX55</f>
        <v>13223.333718075</v>
      </c>
      <c r="DZ55" s="133" t="n">
        <f aca="false">DL55+$D55*Inputs!$H$13</f>
        <v>15920.5662263122</v>
      </c>
      <c r="EA55" s="84" t="n">
        <f aca="false">MIN(DX55,DZ55)</f>
        <v>3305.83342951875</v>
      </c>
      <c r="EB55" s="84" t="n">
        <f aca="false">DZ55-EA55</f>
        <v>12614.7327967935</v>
      </c>
      <c r="EC55" s="84" t="n">
        <f aca="false">DO55+$G55*(DZ55+DO55)</f>
        <v>0</v>
      </c>
      <c r="ED55" s="84" t="n">
        <f aca="false">MIN(DX55-EA55,EC55)</f>
        <v>0</v>
      </c>
      <c r="EE55" s="84" t="n">
        <f aca="false">EC55-ED55</f>
        <v>0</v>
      </c>
      <c r="EF55" s="84" t="n">
        <f aca="false">IF($H55=1,MIN(DX55-EA55-ED55,MAX(0,$F55/(1-$F55)*(DT55+ED55)-DU55)),0)</f>
        <v>0</v>
      </c>
      <c r="EG55" s="84" t="n">
        <f aca="false">DX55-EA55-ED55-EF55</f>
        <v>0</v>
      </c>
      <c r="EH55" s="84" t="n">
        <f aca="false">EA55+ED55+(1-$F55)*EG55</f>
        <v>3305.83342951875</v>
      </c>
      <c r="EI55" s="84" t="n">
        <f aca="false">EF55+$F55*EG55</f>
        <v>0</v>
      </c>
      <c r="EJ55" s="84" t="n">
        <f aca="false">DT55+ED55+(1-$F55)*EG55</f>
        <v>0</v>
      </c>
      <c r="EK55" s="84" t="n">
        <f aca="false">DU55+EI55</f>
        <v>0</v>
      </c>
      <c r="EL55" s="133" t="n">
        <f aca="false">DY55+$D55*Inputs!$I$13-$D55*$E55</f>
        <v>12953.333718075</v>
      </c>
      <c r="EM55" s="84" t="n">
        <f aca="false">EL55*(1+$I55)</f>
        <v>13341.9337296172</v>
      </c>
      <c r="EN55" s="133" t="n">
        <f aca="false">EM55*Inputs!$I$14</f>
        <v>2668.38674592345</v>
      </c>
      <c r="EO55" s="84" t="n">
        <f aca="false">EM55-EN55</f>
        <v>10673.5469836938</v>
      </c>
      <c r="EP55" s="133" t="n">
        <f aca="false">EB55+$D55*Inputs!$I$13</f>
        <v>12614.7327967935</v>
      </c>
      <c r="EQ55" s="84" t="n">
        <f aca="false">MIN(EN55,EP55)</f>
        <v>2668.38674592345</v>
      </c>
      <c r="ER55" s="84" t="n">
        <f aca="false">EP55-EQ55</f>
        <v>9946.34605087001</v>
      </c>
      <c r="ES55" s="84" t="n">
        <f aca="false">EE55+$G55*(EP55+EE55)</f>
        <v>0</v>
      </c>
      <c r="ET55" s="84" t="n">
        <f aca="false">MIN(EN55-EQ55,ES55)</f>
        <v>0</v>
      </c>
      <c r="EU55" s="84" t="n">
        <f aca="false">ES55-ET55</f>
        <v>0</v>
      </c>
      <c r="EV55" s="84" t="n">
        <f aca="false">IF($H55=1,MIN(EN55-EQ55-ET55,MAX(0,$F55/(1-$F55)*(EJ55+ET55)-EK55)),0)</f>
        <v>0</v>
      </c>
      <c r="EW55" s="84" t="n">
        <f aca="false">EN55-EQ55-ET55-EV55</f>
        <v>0</v>
      </c>
      <c r="EX55" s="84" t="n">
        <f aca="false">EQ55+ET55+(1-$F55)*EW55</f>
        <v>2668.38674592345</v>
      </c>
      <c r="EY55" s="84" t="n">
        <f aca="false">EV55+$F55*EW55</f>
        <v>0</v>
      </c>
      <c r="EZ55" s="84" t="n">
        <f aca="false">EJ55+ET55+(1-$F55)*EW55</f>
        <v>0</v>
      </c>
      <c r="FA55" s="84" t="n">
        <f aca="false">EK55+EY55</f>
        <v>0</v>
      </c>
      <c r="FB55" s="133" t="n">
        <f aca="false">EO55+$D55*Inputs!$J$13-$D55*$E55</f>
        <v>10403.5469836938</v>
      </c>
      <c r="FC55" s="84" t="n">
        <f aca="false">FB55*(1+$I55)</f>
        <v>10715.6533932046</v>
      </c>
      <c r="FD55" s="133" t="n">
        <f aca="false">FC55*Inputs!$J$14</f>
        <v>2143.13067864092</v>
      </c>
      <c r="FE55" s="84" t="n">
        <f aca="false">FC55-FD55</f>
        <v>8572.52271456369</v>
      </c>
      <c r="FF55" s="133" t="n">
        <f aca="false">ER55+$D55*Inputs!$J$13</f>
        <v>9946.34605087001</v>
      </c>
      <c r="FG55" s="84" t="n">
        <f aca="false">MIN(FD55,FF55)</f>
        <v>2143.13067864092</v>
      </c>
      <c r="FH55" s="84" t="n">
        <f aca="false">FF55-FG55</f>
        <v>7803.21537222908</v>
      </c>
      <c r="FI55" s="84" t="n">
        <f aca="false">EU55+$G55*(FF55+EU55)</f>
        <v>0</v>
      </c>
      <c r="FJ55" s="84" t="n">
        <f aca="false">MIN(FD55-FG55,FI55)</f>
        <v>0</v>
      </c>
      <c r="FK55" s="84" t="n">
        <f aca="false">FI55-FJ55</f>
        <v>0</v>
      </c>
      <c r="FL55" s="84" t="n">
        <f aca="false">IF($H55=1,MIN(FD55-FG55-FJ55,MAX(0,$F55/(1-$F55)*(EZ55+FJ55)-FA55)),0)</f>
        <v>0</v>
      </c>
      <c r="FM55" s="84" t="n">
        <f aca="false">FD55-FG55-FJ55-FL55</f>
        <v>0</v>
      </c>
      <c r="FN55" s="84" t="n">
        <f aca="false">FG55+FJ55+(1-$F55)*FM55</f>
        <v>2143.13067864092</v>
      </c>
      <c r="FO55" s="84" t="n">
        <f aca="false">FL55+$F55*FM55</f>
        <v>0</v>
      </c>
      <c r="FP55" s="84" t="n">
        <f aca="false">EZ55+FJ55+(1-$F55)*FM55</f>
        <v>0</v>
      </c>
      <c r="FQ55" s="84" t="n">
        <f aca="false">FA55+FO55</f>
        <v>0</v>
      </c>
      <c r="FR55" s="133" t="n">
        <f aca="false">FE55+$D55*Inputs!$K$13-$D55*$E55</f>
        <v>8302.52271456369</v>
      </c>
      <c r="FS55" s="84" t="n">
        <f aca="false">FR55*(1+$I55)</f>
        <v>8551.5983960006</v>
      </c>
      <c r="FT55" s="133" t="n">
        <f aca="false">FS55*Inputs!$K$14</f>
        <v>1710.31967920012</v>
      </c>
      <c r="FU55" s="84" t="n">
        <f aca="false">FS55-FT55</f>
        <v>6841.27871680048</v>
      </c>
      <c r="FV55" s="133" t="n">
        <f aca="false">FH55+$D55*Inputs!$K$13</f>
        <v>7803.21537222908</v>
      </c>
      <c r="FW55" s="84" t="n">
        <f aca="false">MIN(FT55,FV55)</f>
        <v>1710.31967920012</v>
      </c>
      <c r="FX55" s="84" t="n">
        <f aca="false">FV55-FW55</f>
        <v>6092.89569302896</v>
      </c>
      <c r="FY55" s="84" t="n">
        <f aca="false">FK55+$G55*(FV55+FK55)</f>
        <v>0</v>
      </c>
      <c r="FZ55" s="84" t="n">
        <f aca="false">MIN(FT55-FW55,FY55)</f>
        <v>0</v>
      </c>
      <c r="GA55" s="84" t="n">
        <f aca="false">FY55-FZ55</f>
        <v>0</v>
      </c>
      <c r="GB55" s="84" t="n">
        <f aca="false">IF($H55=1,MIN(FT55-FW55-FZ55,MAX(0,$F55/(1-$F55)*(FP55+FZ55)-FQ55)),0)</f>
        <v>0</v>
      </c>
      <c r="GC55" s="84" t="n">
        <f aca="false">FT55-FW55-FZ55-GB55</f>
        <v>0</v>
      </c>
      <c r="GD55" s="84" t="n">
        <f aca="false">FW55+FZ55+(1-$F55)*GC55</f>
        <v>1710.31967920012</v>
      </c>
      <c r="GE55" s="84" t="n">
        <f aca="false">GB55+$F55*GC55</f>
        <v>0</v>
      </c>
      <c r="GF55" s="84" t="n">
        <f aca="false">FP55+FZ55+(1-$F55)*GC55</f>
        <v>0</v>
      </c>
      <c r="GG55" s="84" t="n">
        <f aca="false">FQ55+GE55</f>
        <v>0</v>
      </c>
      <c r="GH55" s="133" t="n">
        <f aca="false">FU55+$D55*Inputs!$L$13-$D55*$E55</f>
        <v>6571.27871680048</v>
      </c>
      <c r="GI55" s="84" t="n">
        <f aca="false">GH55*(1+$I55)</f>
        <v>6768.41707830449</v>
      </c>
      <c r="GJ55" s="133" t="n">
        <f aca="false">GI55*Inputs!$L$14</f>
        <v>6768.41707830449</v>
      </c>
      <c r="GK55" s="84" t="n">
        <f aca="false">GI55-GJ55</f>
        <v>0</v>
      </c>
      <c r="GL55" s="133" t="n">
        <f aca="false">FX55+$D55*Inputs!$L$13</f>
        <v>6092.89569302896</v>
      </c>
      <c r="GM55" s="84" t="n">
        <f aca="false">MIN(GJ55,GL55)</f>
        <v>6092.89569302896</v>
      </c>
      <c r="GN55" s="84" t="n">
        <f aca="false">GL55-GM55</f>
        <v>0</v>
      </c>
      <c r="GO55" s="84" t="n">
        <f aca="false">GA55+$G55*(GL55+GA55)</f>
        <v>0</v>
      </c>
      <c r="GP55" s="84" t="n">
        <f aca="false">MIN(GJ55-GM55,GO55)</f>
        <v>0</v>
      </c>
      <c r="GQ55" s="84" t="n">
        <f aca="false">GO55-GP55</f>
        <v>0</v>
      </c>
      <c r="GR55" s="84" t="n">
        <f aca="false">IF($H55=1,MIN(GJ55-GM55-GP55,MAX(0,$F55/(1-$F55)*(GF55+GP55)-GG55)),0)</f>
        <v>0</v>
      </c>
      <c r="GS55" s="84" t="n">
        <f aca="false">GJ55-GM55-GP55-GR55</f>
        <v>675.521385275528</v>
      </c>
      <c r="GT55" s="84" t="n">
        <f aca="false">GM55+GP55+(1-$F55)*GS55</f>
        <v>6633.31280124939</v>
      </c>
      <c r="GU55" s="84" t="n">
        <f aca="false">GR55+$F55*GS55</f>
        <v>135.104277055106</v>
      </c>
      <c r="GV55" s="84" t="n">
        <f aca="false">GF55+GP55+(1-$F55)*GS55</f>
        <v>540.417108220422</v>
      </c>
      <c r="GW55" s="84" t="n">
        <f aca="false">GG55+GU55</f>
        <v>135.104277055106</v>
      </c>
    </row>
    <row r="56" customFormat="false" ht="15" hidden="false" customHeight="false" outlineLevel="0" collapsed="false">
      <c r="A56" s="5" t="s">
        <v>637</v>
      </c>
      <c r="B56" s="5" t="s">
        <v>638</v>
      </c>
      <c r="C56" s="135" t="n">
        <v>4</v>
      </c>
      <c r="D56" s="47" t="n">
        <f aca="false">Inputs!$C$6</f>
        <v>20000</v>
      </c>
      <c r="E56" s="35" t="n">
        <f aca="false">Inputs!$C$19</f>
        <v>0.0135</v>
      </c>
      <c r="F56" s="36" t="n">
        <f aca="false">Inputs!$C$20</f>
        <v>0.2</v>
      </c>
      <c r="G56" s="30" t="n">
        <v>0</v>
      </c>
      <c r="H56" s="27" t="n">
        <v>0</v>
      </c>
      <c r="I56" s="132" t="n">
        <f aca="false">Inputs!$C$38+$C56*Inputs!$C$39</f>
        <v>0.04</v>
      </c>
      <c r="J56" s="36" t="n">
        <f aca="false">Inputs!$C$9</f>
        <v>0.15</v>
      </c>
      <c r="K56" s="89" t="n">
        <f aca="false">IRR(W56:AG56,0.1)</f>
        <v>0.0132120392593603</v>
      </c>
      <c r="L56" s="45" t="n">
        <f aca="false">W56+NPV($J56,X56:AG56)</f>
        <v>-7794.53754019669</v>
      </c>
      <c r="M56" s="45" t="n">
        <f aca="false">SUM(BF56,BV56,CL56,DB56,DR56,EH56,EX56,FN56,GD56,GT56)</f>
        <v>21550.0650383712</v>
      </c>
      <c r="N56" s="43" t="n">
        <f aca="false">IF($D56*SUM(Inputs!$C$13:$L$13)=0,0,M56/($D56*SUM(Inputs!$C$13:$L$13)))</f>
        <v>1.07750325191856</v>
      </c>
      <c r="O56" s="42" t="n">
        <f aca="false">$D56*$E56*COLUMNS(Inputs!$C$13:$L$13)</f>
        <v>2700</v>
      </c>
      <c r="P56" s="45" t="n">
        <f aca="false">SUM(BG56,BW56,CM56,DC56,DS56,EI56,EY56,FO56,GE56,GU56)</f>
        <v>387.516259592795</v>
      </c>
      <c r="Q56" s="42" t="n">
        <f aca="false">PV($J56,COLUMNS(Inputs!$C$13:$L$13),-$D56*$E56,0,1)</f>
        <v>1558.32765832774</v>
      </c>
      <c r="R56" s="45" t="n">
        <f aca="false">NPV($J56,BG56,BW56,CM56,DC56,DS56,EI56,EY56,FO56,GE56,GU56)</f>
        <v>95.7880927448898</v>
      </c>
      <c r="S56" s="45" t="n">
        <f aca="false">Q56+R56</f>
        <v>1654.11575107263</v>
      </c>
      <c r="T56" s="32" t="n">
        <f aca="false">IF(S56=0,0,Q56/S56)</f>
        <v>0.942091058208729</v>
      </c>
      <c r="U56" s="45" t="n">
        <f aca="false">ROUND(ABS(GK56)+ABS(SUM(AV56,BL56,CB56,CR56,DH56,DX56,EN56,FD56,FT56,GJ56)-M56-P56)+ABS(S56-(AH56+NPV($J56,AI56:AR56))),6)</f>
        <v>0</v>
      </c>
      <c r="W56" s="133" t="n">
        <f aca="false">-$D56*Inputs!$C$13</f>
        <v>-4000</v>
      </c>
      <c r="X56" s="133" t="n">
        <f aca="false">BF56-$D56*Inputs!$D$13</f>
        <v>-4000</v>
      </c>
      <c r="Y56" s="133" t="n">
        <f aca="false">BV56-$D56*Inputs!$E$13</f>
        <v>-4000</v>
      </c>
      <c r="Z56" s="133" t="n">
        <f aca="false">CL56-$D56*Inputs!$F$13</f>
        <v>-4000</v>
      </c>
      <c r="AA56" s="133" t="n">
        <f aca="false">DB56-$D56*Inputs!$G$13</f>
        <v>-4000</v>
      </c>
      <c r="AB56" s="133" t="n">
        <f aca="false">DR56-$D56*Inputs!$H$13</f>
        <v>4202.1996949504</v>
      </c>
      <c r="AC56" s="133" t="n">
        <f aca="false">EH56-$D56*Inputs!$I$13</f>
        <v>3440.07014619873</v>
      </c>
      <c r="AD56" s="133" t="n">
        <f aca="false">EX56-$D56*Inputs!$J$13</f>
        <v>2805.97836163735</v>
      </c>
      <c r="AE56" s="133" t="n">
        <f aca="false">FN56-$D56*Inputs!$K$13</f>
        <v>2278.41399688227</v>
      </c>
      <c r="AF56" s="133" t="n">
        <f aca="false">GD56-$D56*Inputs!$L$13</f>
        <v>1839.48044540605</v>
      </c>
      <c r="AG56" s="84" t="n">
        <f aca="false">GT56</f>
        <v>6983.92239329638</v>
      </c>
      <c r="AH56" s="84" t="n">
        <f aca="false">$D56*$E56</f>
        <v>270</v>
      </c>
      <c r="AI56" s="84" t="n">
        <f aca="false">BG56+$D56*$E56</f>
        <v>270</v>
      </c>
      <c r="AJ56" s="84" t="n">
        <f aca="false">BW56+$D56*$E56</f>
        <v>270</v>
      </c>
      <c r="AK56" s="84" t="n">
        <f aca="false">CM56+$D56*$E56</f>
        <v>270</v>
      </c>
      <c r="AL56" s="84" t="n">
        <f aca="false">DC56+$D56*$E56</f>
        <v>270</v>
      </c>
      <c r="AM56" s="84" t="n">
        <f aca="false">DS56+$D56*$E56</f>
        <v>270</v>
      </c>
      <c r="AN56" s="84" t="n">
        <f aca="false">EI56+$D56*$E56</f>
        <v>270</v>
      </c>
      <c r="AO56" s="84" t="n">
        <f aca="false">EY56+$D56*$E56</f>
        <v>270</v>
      </c>
      <c r="AP56" s="84" t="n">
        <f aca="false">FO56+$D56*$E56</f>
        <v>270</v>
      </c>
      <c r="AQ56" s="84" t="n">
        <f aca="false">GE56+$D56*$E56</f>
        <v>270</v>
      </c>
      <c r="AR56" s="84" t="n">
        <f aca="false">GU56</f>
        <v>387.516259592795</v>
      </c>
      <c r="AT56" s="133" t="n">
        <f aca="false">$D56*Inputs!$C$13-$D56*$E56</f>
        <v>3730</v>
      </c>
      <c r="AU56" s="84" t="n">
        <f aca="false">AT56*(1+$I56)</f>
        <v>3879.2</v>
      </c>
      <c r="AV56" s="133" t="n">
        <f aca="false">AU56*Inputs!$C$14</f>
        <v>0</v>
      </c>
      <c r="AW56" s="84" t="n">
        <f aca="false">AU56-AV56</f>
        <v>3879.2</v>
      </c>
      <c r="AX56" s="133" t="n">
        <f aca="false">$D56*Inputs!$C$13</f>
        <v>4000</v>
      </c>
      <c r="AY56" s="84" t="n">
        <f aca="false">MIN(AV56,AX56)</f>
        <v>0</v>
      </c>
      <c r="AZ56" s="84" t="n">
        <f aca="false">AX56-AY56</f>
        <v>4000</v>
      </c>
      <c r="BA56" s="84" t="n">
        <f aca="false">$G56*AX56</f>
        <v>0</v>
      </c>
      <c r="BB56" s="84" t="n">
        <f aca="false">MIN(AV56-AY56,BA56)</f>
        <v>0</v>
      </c>
      <c r="BC56" s="84" t="n">
        <f aca="false">BA56-BB56</f>
        <v>0</v>
      </c>
      <c r="BD56" s="84" t="n">
        <f aca="false">IF($H56=1,MIN(AV56-AY56-BB56,MAX(0,$F56/(1-$F56)*BB56)),0)</f>
        <v>0</v>
      </c>
      <c r="BE56" s="84" t="n">
        <f aca="false">AV56-AY56-BB56-BD56</f>
        <v>0</v>
      </c>
      <c r="BF56" s="84" t="n">
        <f aca="false">AY56+BB56+(1-$F56)*BE56</f>
        <v>0</v>
      </c>
      <c r="BG56" s="84" t="n">
        <f aca="false">BD56+$F56*BE56</f>
        <v>0</v>
      </c>
      <c r="BH56" s="84" t="n">
        <f aca="false">BB56+(1-$F56)*BE56</f>
        <v>0</v>
      </c>
      <c r="BI56" s="84" t="n">
        <f aca="false">BG56</f>
        <v>0</v>
      </c>
      <c r="BJ56" s="133" t="n">
        <f aca="false">AW56+$D56*Inputs!$D$13-$D56*$E56</f>
        <v>7609.2</v>
      </c>
      <c r="BK56" s="84" t="n">
        <f aca="false">BJ56*(1+$I56)</f>
        <v>7913.568</v>
      </c>
      <c r="BL56" s="133" t="n">
        <f aca="false">BK56*Inputs!$D$14</f>
        <v>0</v>
      </c>
      <c r="BM56" s="84" t="n">
        <f aca="false">BK56-BL56</f>
        <v>7913.568</v>
      </c>
      <c r="BN56" s="133" t="n">
        <f aca="false">AZ56+$D56*Inputs!$D$13</f>
        <v>8000</v>
      </c>
      <c r="BO56" s="84" t="n">
        <f aca="false">MIN(BL56,BN56)</f>
        <v>0</v>
      </c>
      <c r="BP56" s="84" t="n">
        <f aca="false">BN56-BO56</f>
        <v>8000</v>
      </c>
      <c r="BQ56" s="84" t="n">
        <f aca="false">BC56+$G56*(BN56+BC56)</f>
        <v>0</v>
      </c>
      <c r="BR56" s="84" t="n">
        <f aca="false">MIN(BL56-BO56,BQ56)</f>
        <v>0</v>
      </c>
      <c r="BS56" s="84" t="n">
        <f aca="false">BQ56-BR56</f>
        <v>0</v>
      </c>
      <c r="BT56" s="84" t="n">
        <f aca="false">IF($H56=1,MIN(BL56-BO56-BR56,MAX(0,$F56/(1-$F56)*(BH56+BR56)-BI56)),0)</f>
        <v>0</v>
      </c>
      <c r="BU56" s="84" t="n">
        <f aca="false">BL56-BO56-BR56-BT56</f>
        <v>0</v>
      </c>
      <c r="BV56" s="84" t="n">
        <f aca="false">BO56+BR56+(1-$F56)*BU56</f>
        <v>0</v>
      </c>
      <c r="BW56" s="84" t="n">
        <f aca="false">BT56+$F56*BU56</f>
        <v>0</v>
      </c>
      <c r="BX56" s="84" t="n">
        <f aca="false">BH56+BR56+(1-$F56)*BU56</f>
        <v>0</v>
      </c>
      <c r="BY56" s="84" t="n">
        <f aca="false">BI56+BW56</f>
        <v>0</v>
      </c>
      <c r="BZ56" s="133" t="n">
        <f aca="false">BM56+$D56*Inputs!$E$13-$D56*$E56</f>
        <v>11643.568</v>
      </c>
      <c r="CA56" s="84" t="n">
        <f aca="false">BZ56*(1+$I56)</f>
        <v>12109.31072</v>
      </c>
      <c r="CB56" s="133" t="n">
        <f aca="false">CA56*Inputs!$E$14</f>
        <v>0</v>
      </c>
      <c r="CC56" s="84" t="n">
        <f aca="false">CA56-CB56</f>
        <v>12109.31072</v>
      </c>
      <c r="CD56" s="133" t="n">
        <f aca="false">BP56+$D56*Inputs!$E$13</f>
        <v>12000</v>
      </c>
      <c r="CE56" s="84" t="n">
        <f aca="false">MIN(CB56,CD56)</f>
        <v>0</v>
      </c>
      <c r="CF56" s="84" t="n">
        <f aca="false">CD56-CE56</f>
        <v>12000</v>
      </c>
      <c r="CG56" s="84" t="n">
        <f aca="false">BS56+$G56*(CD56+BS56)</f>
        <v>0</v>
      </c>
      <c r="CH56" s="84" t="n">
        <f aca="false">MIN(CB56-CE56,CG56)</f>
        <v>0</v>
      </c>
      <c r="CI56" s="84" t="n">
        <f aca="false">CG56-CH56</f>
        <v>0</v>
      </c>
      <c r="CJ56" s="84" t="n">
        <f aca="false">IF($H56=1,MIN(CB56-CE56-CH56,MAX(0,$F56/(1-$F56)*(BX56+CH56)-BY56)),0)</f>
        <v>0</v>
      </c>
      <c r="CK56" s="84" t="n">
        <f aca="false">CB56-CE56-CH56-CJ56</f>
        <v>0</v>
      </c>
      <c r="CL56" s="84" t="n">
        <f aca="false">CE56+CH56+(1-$F56)*CK56</f>
        <v>0</v>
      </c>
      <c r="CM56" s="84" t="n">
        <f aca="false">CJ56+$F56*CK56</f>
        <v>0</v>
      </c>
      <c r="CN56" s="84" t="n">
        <f aca="false">BX56+CH56+(1-$F56)*CK56</f>
        <v>0</v>
      </c>
      <c r="CO56" s="84" t="n">
        <f aca="false">BY56+CM56</f>
        <v>0</v>
      </c>
      <c r="CP56" s="133" t="n">
        <f aca="false">CC56+$D56*Inputs!$F$13-$D56*$E56</f>
        <v>15839.31072</v>
      </c>
      <c r="CQ56" s="84" t="n">
        <f aca="false">CP56*(1+$I56)</f>
        <v>16472.8831488</v>
      </c>
      <c r="CR56" s="133" t="n">
        <f aca="false">CQ56*Inputs!$F$14</f>
        <v>0</v>
      </c>
      <c r="CS56" s="84" t="n">
        <f aca="false">CQ56-CR56</f>
        <v>16472.8831488</v>
      </c>
      <c r="CT56" s="133" t="n">
        <f aca="false">CF56+$D56*Inputs!$F$13</f>
        <v>16000</v>
      </c>
      <c r="CU56" s="84" t="n">
        <f aca="false">MIN(CR56,CT56)</f>
        <v>0</v>
      </c>
      <c r="CV56" s="84" t="n">
        <f aca="false">CT56-CU56</f>
        <v>16000</v>
      </c>
      <c r="CW56" s="84" t="n">
        <f aca="false">CI56+$G56*(CT56+CI56)</f>
        <v>0</v>
      </c>
      <c r="CX56" s="84" t="n">
        <f aca="false">MIN(CR56-CU56,CW56)</f>
        <v>0</v>
      </c>
      <c r="CY56" s="84" t="n">
        <f aca="false">CW56-CX56</f>
        <v>0</v>
      </c>
      <c r="CZ56" s="84" t="n">
        <f aca="false">IF($H56=1,MIN(CR56-CU56-CX56,MAX(0,$F56/(1-$F56)*(CN56+CX56)-CO56)),0)</f>
        <v>0</v>
      </c>
      <c r="DA56" s="84" t="n">
        <f aca="false">CR56-CU56-CX56-CZ56</f>
        <v>0</v>
      </c>
      <c r="DB56" s="84" t="n">
        <f aca="false">CU56+CX56+(1-$F56)*DA56</f>
        <v>0</v>
      </c>
      <c r="DC56" s="84" t="n">
        <f aca="false">CZ56+$F56*DA56</f>
        <v>0</v>
      </c>
      <c r="DD56" s="84" t="n">
        <f aca="false">CN56+CX56+(1-$F56)*DA56</f>
        <v>0</v>
      </c>
      <c r="DE56" s="84" t="n">
        <f aca="false">CO56+DC56</f>
        <v>0</v>
      </c>
      <c r="DF56" s="133" t="n">
        <f aca="false">CS56+$D56*Inputs!$G$13-$D56*$E56</f>
        <v>20202.8831488</v>
      </c>
      <c r="DG56" s="84" t="n">
        <f aca="false">DF56*(1+$I56)</f>
        <v>21010.998474752</v>
      </c>
      <c r="DH56" s="133" t="n">
        <f aca="false">DG56*Inputs!$G$14</f>
        <v>4202.1996949504</v>
      </c>
      <c r="DI56" s="84" t="n">
        <f aca="false">DG56-DH56</f>
        <v>16808.7987798016</v>
      </c>
      <c r="DJ56" s="133" t="n">
        <f aca="false">CV56+$D56*Inputs!$G$13</f>
        <v>20000</v>
      </c>
      <c r="DK56" s="84" t="n">
        <f aca="false">MIN(DH56,DJ56)</f>
        <v>4202.1996949504</v>
      </c>
      <c r="DL56" s="84" t="n">
        <f aca="false">DJ56-DK56</f>
        <v>15797.8003050496</v>
      </c>
      <c r="DM56" s="84" t="n">
        <f aca="false">CY56+$G56*(DJ56+CY56)</f>
        <v>0</v>
      </c>
      <c r="DN56" s="84" t="n">
        <f aca="false">MIN(DH56-DK56,DM56)</f>
        <v>0</v>
      </c>
      <c r="DO56" s="84" t="n">
        <f aca="false">DM56-DN56</f>
        <v>0</v>
      </c>
      <c r="DP56" s="84" t="n">
        <f aca="false">IF($H56=1,MIN(DH56-DK56-DN56,MAX(0,$F56/(1-$F56)*(DD56+DN56)-DE56)),0)</f>
        <v>0</v>
      </c>
      <c r="DQ56" s="84" t="n">
        <f aca="false">DH56-DK56-DN56-DP56</f>
        <v>0</v>
      </c>
      <c r="DR56" s="84" t="n">
        <f aca="false">DK56+DN56+(1-$F56)*DQ56</f>
        <v>4202.1996949504</v>
      </c>
      <c r="DS56" s="84" t="n">
        <f aca="false">DP56+$F56*DQ56</f>
        <v>0</v>
      </c>
      <c r="DT56" s="84" t="n">
        <f aca="false">DD56+DN56+(1-$F56)*DQ56</f>
        <v>0</v>
      </c>
      <c r="DU56" s="84" t="n">
        <f aca="false">DE56+DS56</f>
        <v>0</v>
      </c>
      <c r="DV56" s="133" t="n">
        <f aca="false">DI56+$D56*Inputs!$H$13-$D56*$E56</f>
        <v>16538.7987798016</v>
      </c>
      <c r="DW56" s="84" t="n">
        <f aca="false">DV56*(1+$I56)</f>
        <v>17200.3507309937</v>
      </c>
      <c r="DX56" s="133" t="n">
        <f aca="false">DW56*Inputs!$H$14</f>
        <v>3440.07014619873</v>
      </c>
      <c r="DY56" s="84" t="n">
        <f aca="false">DW56-DX56</f>
        <v>13760.2805847949</v>
      </c>
      <c r="DZ56" s="133" t="n">
        <f aca="false">DL56+$D56*Inputs!$H$13</f>
        <v>15797.8003050496</v>
      </c>
      <c r="EA56" s="84" t="n">
        <f aca="false">MIN(DX56,DZ56)</f>
        <v>3440.07014619873</v>
      </c>
      <c r="EB56" s="84" t="n">
        <f aca="false">DZ56-EA56</f>
        <v>12357.7301588509</v>
      </c>
      <c r="EC56" s="84" t="n">
        <f aca="false">DO56+$G56*(DZ56+DO56)</f>
        <v>0</v>
      </c>
      <c r="ED56" s="84" t="n">
        <f aca="false">MIN(DX56-EA56,EC56)</f>
        <v>0</v>
      </c>
      <c r="EE56" s="84" t="n">
        <f aca="false">EC56-ED56</f>
        <v>0</v>
      </c>
      <c r="EF56" s="84" t="n">
        <f aca="false">IF($H56=1,MIN(DX56-EA56-ED56,MAX(0,$F56/(1-$F56)*(DT56+ED56)-DU56)),0)</f>
        <v>0</v>
      </c>
      <c r="EG56" s="84" t="n">
        <f aca="false">DX56-EA56-ED56-EF56</f>
        <v>0</v>
      </c>
      <c r="EH56" s="84" t="n">
        <f aca="false">EA56+ED56+(1-$F56)*EG56</f>
        <v>3440.07014619873</v>
      </c>
      <c r="EI56" s="84" t="n">
        <f aca="false">EF56+$F56*EG56</f>
        <v>0</v>
      </c>
      <c r="EJ56" s="84" t="n">
        <f aca="false">DT56+ED56+(1-$F56)*EG56</f>
        <v>0</v>
      </c>
      <c r="EK56" s="84" t="n">
        <f aca="false">DU56+EI56</f>
        <v>0</v>
      </c>
      <c r="EL56" s="133" t="n">
        <f aca="false">DY56+$D56*Inputs!$I$13-$D56*$E56</f>
        <v>13490.2805847949</v>
      </c>
      <c r="EM56" s="84" t="n">
        <f aca="false">EL56*(1+$I56)</f>
        <v>14029.8918081867</v>
      </c>
      <c r="EN56" s="133" t="n">
        <f aca="false">EM56*Inputs!$I$14</f>
        <v>2805.97836163735</v>
      </c>
      <c r="EO56" s="84" t="n">
        <f aca="false">EM56-EN56</f>
        <v>11223.9134465494</v>
      </c>
      <c r="EP56" s="133" t="n">
        <f aca="false">EB56+$D56*Inputs!$I$13</f>
        <v>12357.7301588509</v>
      </c>
      <c r="EQ56" s="84" t="n">
        <f aca="false">MIN(EN56,EP56)</f>
        <v>2805.97836163735</v>
      </c>
      <c r="ER56" s="84" t="n">
        <f aca="false">EP56-EQ56</f>
        <v>9551.75179721352</v>
      </c>
      <c r="ES56" s="84" t="n">
        <f aca="false">EE56+$G56*(EP56+EE56)</f>
        <v>0</v>
      </c>
      <c r="ET56" s="84" t="n">
        <f aca="false">MIN(EN56-EQ56,ES56)</f>
        <v>0</v>
      </c>
      <c r="EU56" s="84" t="n">
        <f aca="false">ES56-ET56</f>
        <v>0</v>
      </c>
      <c r="EV56" s="84" t="n">
        <f aca="false">IF($H56=1,MIN(EN56-EQ56-ET56,MAX(0,$F56/(1-$F56)*(EJ56+ET56)-EK56)),0)</f>
        <v>0</v>
      </c>
      <c r="EW56" s="84" t="n">
        <f aca="false">EN56-EQ56-ET56-EV56</f>
        <v>0</v>
      </c>
      <c r="EX56" s="84" t="n">
        <f aca="false">EQ56+ET56+(1-$F56)*EW56</f>
        <v>2805.97836163735</v>
      </c>
      <c r="EY56" s="84" t="n">
        <f aca="false">EV56+$F56*EW56</f>
        <v>0</v>
      </c>
      <c r="EZ56" s="84" t="n">
        <f aca="false">EJ56+ET56+(1-$F56)*EW56</f>
        <v>0</v>
      </c>
      <c r="FA56" s="84" t="n">
        <f aca="false">EK56+EY56</f>
        <v>0</v>
      </c>
      <c r="FB56" s="133" t="n">
        <f aca="false">EO56+$D56*Inputs!$J$13-$D56*$E56</f>
        <v>10953.9134465494</v>
      </c>
      <c r="FC56" s="84" t="n">
        <f aca="false">FB56*(1+$I56)</f>
        <v>11392.0699844114</v>
      </c>
      <c r="FD56" s="133" t="n">
        <f aca="false">FC56*Inputs!$J$14</f>
        <v>2278.41399688227</v>
      </c>
      <c r="FE56" s="84" t="n">
        <f aca="false">FC56-FD56</f>
        <v>9113.65598752909</v>
      </c>
      <c r="FF56" s="133" t="n">
        <f aca="false">ER56+$D56*Inputs!$J$13</f>
        <v>9551.75179721352</v>
      </c>
      <c r="FG56" s="84" t="n">
        <f aca="false">MIN(FD56,FF56)</f>
        <v>2278.41399688227</v>
      </c>
      <c r="FH56" s="84" t="n">
        <f aca="false">FF56-FG56</f>
        <v>7273.33780033125</v>
      </c>
      <c r="FI56" s="84" t="n">
        <f aca="false">EU56+$G56*(FF56+EU56)</f>
        <v>0</v>
      </c>
      <c r="FJ56" s="84" t="n">
        <f aca="false">MIN(FD56-FG56,FI56)</f>
        <v>0</v>
      </c>
      <c r="FK56" s="84" t="n">
        <f aca="false">FI56-FJ56</f>
        <v>0</v>
      </c>
      <c r="FL56" s="84" t="n">
        <f aca="false">IF($H56=1,MIN(FD56-FG56-FJ56,MAX(0,$F56/(1-$F56)*(EZ56+FJ56)-FA56)),0)</f>
        <v>0</v>
      </c>
      <c r="FM56" s="84" t="n">
        <f aca="false">FD56-FG56-FJ56-FL56</f>
        <v>0</v>
      </c>
      <c r="FN56" s="84" t="n">
        <f aca="false">FG56+FJ56+(1-$F56)*FM56</f>
        <v>2278.41399688227</v>
      </c>
      <c r="FO56" s="84" t="n">
        <f aca="false">FL56+$F56*FM56</f>
        <v>0</v>
      </c>
      <c r="FP56" s="84" t="n">
        <f aca="false">EZ56+FJ56+(1-$F56)*FM56</f>
        <v>0</v>
      </c>
      <c r="FQ56" s="84" t="n">
        <f aca="false">FA56+FO56</f>
        <v>0</v>
      </c>
      <c r="FR56" s="133" t="n">
        <f aca="false">FE56+$D56*Inputs!$K$13-$D56*$E56</f>
        <v>8843.65598752909</v>
      </c>
      <c r="FS56" s="84" t="n">
        <f aca="false">FR56*(1+$I56)</f>
        <v>9197.40222703025</v>
      </c>
      <c r="FT56" s="133" t="n">
        <f aca="false">FS56*Inputs!$K$14</f>
        <v>1839.48044540605</v>
      </c>
      <c r="FU56" s="84" t="n">
        <f aca="false">FS56-FT56</f>
        <v>7357.9217816242</v>
      </c>
      <c r="FV56" s="133" t="n">
        <f aca="false">FH56+$D56*Inputs!$K$13</f>
        <v>7273.33780033125</v>
      </c>
      <c r="FW56" s="84" t="n">
        <f aca="false">MIN(FT56,FV56)</f>
        <v>1839.48044540605</v>
      </c>
      <c r="FX56" s="84" t="n">
        <f aca="false">FV56-FW56</f>
        <v>5433.8573549252</v>
      </c>
      <c r="FY56" s="84" t="n">
        <f aca="false">FK56+$G56*(FV56+FK56)</f>
        <v>0</v>
      </c>
      <c r="FZ56" s="84" t="n">
        <f aca="false">MIN(FT56-FW56,FY56)</f>
        <v>0</v>
      </c>
      <c r="GA56" s="84" t="n">
        <f aca="false">FY56-FZ56</f>
        <v>0</v>
      </c>
      <c r="GB56" s="84" t="n">
        <f aca="false">IF($H56=1,MIN(FT56-FW56-FZ56,MAX(0,$F56/(1-$F56)*(FP56+FZ56)-FQ56)),0)</f>
        <v>0</v>
      </c>
      <c r="GC56" s="84" t="n">
        <f aca="false">FT56-FW56-FZ56-GB56</f>
        <v>0</v>
      </c>
      <c r="GD56" s="84" t="n">
        <f aca="false">FW56+FZ56+(1-$F56)*GC56</f>
        <v>1839.48044540605</v>
      </c>
      <c r="GE56" s="84" t="n">
        <f aca="false">GB56+$F56*GC56</f>
        <v>0</v>
      </c>
      <c r="GF56" s="84" t="n">
        <f aca="false">FP56+FZ56+(1-$F56)*GC56</f>
        <v>0</v>
      </c>
      <c r="GG56" s="84" t="n">
        <f aca="false">FQ56+GE56</f>
        <v>0</v>
      </c>
      <c r="GH56" s="133" t="n">
        <f aca="false">FU56+$D56*Inputs!$L$13-$D56*$E56</f>
        <v>7087.9217816242</v>
      </c>
      <c r="GI56" s="84" t="n">
        <f aca="false">GH56*(1+$I56)</f>
        <v>7371.43865288917</v>
      </c>
      <c r="GJ56" s="133" t="n">
        <f aca="false">GI56*Inputs!$L$14</f>
        <v>7371.43865288917</v>
      </c>
      <c r="GK56" s="84" t="n">
        <f aca="false">GI56-GJ56</f>
        <v>0</v>
      </c>
      <c r="GL56" s="133" t="n">
        <f aca="false">FX56+$D56*Inputs!$L$13</f>
        <v>5433.8573549252</v>
      </c>
      <c r="GM56" s="84" t="n">
        <f aca="false">MIN(GJ56,GL56)</f>
        <v>5433.8573549252</v>
      </c>
      <c r="GN56" s="84" t="n">
        <f aca="false">GL56-GM56</f>
        <v>0</v>
      </c>
      <c r="GO56" s="84" t="n">
        <f aca="false">GA56+$G56*(GL56+GA56)</f>
        <v>0</v>
      </c>
      <c r="GP56" s="84" t="n">
        <f aca="false">MIN(GJ56-GM56,GO56)</f>
        <v>0</v>
      </c>
      <c r="GQ56" s="84" t="n">
        <f aca="false">GO56-GP56</f>
        <v>0</v>
      </c>
      <c r="GR56" s="84" t="n">
        <f aca="false">IF($H56=1,MIN(GJ56-GM56-GP56,MAX(0,$F56/(1-$F56)*(GF56+GP56)-GG56)),0)</f>
        <v>0</v>
      </c>
      <c r="GS56" s="84" t="n">
        <f aca="false">GJ56-GM56-GP56-GR56</f>
        <v>1937.58129796398</v>
      </c>
      <c r="GT56" s="84" t="n">
        <f aca="false">GM56+GP56+(1-$F56)*GS56</f>
        <v>6983.92239329638</v>
      </c>
      <c r="GU56" s="84" t="n">
        <f aca="false">GR56+$F56*GS56</f>
        <v>387.516259592795</v>
      </c>
      <c r="GV56" s="84" t="n">
        <f aca="false">GF56+GP56+(1-$F56)*GS56</f>
        <v>1550.06503837118</v>
      </c>
      <c r="GW56" s="84" t="n">
        <f aca="false">GG56+GU56</f>
        <v>387.516259592795</v>
      </c>
    </row>
    <row r="57" customFormat="false" ht="15" hidden="false" customHeight="false" outlineLevel="0" collapsed="false">
      <c r="A57" s="5" t="s">
        <v>637</v>
      </c>
      <c r="B57" s="5" t="s">
        <v>638</v>
      </c>
      <c r="C57" s="135" t="n">
        <v>5</v>
      </c>
      <c r="D57" s="47" t="n">
        <f aca="false">Inputs!$C$6</f>
        <v>20000</v>
      </c>
      <c r="E57" s="35" t="n">
        <f aca="false">Inputs!$C$19</f>
        <v>0.0135</v>
      </c>
      <c r="F57" s="36" t="n">
        <f aca="false">Inputs!$C$20</f>
        <v>0.2</v>
      </c>
      <c r="G57" s="30" t="n">
        <v>0</v>
      </c>
      <c r="H57" s="27" t="n">
        <v>0</v>
      </c>
      <c r="I57" s="132" t="n">
        <f aca="false">Inputs!$C$38+$C57*Inputs!$C$39</f>
        <v>0.05</v>
      </c>
      <c r="J57" s="36" t="n">
        <f aca="false">Inputs!$C$9</f>
        <v>0.15</v>
      </c>
      <c r="K57" s="89" t="n">
        <f aca="false">IRR(W57:AG57,0.1)</f>
        <v>0.0218360808430908</v>
      </c>
      <c r="L57" s="45" t="n">
        <f aca="false">W57+NPV($J57,X57:AG57)</f>
        <v>-7437.94686876774</v>
      </c>
      <c r="M57" s="45" t="n">
        <f aca="false">SUM(BF57,BV57,CL57,DB57,DR57,EH57,EX57,FN57,GD57,GT57)</f>
        <v>22619.6897302315</v>
      </c>
      <c r="N57" s="43" t="n">
        <f aca="false">IF($D57*SUM(Inputs!$C$13:$L$13)=0,0,M57/($D57*SUM(Inputs!$C$13:$L$13)))</f>
        <v>1.13098448651158</v>
      </c>
      <c r="O57" s="42" t="n">
        <f aca="false">$D57*$E57*COLUMNS(Inputs!$C$13:$L$13)</f>
        <v>2700</v>
      </c>
      <c r="P57" s="45" t="n">
        <f aca="false">SUM(BG57,BW57,CM57,DC57,DS57,EI57,EY57,FO57,GE57,GU57)</f>
        <v>654.922432557875</v>
      </c>
      <c r="Q57" s="42" t="n">
        <f aca="false">PV($J57,COLUMNS(Inputs!$C$13:$L$13),-$D57*$E57,0,1)</f>
        <v>1558.32765832774</v>
      </c>
      <c r="R57" s="45" t="n">
        <f aca="false">NPV($J57,BG57,BW57,CM57,DC57,DS57,EI57,EY57,FO57,GE57,GU57)</f>
        <v>161.886809024436</v>
      </c>
      <c r="S57" s="45" t="n">
        <f aca="false">Q57+R57</f>
        <v>1720.21446735217</v>
      </c>
      <c r="T57" s="32" t="n">
        <f aca="false">IF(S57=0,0,Q57/S57)</f>
        <v>0.905891496614594</v>
      </c>
      <c r="U57" s="45" t="n">
        <f aca="false">ROUND(ABS(GK57)+ABS(SUM(AV57,BL57,CB57,CR57,DH57,DX57,EN57,FD57,FT57,GJ57)-M57-P57)+ABS(S57-(AH57+NPV($J57,AI57:AR57))),6)</f>
        <v>0</v>
      </c>
      <c r="W57" s="133" t="n">
        <f aca="false">-$D57*Inputs!$C$13</f>
        <v>-4000</v>
      </c>
      <c r="X57" s="133" t="n">
        <f aca="false">BF57-$D57*Inputs!$D$13</f>
        <v>-4000</v>
      </c>
      <c r="Y57" s="133" t="n">
        <f aca="false">BV57-$D57*Inputs!$E$13</f>
        <v>-4000</v>
      </c>
      <c r="Z57" s="133" t="n">
        <f aca="false">CL57-$D57*Inputs!$F$13</f>
        <v>-4000</v>
      </c>
      <c r="AA57" s="133" t="n">
        <f aca="false">DB57-$D57*Inputs!$G$13</f>
        <v>-4000</v>
      </c>
      <c r="AB57" s="133" t="n">
        <f aca="false">DR57-$D57*Inputs!$H$13</f>
        <v>4328.226958125</v>
      </c>
      <c r="AC57" s="133" t="n">
        <f aca="false">EH57-$D57*Inputs!$I$13</f>
        <v>3579.010644825</v>
      </c>
      <c r="AD57" s="133" t="n">
        <f aca="false">EX57-$D57*Inputs!$J$13</f>
        <v>2949.668941653</v>
      </c>
      <c r="AE57" s="133" t="n">
        <f aca="false">FN57-$D57*Inputs!$K$13</f>
        <v>2421.02191098852</v>
      </c>
      <c r="AF57" s="133" t="n">
        <f aca="false">GD57-$D57*Inputs!$L$13</f>
        <v>1976.95840523036</v>
      </c>
      <c r="AG57" s="84" t="n">
        <f aca="false">GT57</f>
        <v>7364.80286940962</v>
      </c>
      <c r="AH57" s="84" t="n">
        <f aca="false">$D57*$E57</f>
        <v>270</v>
      </c>
      <c r="AI57" s="84" t="n">
        <f aca="false">BG57+$D57*$E57</f>
        <v>270</v>
      </c>
      <c r="AJ57" s="84" t="n">
        <f aca="false">BW57+$D57*$E57</f>
        <v>270</v>
      </c>
      <c r="AK57" s="84" t="n">
        <f aca="false">CM57+$D57*$E57</f>
        <v>270</v>
      </c>
      <c r="AL57" s="84" t="n">
        <f aca="false">DC57+$D57*$E57</f>
        <v>270</v>
      </c>
      <c r="AM57" s="84" t="n">
        <f aca="false">DS57+$D57*$E57</f>
        <v>270</v>
      </c>
      <c r="AN57" s="84" t="n">
        <f aca="false">EI57+$D57*$E57</f>
        <v>270</v>
      </c>
      <c r="AO57" s="84" t="n">
        <f aca="false">EY57+$D57*$E57</f>
        <v>270</v>
      </c>
      <c r="AP57" s="84" t="n">
        <f aca="false">FO57+$D57*$E57</f>
        <v>270</v>
      </c>
      <c r="AQ57" s="84" t="n">
        <f aca="false">GE57+$D57*$E57</f>
        <v>270</v>
      </c>
      <c r="AR57" s="84" t="n">
        <f aca="false">GU57</f>
        <v>654.922432557875</v>
      </c>
      <c r="AT57" s="133" t="n">
        <f aca="false">$D57*Inputs!$C$13-$D57*$E57</f>
        <v>3730</v>
      </c>
      <c r="AU57" s="84" t="n">
        <f aca="false">AT57*(1+$I57)</f>
        <v>3916.5</v>
      </c>
      <c r="AV57" s="133" t="n">
        <f aca="false">AU57*Inputs!$C$14</f>
        <v>0</v>
      </c>
      <c r="AW57" s="84" t="n">
        <f aca="false">AU57-AV57</f>
        <v>3916.5</v>
      </c>
      <c r="AX57" s="133" t="n">
        <f aca="false">$D57*Inputs!$C$13</f>
        <v>4000</v>
      </c>
      <c r="AY57" s="84" t="n">
        <f aca="false">MIN(AV57,AX57)</f>
        <v>0</v>
      </c>
      <c r="AZ57" s="84" t="n">
        <f aca="false">AX57-AY57</f>
        <v>4000</v>
      </c>
      <c r="BA57" s="84" t="n">
        <f aca="false">$G57*AX57</f>
        <v>0</v>
      </c>
      <c r="BB57" s="84" t="n">
        <f aca="false">MIN(AV57-AY57,BA57)</f>
        <v>0</v>
      </c>
      <c r="BC57" s="84" t="n">
        <f aca="false">BA57-BB57</f>
        <v>0</v>
      </c>
      <c r="BD57" s="84" t="n">
        <f aca="false">IF($H57=1,MIN(AV57-AY57-BB57,MAX(0,$F57/(1-$F57)*BB57)),0)</f>
        <v>0</v>
      </c>
      <c r="BE57" s="84" t="n">
        <f aca="false">AV57-AY57-BB57-BD57</f>
        <v>0</v>
      </c>
      <c r="BF57" s="84" t="n">
        <f aca="false">AY57+BB57+(1-$F57)*BE57</f>
        <v>0</v>
      </c>
      <c r="BG57" s="84" t="n">
        <f aca="false">BD57+$F57*BE57</f>
        <v>0</v>
      </c>
      <c r="BH57" s="84" t="n">
        <f aca="false">BB57+(1-$F57)*BE57</f>
        <v>0</v>
      </c>
      <c r="BI57" s="84" t="n">
        <f aca="false">BG57</f>
        <v>0</v>
      </c>
      <c r="BJ57" s="133" t="n">
        <f aca="false">AW57+$D57*Inputs!$D$13-$D57*$E57</f>
        <v>7646.5</v>
      </c>
      <c r="BK57" s="84" t="n">
        <f aca="false">BJ57*(1+$I57)</f>
        <v>8028.825</v>
      </c>
      <c r="BL57" s="133" t="n">
        <f aca="false">BK57*Inputs!$D$14</f>
        <v>0</v>
      </c>
      <c r="BM57" s="84" t="n">
        <f aca="false">BK57-BL57</f>
        <v>8028.825</v>
      </c>
      <c r="BN57" s="133" t="n">
        <f aca="false">AZ57+$D57*Inputs!$D$13</f>
        <v>8000</v>
      </c>
      <c r="BO57" s="84" t="n">
        <f aca="false">MIN(BL57,BN57)</f>
        <v>0</v>
      </c>
      <c r="BP57" s="84" t="n">
        <f aca="false">BN57-BO57</f>
        <v>8000</v>
      </c>
      <c r="BQ57" s="84" t="n">
        <f aca="false">BC57+$G57*(BN57+BC57)</f>
        <v>0</v>
      </c>
      <c r="BR57" s="84" t="n">
        <f aca="false">MIN(BL57-BO57,BQ57)</f>
        <v>0</v>
      </c>
      <c r="BS57" s="84" t="n">
        <f aca="false">BQ57-BR57</f>
        <v>0</v>
      </c>
      <c r="BT57" s="84" t="n">
        <f aca="false">IF($H57=1,MIN(BL57-BO57-BR57,MAX(0,$F57/(1-$F57)*(BH57+BR57)-BI57)),0)</f>
        <v>0</v>
      </c>
      <c r="BU57" s="84" t="n">
        <f aca="false">BL57-BO57-BR57-BT57</f>
        <v>0</v>
      </c>
      <c r="BV57" s="84" t="n">
        <f aca="false">BO57+BR57+(1-$F57)*BU57</f>
        <v>0</v>
      </c>
      <c r="BW57" s="84" t="n">
        <f aca="false">BT57+$F57*BU57</f>
        <v>0</v>
      </c>
      <c r="BX57" s="84" t="n">
        <f aca="false">BH57+BR57+(1-$F57)*BU57</f>
        <v>0</v>
      </c>
      <c r="BY57" s="84" t="n">
        <f aca="false">BI57+BW57</f>
        <v>0</v>
      </c>
      <c r="BZ57" s="133" t="n">
        <f aca="false">BM57+$D57*Inputs!$E$13-$D57*$E57</f>
        <v>11758.825</v>
      </c>
      <c r="CA57" s="84" t="n">
        <f aca="false">BZ57*(1+$I57)</f>
        <v>12346.76625</v>
      </c>
      <c r="CB57" s="133" t="n">
        <f aca="false">CA57*Inputs!$E$14</f>
        <v>0</v>
      </c>
      <c r="CC57" s="84" t="n">
        <f aca="false">CA57-CB57</f>
        <v>12346.76625</v>
      </c>
      <c r="CD57" s="133" t="n">
        <f aca="false">BP57+$D57*Inputs!$E$13</f>
        <v>12000</v>
      </c>
      <c r="CE57" s="84" t="n">
        <f aca="false">MIN(CB57,CD57)</f>
        <v>0</v>
      </c>
      <c r="CF57" s="84" t="n">
        <f aca="false">CD57-CE57</f>
        <v>12000</v>
      </c>
      <c r="CG57" s="84" t="n">
        <f aca="false">BS57+$G57*(CD57+BS57)</f>
        <v>0</v>
      </c>
      <c r="CH57" s="84" t="n">
        <f aca="false">MIN(CB57-CE57,CG57)</f>
        <v>0</v>
      </c>
      <c r="CI57" s="84" t="n">
        <f aca="false">CG57-CH57</f>
        <v>0</v>
      </c>
      <c r="CJ57" s="84" t="n">
        <f aca="false">IF($H57=1,MIN(CB57-CE57-CH57,MAX(0,$F57/(1-$F57)*(BX57+CH57)-BY57)),0)</f>
        <v>0</v>
      </c>
      <c r="CK57" s="84" t="n">
        <f aca="false">CB57-CE57-CH57-CJ57</f>
        <v>0</v>
      </c>
      <c r="CL57" s="84" t="n">
        <f aca="false">CE57+CH57+(1-$F57)*CK57</f>
        <v>0</v>
      </c>
      <c r="CM57" s="84" t="n">
        <f aca="false">CJ57+$F57*CK57</f>
        <v>0</v>
      </c>
      <c r="CN57" s="84" t="n">
        <f aca="false">BX57+CH57+(1-$F57)*CK57</f>
        <v>0</v>
      </c>
      <c r="CO57" s="84" t="n">
        <f aca="false">BY57+CM57</f>
        <v>0</v>
      </c>
      <c r="CP57" s="133" t="n">
        <f aca="false">CC57+$D57*Inputs!$F$13-$D57*$E57</f>
        <v>16076.76625</v>
      </c>
      <c r="CQ57" s="84" t="n">
        <f aca="false">CP57*(1+$I57)</f>
        <v>16880.6045625</v>
      </c>
      <c r="CR57" s="133" t="n">
        <f aca="false">CQ57*Inputs!$F$14</f>
        <v>0</v>
      </c>
      <c r="CS57" s="84" t="n">
        <f aca="false">CQ57-CR57</f>
        <v>16880.6045625</v>
      </c>
      <c r="CT57" s="133" t="n">
        <f aca="false">CF57+$D57*Inputs!$F$13</f>
        <v>16000</v>
      </c>
      <c r="CU57" s="84" t="n">
        <f aca="false">MIN(CR57,CT57)</f>
        <v>0</v>
      </c>
      <c r="CV57" s="84" t="n">
        <f aca="false">CT57-CU57</f>
        <v>16000</v>
      </c>
      <c r="CW57" s="84" t="n">
        <f aca="false">CI57+$G57*(CT57+CI57)</f>
        <v>0</v>
      </c>
      <c r="CX57" s="84" t="n">
        <f aca="false">MIN(CR57-CU57,CW57)</f>
        <v>0</v>
      </c>
      <c r="CY57" s="84" t="n">
        <f aca="false">CW57-CX57</f>
        <v>0</v>
      </c>
      <c r="CZ57" s="84" t="n">
        <f aca="false">IF($H57=1,MIN(CR57-CU57-CX57,MAX(0,$F57/(1-$F57)*(CN57+CX57)-CO57)),0)</f>
        <v>0</v>
      </c>
      <c r="DA57" s="84" t="n">
        <f aca="false">CR57-CU57-CX57-CZ57</f>
        <v>0</v>
      </c>
      <c r="DB57" s="84" t="n">
        <f aca="false">CU57+CX57+(1-$F57)*DA57</f>
        <v>0</v>
      </c>
      <c r="DC57" s="84" t="n">
        <f aca="false">CZ57+$F57*DA57</f>
        <v>0</v>
      </c>
      <c r="DD57" s="84" t="n">
        <f aca="false">CN57+CX57+(1-$F57)*DA57</f>
        <v>0</v>
      </c>
      <c r="DE57" s="84" t="n">
        <f aca="false">CO57+DC57</f>
        <v>0</v>
      </c>
      <c r="DF57" s="133" t="n">
        <f aca="false">CS57+$D57*Inputs!$G$13-$D57*$E57</f>
        <v>20610.6045625</v>
      </c>
      <c r="DG57" s="84" t="n">
        <f aca="false">DF57*(1+$I57)</f>
        <v>21641.134790625</v>
      </c>
      <c r="DH57" s="133" t="n">
        <f aca="false">DG57*Inputs!$G$14</f>
        <v>4328.226958125</v>
      </c>
      <c r="DI57" s="84" t="n">
        <f aca="false">DG57-DH57</f>
        <v>17312.9078325</v>
      </c>
      <c r="DJ57" s="133" t="n">
        <f aca="false">CV57+$D57*Inputs!$G$13</f>
        <v>20000</v>
      </c>
      <c r="DK57" s="84" t="n">
        <f aca="false">MIN(DH57,DJ57)</f>
        <v>4328.226958125</v>
      </c>
      <c r="DL57" s="84" t="n">
        <f aca="false">DJ57-DK57</f>
        <v>15671.773041875</v>
      </c>
      <c r="DM57" s="84" t="n">
        <f aca="false">CY57+$G57*(DJ57+CY57)</f>
        <v>0</v>
      </c>
      <c r="DN57" s="84" t="n">
        <f aca="false">MIN(DH57-DK57,DM57)</f>
        <v>0</v>
      </c>
      <c r="DO57" s="84" t="n">
        <f aca="false">DM57-DN57</f>
        <v>0</v>
      </c>
      <c r="DP57" s="84" t="n">
        <f aca="false">IF($H57=1,MIN(DH57-DK57-DN57,MAX(0,$F57/(1-$F57)*(DD57+DN57)-DE57)),0)</f>
        <v>0</v>
      </c>
      <c r="DQ57" s="84" t="n">
        <f aca="false">DH57-DK57-DN57-DP57</f>
        <v>0</v>
      </c>
      <c r="DR57" s="84" t="n">
        <f aca="false">DK57+DN57+(1-$F57)*DQ57</f>
        <v>4328.226958125</v>
      </c>
      <c r="DS57" s="84" t="n">
        <f aca="false">DP57+$F57*DQ57</f>
        <v>0</v>
      </c>
      <c r="DT57" s="84" t="n">
        <f aca="false">DD57+DN57+(1-$F57)*DQ57</f>
        <v>0</v>
      </c>
      <c r="DU57" s="84" t="n">
        <f aca="false">DE57+DS57</f>
        <v>0</v>
      </c>
      <c r="DV57" s="133" t="n">
        <f aca="false">DI57+$D57*Inputs!$H$13-$D57*$E57</f>
        <v>17042.9078325</v>
      </c>
      <c r="DW57" s="84" t="n">
        <f aca="false">DV57*(1+$I57)</f>
        <v>17895.053224125</v>
      </c>
      <c r="DX57" s="133" t="n">
        <f aca="false">DW57*Inputs!$H$14</f>
        <v>3579.010644825</v>
      </c>
      <c r="DY57" s="84" t="n">
        <f aca="false">DW57-DX57</f>
        <v>14316.0425793</v>
      </c>
      <c r="DZ57" s="133" t="n">
        <f aca="false">DL57+$D57*Inputs!$H$13</f>
        <v>15671.773041875</v>
      </c>
      <c r="EA57" s="84" t="n">
        <f aca="false">MIN(DX57,DZ57)</f>
        <v>3579.010644825</v>
      </c>
      <c r="EB57" s="84" t="n">
        <f aca="false">DZ57-EA57</f>
        <v>12092.76239705</v>
      </c>
      <c r="EC57" s="84" t="n">
        <f aca="false">DO57+$G57*(DZ57+DO57)</f>
        <v>0</v>
      </c>
      <c r="ED57" s="84" t="n">
        <f aca="false">MIN(DX57-EA57,EC57)</f>
        <v>0</v>
      </c>
      <c r="EE57" s="84" t="n">
        <f aca="false">EC57-ED57</f>
        <v>0</v>
      </c>
      <c r="EF57" s="84" t="n">
        <f aca="false">IF($H57=1,MIN(DX57-EA57-ED57,MAX(0,$F57/(1-$F57)*(DT57+ED57)-DU57)),0)</f>
        <v>0</v>
      </c>
      <c r="EG57" s="84" t="n">
        <f aca="false">DX57-EA57-ED57-EF57</f>
        <v>0</v>
      </c>
      <c r="EH57" s="84" t="n">
        <f aca="false">EA57+ED57+(1-$F57)*EG57</f>
        <v>3579.010644825</v>
      </c>
      <c r="EI57" s="84" t="n">
        <f aca="false">EF57+$F57*EG57</f>
        <v>0</v>
      </c>
      <c r="EJ57" s="84" t="n">
        <f aca="false">DT57+ED57+(1-$F57)*EG57</f>
        <v>0</v>
      </c>
      <c r="EK57" s="84" t="n">
        <f aca="false">DU57+EI57</f>
        <v>0</v>
      </c>
      <c r="EL57" s="133" t="n">
        <f aca="false">DY57+$D57*Inputs!$I$13-$D57*$E57</f>
        <v>14046.0425793</v>
      </c>
      <c r="EM57" s="84" t="n">
        <f aca="false">EL57*(1+$I57)</f>
        <v>14748.344708265</v>
      </c>
      <c r="EN57" s="133" t="n">
        <f aca="false">EM57*Inputs!$I$14</f>
        <v>2949.668941653</v>
      </c>
      <c r="EO57" s="84" t="n">
        <f aca="false">EM57-EN57</f>
        <v>11798.675766612</v>
      </c>
      <c r="EP57" s="133" t="n">
        <f aca="false">EB57+$D57*Inputs!$I$13</f>
        <v>12092.76239705</v>
      </c>
      <c r="EQ57" s="84" t="n">
        <f aca="false">MIN(EN57,EP57)</f>
        <v>2949.668941653</v>
      </c>
      <c r="ER57" s="84" t="n">
        <f aca="false">EP57-EQ57</f>
        <v>9143.093455397</v>
      </c>
      <c r="ES57" s="84" t="n">
        <f aca="false">EE57+$G57*(EP57+EE57)</f>
        <v>0</v>
      </c>
      <c r="ET57" s="84" t="n">
        <f aca="false">MIN(EN57-EQ57,ES57)</f>
        <v>0</v>
      </c>
      <c r="EU57" s="84" t="n">
        <f aca="false">ES57-ET57</f>
        <v>0</v>
      </c>
      <c r="EV57" s="84" t="n">
        <f aca="false">IF($H57=1,MIN(EN57-EQ57-ET57,MAX(0,$F57/(1-$F57)*(EJ57+ET57)-EK57)),0)</f>
        <v>0</v>
      </c>
      <c r="EW57" s="84" t="n">
        <f aca="false">EN57-EQ57-ET57-EV57</f>
        <v>0</v>
      </c>
      <c r="EX57" s="84" t="n">
        <f aca="false">EQ57+ET57+(1-$F57)*EW57</f>
        <v>2949.668941653</v>
      </c>
      <c r="EY57" s="84" t="n">
        <f aca="false">EV57+$F57*EW57</f>
        <v>0</v>
      </c>
      <c r="EZ57" s="84" t="n">
        <f aca="false">EJ57+ET57+(1-$F57)*EW57</f>
        <v>0</v>
      </c>
      <c r="FA57" s="84" t="n">
        <f aca="false">EK57+EY57</f>
        <v>0</v>
      </c>
      <c r="FB57" s="133" t="n">
        <f aca="false">EO57+$D57*Inputs!$J$13-$D57*$E57</f>
        <v>11528.675766612</v>
      </c>
      <c r="FC57" s="84" t="n">
        <f aca="false">FB57*(1+$I57)</f>
        <v>12105.1095549426</v>
      </c>
      <c r="FD57" s="133" t="n">
        <f aca="false">FC57*Inputs!$J$14</f>
        <v>2421.02191098852</v>
      </c>
      <c r="FE57" s="84" t="n">
        <f aca="false">FC57-FD57</f>
        <v>9684.08764395408</v>
      </c>
      <c r="FF57" s="133" t="n">
        <f aca="false">ER57+$D57*Inputs!$J$13</f>
        <v>9143.093455397</v>
      </c>
      <c r="FG57" s="84" t="n">
        <f aca="false">MIN(FD57,FF57)</f>
        <v>2421.02191098852</v>
      </c>
      <c r="FH57" s="84" t="n">
        <f aca="false">FF57-FG57</f>
        <v>6722.07154440848</v>
      </c>
      <c r="FI57" s="84" t="n">
        <f aca="false">EU57+$G57*(FF57+EU57)</f>
        <v>0</v>
      </c>
      <c r="FJ57" s="84" t="n">
        <f aca="false">MIN(FD57-FG57,FI57)</f>
        <v>0</v>
      </c>
      <c r="FK57" s="84" t="n">
        <f aca="false">FI57-FJ57</f>
        <v>0</v>
      </c>
      <c r="FL57" s="84" t="n">
        <f aca="false">IF($H57=1,MIN(FD57-FG57-FJ57,MAX(0,$F57/(1-$F57)*(EZ57+FJ57)-FA57)),0)</f>
        <v>0</v>
      </c>
      <c r="FM57" s="84" t="n">
        <f aca="false">FD57-FG57-FJ57-FL57</f>
        <v>0</v>
      </c>
      <c r="FN57" s="84" t="n">
        <f aca="false">FG57+FJ57+(1-$F57)*FM57</f>
        <v>2421.02191098852</v>
      </c>
      <c r="FO57" s="84" t="n">
        <f aca="false">FL57+$F57*FM57</f>
        <v>0</v>
      </c>
      <c r="FP57" s="84" t="n">
        <f aca="false">EZ57+FJ57+(1-$F57)*FM57</f>
        <v>0</v>
      </c>
      <c r="FQ57" s="84" t="n">
        <f aca="false">FA57+FO57</f>
        <v>0</v>
      </c>
      <c r="FR57" s="133" t="n">
        <f aca="false">FE57+$D57*Inputs!$K$13-$D57*$E57</f>
        <v>9414.08764395408</v>
      </c>
      <c r="FS57" s="84" t="n">
        <f aca="false">FR57*(1+$I57)</f>
        <v>9884.79202615178</v>
      </c>
      <c r="FT57" s="133" t="n">
        <f aca="false">FS57*Inputs!$K$14</f>
        <v>1976.95840523036</v>
      </c>
      <c r="FU57" s="84" t="n">
        <f aca="false">FS57-FT57</f>
        <v>7907.83362092143</v>
      </c>
      <c r="FV57" s="133" t="n">
        <f aca="false">FH57+$D57*Inputs!$K$13</f>
        <v>6722.07154440848</v>
      </c>
      <c r="FW57" s="84" t="n">
        <f aca="false">MIN(FT57,FV57)</f>
        <v>1976.95840523036</v>
      </c>
      <c r="FX57" s="84" t="n">
        <f aca="false">FV57-FW57</f>
        <v>4745.11313917812</v>
      </c>
      <c r="FY57" s="84" t="n">
        <f aca="false">FK57+$G57*(FV57+FK57)</f>
        <v>0</v>
      </c>
      <c r="FZ57" s="84" t="n">
        <f aca="false">MIN(FT57-FW57,FY57)</f>
        <v>0</v>
      </c>
      <c r="GA57" s="84" t="n">
        <f aca="false">FY57-FZ57</f>
        <v>0</v>
      </c>
      <c r="GB57" s="84" t="n">
        <f aca="false">IF($H57=1,MIN(FT57-FW57-FZ57,MAX(0,$F57/(1-$F57)*(FP57+FZ57)-FQ57)),0)</f>
        <v>0</v>
      </c>
      <c r="GC57" s="84" t="n">
        <f aca="false">FT57-FW57-FZ57-GB57</f>
        <v>0</v>
      </c>
      <c r="GD57" s="84" t="n">
        <f aca="false">FW57+FZ57+(1-$F57)*GC57</f>
        <v>1976.95840523036</v>
      </c>
      <c r="GE57" s="84" t="n">
        <f aca="false">GB57+$F57*GC57</f>
        <v>0</v>
      </c>
      <c r="GF57" s="84" t="n">
        <f aca="false">FP57+FZ57+(1-$F57)*GC57</f>
        <v>0</v>
      </c>
      <c r="GG57" s="84" t="n">
        <f aca="false">FQ57+GE57</f>
        <v>0</v>
      </c>
      <c r="GH57" s="133" t="n">
        <f aca="false">FU57+$D57*Inputs!$L$13-$D57*$E57</f>
        <v>7637.83362092143</v>
      </c>
      <c r="GI57" s="84" t="n">
        <f aca="false">GH57*(1+$I57)</f>
        <v>8019.7253019675</v>
      </c>
      <c r="GJ57" s="133" t="n">
        <f aca="false">GI57*Inputs!$L$14</f>
        <v>8019.7253019675</v>
      </c>
      <c r="GK57" s="84" t="n">
        <f aca="false">GI57-GJ57</f>
        <v>0</v>
      </c>
      <c r="GL57" s="133" t="n">
        <f aca="false">FX57+$D57*Inputs!$L$13</f>
        <v>4745.11313917812</v>
      </c>
      <c r="GM57" s="84" t="n">
        <f aca="false">MIN(GJ57,GL57)</f>
        <v>4745.11313917812</v>
      </c>
      <c r="GN57" s="84" t="n">
        <f aca="false">GL57-GM57</f>
        <v>0</v>
      </c>
      <c r="GO57" s="84" t="n">
        <f aca="false">GA57+$G57*(GL57+GA57)</f>
        <v>0</v>
      </c>
      <c r="GP57" s="84" t="n">
        <f aca="false">MIN(GJ57-GM57,GO57)</f>
        <v>0</v>
      </c>
      <c r="GQ57" s="84" t="n">
        <f aca="false">GO57-GP57</f>
        <v>0</v>
      </c>
      <c r="GR57" s="84" t="n">
        <f aca="false">IF($H57=1,MIN(GJ57-GM57-GP57,MAX(0,$F57/(1-$F57)*(GF57+GP57)-GG57)),0)</f>
        <v>0</v>
      </c>
      <c r="GS57" s="84" t="n">
        <f aca="false">GJ57-GM57-GP57-GR57</f>
        <v>3274.61216278938</v>
      </c>
      <c r="GT57" s="84" t="n">
        <f aca="false">GM57+GP57+(1-$F57)*GS57</f>
        <v>7364.80286940962</v>
      </c>
      <c r="GU57" s="84" t="n">
        <f aca="false">GR57+$F57*GS57</f>
        <v>654.922432557875</v>
      </c>
      <c r="GV57" s="84" t="n">
        <f aca="false">GF57+GP57+(1-$F57)*GS57</f>
        <v>2619.6897302315</v>
      </c>
      <c r="GW57" s="84" t="n">
        <f aca="false">GG57+GU57</f>
        <v>654.922432557875</v>
      </c>
    </row>
    <row r="58" customFormat="false" ht="15" hidden="false" customHeight="false" outlineLevel="0" collapsed="false">
      <c r="A58" s="5" t="s">
        <v>637</v>
      </c>
      <c r="B58" s="5" t="s">
        <v>638</v>
      </c>
      <c r="C58" s="135" t="n">
        <v>6</v>
      </c>
      <c r="D58" s="47" t="n">
        <f aca="false">Inputs!$C$6</f>
        <v>20000</v>
      </c>
      <c r="E58" s="35" t="n">
        <f aca="false">Inputs!$C$19</f>
        <v>0.0135</v>
      </c>
      <c r="F58" s="36" t="n">
        <f aca="false">Inputs!$C$20</f>
        <v>0.2</v>
      </c>
      <c r="G58" s="30" t="n">
        <v>0</v>
      </c>
      <c r="H58" s="27" t="n">
        <v>0</v>
      </c>
      <c r="I58" s="132" t="n">
        <f aca="false">Inputs!$C$38+$C58*Inputs!$C$39</f>
        <v>0.06</v>
      </c>
      <c r="J58" s="36" t="n">
        <f aca="false">Inputs!$C$9</f>
        <v>0.15</v>
      </c>
      <c r="K58" s="89" t="n">
        <f aca="false">IRR(W58:AG58,0.1)</f>
        <v>0.0305713981063468</v>
      </c>
      <c r="L58" s="45" t="n">
        <f aca="false">W58+NPV($J58,X58:AG58)</f>
        <v>-7062.21346018868</v>
      </c>
      <c r="M58" s="45" t="n">
        <f aca="false">SUM(BF58,BV58,CL58,DB58,DR58,EH58,EX58,FN58,GD58,GT58)</f>
        <v>23752.6713975458</v>
      </c>
      <c r="N58" s="43" t="n">
        <f aca="false">IF($D58*SUM(Inputs!$C$13:$L$13)=0,0,M58/($D58*SUM(Inputs!$C$13:$L$13)))</f>
        <v>1.18763356987729</v>
      </c>
      <c r="O58" s="42" t="n">
        <f aca="false">$D58*$E58*COLUMNS(Inputs!$C$13:$L$13)</f>
        <v>2700</v>
      </c>
      <c r="P58" s="45" t="n">
        <f aca="false">SUM(BG58,BW58,CM58,DC58,DS58,EI58,EY58,FO58,GE58,GU58)</f>
        <v>938.167849386454</v>
      </c>
      <c r="Q58" s="42" t="n">
        <f aca="false">PV($J58,COLUMNS(Inputs!$C$13:$L$13),-$D58*$E58,0,1)</f>
        <v>1558.32765832774</v>
      </c>
      <c r="R58" s="45" t="n">
        <f aca="false">NPV($J58,BG58,BW58,CM58,DC58,DS58,EI58,EY58,FO58,GE58,GU58)</f>
        <v>231.900744143574</v>
      </c>
      <c r="S58" s="45" t="n">
        <f aca="false">Q58+R58</f>
        <v>1790.22840247131</v>
      </c>
      <c r="T58" s="32" t="n">
        <f aca="false">IF(S58=0,0,Q58/S58)</f>
        <v>0.870463040457046</v>
      </c>
      <c r="U58" s="45" t="n">
        <f aca="false">ROUND(ABS(GK58)+ABS(SUM(AV58,BL58,CB58,CR58,DH58,DX58,EN58,FD58,FT58,GJ58)-M58-P58)+ABS(S58-(AH58+NPV($J58,AI58:AR58))),6)</f>
        <v>0</v>
      </c>
      <c r="W58" s="133" t="n">
        <f aca="false">-$D58*Inputs!$C$13</f>
        <v>-4000</v>
      </c>
      <c r="X58" s="133" t="n">
        <f aca="false">BF58-$D58*Inputs!$D$13</f>
        <v>-4000</v>
      </c>
      <c r="Y58" s="133" t="n">
        <f aca="false">BV58-$D58*Inputs!$E$13</f>
        <v>-4000</v>
      </c>
      <c r="Z58" s="133" t="n">
        <f aca="false">CL58-$D58*Inputs!$F$13</f>
        <v>-4000</v>
      </c>
      <c r="AA58" s="133" t="n">
        <f aca="false">DB58-$D58*Inputs!$G$13</f>
        <v>-4000</v>
      </c>
      <c r="AB58" s="133" t="n">
        <f aca="false">DR58-$D58*Inputs!$H$13</f>
        <v>4457.5876290496</v>
      </c>
      <c r="AC58" s="133" t="n">
        <f aca="false">EH58-$D58*Inputs!$I$13</f>
        <v>3722.79430943406</v>
      </c>
      <c r="AD58" s="133" t="n">
        <f aca="false">EX58-$D58*Inputs!$J$13</f>
        <v>3099.68957440009</v>
      </c>
      <c r="AE58" s="133" t="n">
        <f aca="false">FN58-$D58*Inputs!$K$13</f>
        <v>2571.29675909127</v>
      </c>
      <c r="AF58" s="133" t="n">
        <f aca="false">GD58-$D58*Inputs!$L$13</f>
        <v>2123.2196517094</v>
      </c>
      <c r="AG58" s="84" t="n">
        <f aca="false">GT58</f>
        <v>7778.0834738614</v>
      </c>
      <c r="AH58" s="84" t="n">
        <f aca="false">$D58*$E58</f>
        <v>270</v>
      </c>
      <c r="AI58" s="84" t="n">
        <f aca="false">BG58+$D58*$E58</f>
        <v>270</v>
      </c>
      <c r="AJ58" s="84" t="n">
        <f aca="false">BW58+$D58*$E58</f>
        <v>270</v>
      </c>
      <c r="AK58" s="84" t="n">
        <f aca="false">CM58+$D58*$E58</f>
        <v>270</v>
      </c>
      <c r="AL58" s="84" t="n">
        <f aca="false">DC58+$D58*$E58</f>
        <v>270</v>
      </c>
      <c r="AM58" s="84" t="n">
        <f aca="false">DS58+$D58*$E58</f>
        <v>270</v>
      </c>
      <c r="AN58" s="84" t="n">
        <f aca="false">EI58+$D58*$E58</f>
        <v>270</v>
      </c>
      <c r="AO58" s="84" t="n">
        <f aca="false">EY58+$D58*$E58</f>
        <v>270</v>
      </c>
      <c r="AP58" s="84" t="n">
        <f aca="false">FO58+$D58*$E58</f>
        <v>270</v>
      </c>
      <c r="AQ58" s="84" t="n">
        <f aca="false">GE58+$D58*$E58</f>
        <v>270</v>
      </c>
      <c r="AR58" s="84" t="n">
        <f aca="false">GU58</f>
        <v>938.167849386454</v>
      </c>
      <c r="AT58" s="133" t="n">
        <f aca="false">$D58*Inputs!$C$13-$D58*$E58</f>
        <v>3730</v>
      </c>
      <c r="AU58" s="84" t="n">
        <f aca="false">AT58*(1+$I58)</f>
        <v>3953.8</v>
      </c>
      <c r="AV58" s="133" t="n">
        <f aca="false">AU58*Inputs!$C$14</f>
        <v>0</v>
      </c>
      <c r="AW58" s="84" t="n">
        <f aca="false">AU58-AV58</f>
        <v>3953.8</v>
      </c>
      <c r="AX58" s="133" t="n">
        <f aca="false">$D58*Inputs!$C$13</f>
        <v>4000</v>
      </c>
      <c r="AY58" s="84" t="n">
        <f aca="false">MIN(AV58,AX58)</f>
        <v>0</v>
      </c>
      <c r="AZ58" s="84" t="n">
        <f aca="false">AX58-AY58</f>
        <v>4000</v>
      </c>
      <c r="BA58" s="84" t="n">
        <f aca="false">$G58*AX58</f>
        <v>0</v>
      </c>
      <c r="BB58" s="84" t="n">
        <f aca="false">MIN(AV58-AY58,BA58)</f>
        <v>0</v>
      </c>
      <c r="BC58" s="84" t="n">
        <f aca="false">BA58-BB58</f>
        <v>0</v>
      </c>
      <c r="BD58" s="84" t="n">
        <f aca="false">IF($H58=1,MIN(AV58-AY58-BB58,MAX(0,$F58/(1-$F58)*BB58)),0)</f>
        <v>0</v>
      </c>
      <c r="BE58" s="84" t="n">
        <f aca="false">AV58-AY58-BB58-BD58</f>
        <v>0</v>
      </c>
      <c r="BF58" s="84" t="n">
        <f aca="false">AY58+BB58+(1-$F58)*BE58</f>
        <v>0</v>
      </c>
      <c r="BG58" s="84" t="n">
        <f aca="false">BD58+$F58*BE58</f>
        <v>0</v>
      </c>
      <c r="BH58" s="84" t="n">
        <f aca="false">BB58+(1-$F58)*BE58</f>
        <v>0</v>
      </c>
      <c r="BI58" s="84" t="n">
        <f aca="false">BG58</f>
        <v>0</v>
      </c>
      <c r="BJ58" s="133" t="n">
        <f aca="false">AW58+$D58*Inputs!$D$13-$D58*$E58</f>
        <v>7683.8</v>
      </c>
      <c r="BK58" s="84" t="n">
        <f aca="false">BJ58*(1+$I58)</f>
        <v>8144.828</v>
      </c>
      <c r="BL58" s="133" t="n">
        <f aca="false">BK58*Inputs!$D$14</f>
        <v>0</v>
      </c>
      <c r="BM58" s="84" t="n">
        <f aca="false">BK58-BL58</f>
        <v>8144.828</v>
      </c>
      <c r="BN58" s="133" t="n">
        <f aca="false">AZ58+$D58*Inputs!$D$13</f>
        <v>8000</v>
      </c>
      <c r="BO58" s="84" t="n">
        <f aca="false">MIN(BL58,BN58)</f>
        <v>0</v>
      </c>
      <c r="BP58" s="84" t="n">
        <f aca="false">BN58-BO58</f>
        <v>8000</v>
      </c>
      <c r="BQ58" s="84" t="n">
        <f aca="false">BC58+$G58*(BN58+BC58)</f>
        <v>0</v>
      </c>
      <c r="BR58" s="84" t="n">
        <f aca="false">MIN(BL58-BO58,BQ58)</f>
        <v>0</v>
      </c>
      <c r="BS58" s="84" t="n">
        <f aca="false">BQ58-BR58</f>
        <v>0</v>
      </c>
      <c r="BT58" s="84" t="n">
        <f aca="false">IF($H58=1,MIN(BL58-BO58-BR58,MAX(0,$F58/(1-$F58)*(BH58+BR58)-BI58)),0)</f>
        <v>0</v>
      </c>
      <c r="BU58" s="84" t="n">
        <f aca="false">BL58-BO58-BR58-BT58</f>
        <v>0</v>
      </c>
      <c r="BV58" s="84" t="n">
        <f aca="false">BO58+BR58+(1-$F58)*BU58</f>
        <v>0</v>
      </c>
      <c r="BW58" s="84" t="n">
        <f aca="false">BT58+$F58*BU58</f>
        <v>0</v>
      </c>
      <c r="BX58" s="84" t="n">
        <f aca="false">BH58+BR58+(1-$F58)*BU58</f>
        <v>0</v>
      </c>
      <c r="BY58" s="84" t="n">
        <f aca="false">BI58+BW58</f>
        <v>0</v>
      </c>
      <c r="BZ58" s="133" t="n">
        <f aca="false">BM58+$D58*Inputs!$E$13-$D58*$E58</f>
        <v>11874.828</v>
      </c>
      <c r="CA58" s="84" t="n">
        <f aca="false">BZ58*(1+$I58)</f>
        <v>12587.31768</v>
      </c>
      <c r="CB58" s="133" t="n">
        <f aca="false">CA58*Inputs!$E$14</f>
        <v>0</v>
      </c>
      <c r="CC58" s="84" t="n">
        <f aca="false">CA58-CB58</f>
        <v>12587.31768</v>
      </c>
      <c r="CD58" s="133" t="n">
        <f aca="false">BP58+$D58*Inputs!$E$13</f>
        <v>12000</v>
      </c>
      <c r="CE58" s="84" t="n">
        <f aca="false">MIN(CB58,CD58)</f>
        <v>0</v>
      </c>
      <c r="CF58" s="84" t="n">
        <f aca="false">CD58-CE58</f>
        <v>12000</v>
      </c>
      <c r="CG58" s="84" t="n">
        <f aca="false">BS58+$G58*(CD58+BS58)</f>
        <v>0</v>
      </c>
      <c r="CH58" s="84" t="n">
        <f aca="false">MIN(CB58-CE58,CG58)</f>
        <v>0</v>
      </c>
      <c r="CI58" s="84" t="n">
        <f aca="false">CG58-CH58</f>
        <v>0</v>
      </c>
      <c r="CJ58" s="84" t="n">
        <f aca="false">IF($H58=1,MIN(CB58-CE58-CH58,MAX(0,$F58/(1-$F58)*(BX58+CH58)-BY58)),0)</f>
        <v>0</v>
      </c>
      <c r="CK58" s="84" t="n">
        <f aca="false">CB58-CE58-CH58-CJ58</f>
        <v>0</v>
      </c>
      <c r="CL58" s="84" t="n">
        <f aca="false">CE58+CH58+(1-$F58)*CK58</f>
        <v>0</v>
      </c>
      <c r="CM58" s="84" t="n">
        <f aca="false">CJ58+$F58*CK58</f>
        <v>0</v>
      </c>
      <c r="CN58" s="84" t="n">
        <f aca="false">BX58+CH58+(1-$F58)*CK58</f>
        <v>0</v>
      </c>
      <c r="CO58" s="84" t="n">
        <f aca="false">BY58+CM58</f>
        <v>0</v>
      </c>
      <c r="CP58" s="133" t="n">
        <f aca="false">CC58+$D58*Inputs!$F$13-$D58*$E58</f>
        <v>16317.31768</v>
      </c>
      <c r="CQ58" s="84" t="n">
        <f aca="false">CP58*(1+$I58)</f>
        <v>17296.3567408</v>
      </c>
      <c r="CR58" s="133" t="n">
        <f aca="false">CQ58*Inputs!$F$14</f>
        <v>0</v>
      </c>
      <c r="CS58" s="84" t="n">
        <f aca="false">CQ58-CR58</f>
        <v>17296.3567408</v>
      </c>
      <c r="CT58" s="133" t="n">
        <f aca="false">CF58+$D58*Inputs!$F$13</f>
        <v>16000</v>
      </c>
      <c r="CU58" s="84" t="n">
        <f aca="false">MIN(CR58,CT58)</f>
        <v>0</v>
      </c>
      <c r="CV58" s="84" t="n">
        <f aca="false">CT58-CU58</f>
        <v>16000</v>
      </c>
      <c r="CW58" s="84" t="n">
        <f aca="false">CI58+$G58*(CT58+CI58)</f>
        <v>0</v>
      </c>
      <c r="CX58" s="84" t="n">
        <f aca="false">MIN(CR58-CU58,CW58)</f>
        <v>0</v>
      </c>
      <c r="CY58" s="84" t="n">
        <f aca="false">CW58-CX58</f>
        <v>0</v>
      </c>
      <c r="CZ58" s="84" t="n">
        <f aca="false">IF($H58=1,MIN(CR58-CU58-CX58,MAX(0,$F58/(1-$F58)*(CN58+CX58)-CO58)),0)</f>
        <v>0</v>
      </c>
      <c r="DA58" s="84" t="n">
        <f aca="false">CR58-CU58-CX58-CZ58</f>
        <v>0</v>
      </c>
      <c r="DB58" s="84" t="n">
        <f aca="false">CU58+CX58+(1-$F58)*DA58</f>
        <v>0</v>
      </c>
      <c r="DC58" s="84" t="n">
        <f aca="false">CZ58+$F58*DA58</f>
        <v>0</v>
      </c>
      <c r="DD58" s="84" t="n">
        <f aca="false">CN58+CX58+(1-$F58)*DA58</f>
        <v>0</v>
      </c>
      <c r="DE58" s="84" t="n">
        <f aca="false">CO58+DC58</f>
        <v>0</v>
      </c>
      <c r="DF58" s="133" t="n">
        <f aca="false">CS58+$D58*Inputs!$G$13-$D58*$E58</f>
        <v>21026.3567408</v>
      </c>
      <c r="DG58" s="84" t="n">
        <f aca="false">DF58*(1+$I58)</f>
        <v>22287.938145248</v>
      </c>
      <c r="DH58" s="133" t="n">
        <f aca="false">DG58*Inputs!$G$14</f>
        <v>4457.5876290496</v>
      </c>
      <c r="DI58" s="84" t="n">
        <f aca="false">DG58-DH58</f>
        <v>17830.3505161984</v>
      </c>
      <c r="DJ58" s="133" t="n">
        <f aca="false">CV58+$D58*Inputs!$G$13</f>
        <v>20000</v>
      </c>
      <c r="DK58" s="84" t="n">
        <f aca="false">MIN(DH58,DJ58)</f>
        <v>4457.5876290496</v>
      </c>
      <c r="DL58" s="84" t="n">
        <f aca="false">DJ58-DK58</f>
        <v>15542.4123709504</v>
      </c>
      <c r="DM58" s="84" t="n">
        <f aca="false">CY58+$G58*(DJ58+CY58)</f>
        <v>0</v>
      </c>
      <c r="DN58" s="84" t="n">
        <f aca="false">MIN(DH58-DK58,DM58)</f>
        <v>0</v>
      </c>
      <c r="DO58" s="84" t="n">
        <f aca="false">DM58-DN58</f>
        <v>0</v>
      </c>
      <c r="DP58" s="84" t="n">
        <f aca="false">IF($H58=1,MIN(DH58-DK58-DN58,MAX(0,$F58/(1-$F58)*(DD58+DN58)-DE58)),0)</f>
        <v>0</v>
      </c>
      <c r="DQ58" s="84" t="n">
        <f aca="false">DH58-DK58-DN58-DP58</f>
        <v>0</v>
      </c>
      <c r="DR58" s="84" t="n">
        <f aca="false">DK58+DN58+(1-$F58)*DQ58</f>
        <v>4457.5876290496</v>
      </c>
      <c r="DS58" s="84" t="n">
        <f aca="false">DP58+$F58*DQ58</f>
        <v>0</v>
      </c>
      <c r="DT58" s="84" t="n">
        <f aca="false">DD58+DN58+(1-$F58)*DQ58</f>
        <v>0</v>
      </c>
      <c r="DU58" s="84" t="n">
        <f aca="false">DE58+DS58</f>
        <v>0</v>
      </c>
      <c r="DV58" s="133" t="n">
        <f aca="false">DI58+$D58*Inputs!$H$13-$D58*$E58</f>
        <v>17560.3505161984</v>
      </c>
      <c r="DW58" s="84" t="n">
        <f aca="false">DV58*(1+$I58)</f>
        <v>18613.9715471703</v>
      </c>
      <c r="DX58" s="133" t="n">
        <f aca="false">DW58*Inputs!$H$14</f>
        <v>3722.79430943406</v>
      </c>
      <c r="DY58" s="84" t="n">
        <f aca="false">DW58-DX58</f>
        <v>14891.1772377362</v>
      </c>
      <c r="DZ58" s="133" t="n">
        <f aca="false">DL58+$D58*Inputs!$H$13</f>
        <v>15542.4123709504</v>
      </c>
      <c r="EA58" s="84" t="n">
        <f aca="false">MIN(DX58,DZ58)</f>
        <v>3722.79430943406</v>
      </c>
      <c r="EB58" s="84" t="n">
        <f aca="false">DZ58-EA58</f>
        <v>11819.6180615163</v>
      </c>
      <c r="EC58" s="84" t="n">
        <f aca="false">DO58+$G58*(DZ58+DO58)</f>
        <v>0</v>
      </c>
      <c r="ED58" s="84" t="n">
        <f aca="false">MIN(DX58-EA58,EC58)</f>
        <v>0</v>
      </c>
      <c r="EE58" s="84" t="n">
        <f aca="false">EC58-ED58</f>
        <v>0</v>
      </c>
      <c r="EF58" s="84" t="n">
        <f aca="false">IF($H58=1,MIN(DX58-EA58-ED58,MAX(0,$F58/(1-$F58)*(DT58+ED58)-DU58)),0)</f>
        <v>0</v>
      </c>
      <c r="EG58" s="84" t="n">
        <f aca="false">DX58-EA58-ED58-EF58</f>
        <v>0</v>
      </c>
      <c r="EH58" s="84" t="n">
        <f aca="false">EA58+ED58+(1-$F58)*EG58</f>
        <v>3722.79430943406</v>
      </c>
      <c r="EI58" s="84" t="n">
        <f aca="false">EF58+$F58*EG58</f>
        <v>0</v>
      </c>
      <c r="EJ58" s="84" t="n">
        <f aca="false">DT58+ED58+(1-$F58)*EG58</f>
        <v>0</v>
      </c>
      <c r="EK58" s="84" t="n">
        <f aca="false">DU58+EI58</f>
        <v>0</v>
      </c>
      <c r="EL58" s="133" t="n">
        <f aca="false">DY58+$D58*Inputs!$I$13-$D58*$E58</f>
        <v>14621.1772377362</v>
      </c>
      <c r="EM58" s="84" t="n">
        <f aca="false">EL58*(1+$I58)</f>
        <v>15498.4478720004</v>
      </c>
      <c r="EN58" s="133" t="n">
        <f aca="false">EM58*Inputs!$I$14</f>
        <v>3099.68957440009</v>
      </c>
      <c r="EO58" s="84" t="n">
        <f aca="false">EM58-EN58</f>
        <v>12398.7582976003</v>
      </c>
      <c r="EP58" s="133" t="n">
        <f aca="false">EB58+$D58*Inputs!$I$13</f>
        <v>11819.6180615163</v>
      </c>
      <c r="EQ58" s="84" t="n">
        <f aca="false">MIN(EN58,EP58)</f>
        <v>3099.68957440009</v>
      </c>
      <c r="ER58" s="84" t="n">
        <f aca="false">EP58-EQ58</f>
        <v>8719.92848711625</v>
      </c>
      <c r="ES58" s="84" t="n">
        <f aca="false">EE58+$G58*(EP58+EE58)</f>
        <v>0</v>
      </c>
      <c r="ET58" s="84" t="n">
        <f aca="false">MIN(EN58-EQ58,ES58)</f>
        <v>0</v>
      </c>
      <c r="EU58" s="84" t="n">
        <f aca="false">ES58-ET58</f>
        <v>0</v>
      </c>
      <c r="EV58" s="84" t="n">
        <f aca="false">IF($H58=1,MIN(EN58-EQ58-ET58,MAX(0,$F58/(1-$F58)*(EJ58+ET58)-EK58)),0)</f>
        <v>0</v>
      </c>
      <c r="EW58" s="84" t="n">
        <f aca="false">EN58-EQ58-ET58-EV58</f>
        <v>0</v>
      </c>
      <c r="EX58" s="84" t="n">
        <f aca="false">EQ58+ET58+(1-$F58)*EW58</f>
        <v>3099.68957440009</v>
      </c>
      <c r="EY58" s="84" t="n">
        <f aca="false">EV58+$F58*EW58</f>
        <v>0</v>
      </c>
      <c r="EZ58" s="84" t="n">
        <f aca="false">EJ58+ET58+(1-$F58)*EW58</f>
        <v>0</v>
      </c>
      <c r="FA58" s="84" t="n">
        <f aca="false">EK58+EY58</f>
        <v>0</v>
      </c>
      <c r="FB58" s="133" t="n">
        <f aca="false">EO58+$D58*Inputs!$J$13-$D58*$E58</f>
        <v>12128.7582976003</v>
      </c>
      <c r="FC58" s="84" t="n">
        <f aca="false">FB58*(1+$I58)</f>
        <v>12856.4837954564</v>
      </c>
      <c r="FD58" s="133" t="n">
        <f aca="false">FC58*Inputs!$J$14</f>
        <v>2571.29675909127</v>
      </c>
      <c r="FE58" s="84" t="n">
        <f aca="false">FC58-FD58</f>
        <v>10285.1870363651</v>
      </c>
      <c r="FF58" s="133" t="n">
        <f aca="false">ER58+$D58*Inputs!$J$13</f>
        <v>8719.92848711625</v>
      </c>
      <c r="FG58" s="84" t="n">
        <f aca="false">MIN(FD58,FF58)</f>
        <v>2571.29675909127</v>
      </c>
      <c r="FH58" s="84" t="n">
        <f aca="false">FF58-FG58</f>
        <v>6148.63172802498</v>
      </c>
      <c r="FI58" s="84" t="n">
        <f aca="false">EU58+$G58*(FF58+EU58)</f>
        <v>0</v>
      </c>
      <c r="FJ58" s="84" t="n">
        <f aca="false">MIN(FD58-FG58,FI58)</f>
        <v>0</v>
      </c>
      <c r="FK58" s="84" t="n">
        <f aca="false">FI58-FJ58</f>
        <v>0</v>
      </c>
      <c r="FL58" s="84" t="n">
        <f aca="false">IF($H58=1,MIN(FD58-FG58-FJ58,MAX(0,$F58/(1-$F58)*(EZ58+FJ58)-FA58)),0)</f>
        <v>0</v>
      </c>
      <c r="FM58" s="84" t="n">
        <f aca="false">FD58-FG58-FJ58-FL58</f>
        <v>0</v>
      </c>
      <c r="FN58" s="84" t="n">
        <f aca="false">FG58+FJ58+(1-$F58)*FM58</f>
        <v>2571.29675909127</v>
      </c>
      <c r="FO58" s="84" t="n">
        <f aca="false">FL58+$F58*FM58</f>
        <v>0</v>
      </c>
      <c r="FP58" s="84" t="n">
        <f aca="false">EZ58+FJ58+(1-$F58)*FM58</f>
        <v>0</v>
      </c>
      <c r="FQ58" s="84" t="n">
        <f aca="false">FA58+FO58</f>
        <v>0</v>
      </c>
      <c r="FR58" s="133" t="n">
        <f aca="false">FE58+$D58*Inputs!$K$13-$D58*$E58</f>
        <v>10015.1870363651</v>
      </c>
      <c r="FS58" s="84" t="n">
        <f aca="false">FR58*(1+$I58)</f>
        <v>10616.098258547</v>
      </c>
      <c r="FT58" s="133" t="n">
        <f aca="false">FS58*Inputs!$K$14</f>
        <v>2123.2196517094</v>
      </c>
      <c r="FU58" s="84" t="n">
        <f aca="false">FS58-FT58</f>
        <v>8492.87860683759</v>
      </c>
      <c r="FV58" s="133" t="n">
        <f aca="false">FH58+$D58*Inputs!$K$13</f>
        <v>6148.63172802498</v>
      </c>
      <c r="FW58" s="84" t="n">
        <f aca="false">MIN(FT58,FV58)</f>
        <v>2123.2196517094</v>
      </c>
      <c r="FX58" s="84" t="n">
        <f aca="false">FV58-FW58</f>
        <v>4025.41207631558</v>
      </c>
      <c r="FY58" s="84" t="n">
        <f aca="false">FK58+$G58*(FV58+FK58)</f>
        <v>0</v>
      </c>
      <c r="FZ58" s="84" t="n">
        <f aca="false">MIN(FT58-FW58,FY58)</f>
        <v>0</v>
      </c>
      <c r="GA58" s="84" t="n">
        <f aca="false">FY58-FZ58</f>
        <v>0</v>
      </c>
      <c r="GB58" s="84" t="n">
        <f aca="false">IF($H58=1,MIN(FT58-FW58-FZ58,MAX(0,$F58/(1-$F58)*(FP58+FZ58)-FQ58)),0)</f>
        <v>0</v>
      </c>
      <c r="GC58" s="84" t="n">
        <f aca="false">FT58-FW58-FZ58-GB58</f>
        <v>0</v>
      </c>
      <c r="GD58" s="84" t="n">
        <f aca="false">FW58+FZ58+(1-$F58)*GC58</f>
        <v>2123.2196517094</v>
      </c>
      <c r="GE58" s="84" t="n">
        <f aca="false">GB58+$F58*GC58</f>
        <v>0</v>
      </c>
      <c r="GF58" s="84" t="n">
        <f aca="false">FP58+FZ58+(1-$F58)*GC58</f>
        <v>0</v>
      </c>
      <c r="GG58" s="84" t="n">
        <f aca="false">FQ58+GE58</f>
        <v>0</v>
      </c>
      <c r="GH58" s="133" t="n">
        <f aca="false">FU58+$D58*Inputs!$L$13-$D58*$E58</f>
        <v>8222.87860683759</v>
      </c>
      <c r="GI58" s="84" t="n">
        <f aca="false">GH58*(1+$I58)</f>
        <v>8716.25132324785</v>
      </c>
      <c r="GJ58" s="133" t="n">
        <f aca="false">GI58*Inputs!$L$14</f>
        <v>8716.25132324785</v>
      </c>
      <c r="GK58" s="84" t="n">
        <f aca="false">GI58-GJ58</f>
        <v>0</v>
      </c>
      <c r="GL58" s="133" t="n">
        <f aca="false">FX58+$D58*Inputs!$L$13</f>
        <v>4025.41207631558</v>
      </c>
      <c r="GM58" s="84" t="n">
        <f aca="false">MIN(GJ58,GL58)</f>
        <v>4025.41207631558</v>
      </c>
      <c r="GN58" s="84" t="n">
        <f aca="false">GL58-GM58</f>
        <v>0</v>
      </c>
      <c r="GO58" s="84" t="n">
        <f aca="false">GA58+$G58*(GL58+GA58)</f>
        <v>0</v>
      </c>
      <c r="GP58" s="84" t="n">
        <f aca="false">MIN(GJ58-GM58,GO58)</f>
        <v>0</v>
      </c>
      <c r="GQ58" s="84" t="n">
        <f aca="false">GO58-GP58</f>
        <v>0</v>
      </c>
      <c r="GR58" s="84" t="n">
        <f aca="false">IF($H58=1,MIN(GJ58-GM58-GP58,MAX(0,$F58/(1-$F58)*(GF58+GP58)-GG58)),0)</f>
        <v>0</v>
      </c>
      <c r="GS58" s="84" t="n">
        <f aca="false">GJ58-GM58-GP58-GR58</f>
        <v>4690.83924693227</v>
      </c>
      <c r="GT58" s="84" t="n">
        <f aca="false">GM58+GP58+(1-$F58)*GS58</f>
        <v>7778.0834738614</v>
      </c>
      <c r="GU58" s="84" t="n">
        <f aca="false">GR58+$F58*GS58</f>
        <v>938.167849386454</v>
      </c>
      <c r="GV58" s="84" t="n">
        <f aca="false">GF58+GP58+(1-$F58)*GS58</f>
        <v>3752.67139754582</v>
      </c>
      <c r="GW58" s="84" t="n">
        <f aca="false">GG58+GU58</f>
        <v>938.167849386454</v>
      </c>
    </row>
    <row r="59" customFormat="false" ht="15" hidden="false" customHeight="false" outlineLevel="0" collapsed="false">
      <c r="A59" s="5" t="s">
        <v>637</v>
      </c>
      <c r="B59" s="5" t="s">
        <v>638</v>
      </c>
      <c r="C59" s="135" t="n">
        <v>7</v>
      </c>
      <c r="D59" s="47" t="n">
        <f aca="false">Inputs!$C$6</f>
        <v>20000</v>
      </c>
      <c r="E59" s="35" t="n">
        <f aca="false">Inputs!$C$19</f>
        <v>0.0135</v>
      </c>
      <c r="F59" s="36" t="n">
        <f aca="false">Inputs!$C$20</f>
        <v>0.2</v>
      </c>
      <c r="G59" s="30" t="n">
        <v>0</v>
      </c>
      <c r="H59" s="27" t="n">
        <v>0</v>
      </c>
      <c r="I59" s="132" t="n">
        <f aca="false">Inputs!$C$38+$C59*Inputs!$C$39</f>
        <v>0.07</v>
      </c>
      <c r="J59" s="36" t="n">
        <f aca="false">Inputs!$C$9</f>
        <v>0.15</v>
      </c>
      <c r="K59" s="89" t="n">
        <f aca="false">IRR(W59:AG59,0.1)</f>
        <v>0.0394101863881467</v>
      </c>
      <c r="L59" s="45" t="n">
        <f aca="false">W59+NPV($J59,X59:AG59)</f>
        <v>-6666.33655432298</v>
      </c>
      <c r="M59" s="45" t="n">
        <f aca="false">SUM(BF59,BV59,CL59,DB59,DR59,EH59,EX59,FN59,GD59,GT59)</f>
        <v>24952.5655707429</v>
      </c>
      <c r="N59" s="43" t="n">
        <f aca="false">IF($D59*SUM(Inputs!$C$13:$L$13)=0,0,M59/($D59*SUM(Inputs!$C$13:$L$13)))</f>
        <v>1.24762827853715</v>
      </c>
      <c r="O59" s="42" t="n">
        <f aca="false">$D59*$E59*COLUMNS(Inputs!$C$13:$L$13)</f>
        <v>2700</v>
      </c>
      <c r="P59" s="45" t="n">
        <f aca="false">SUM(BG59,BW59,CM59,DC59,DS59,EI59,EY59,FO59,GE59,GU59)</f>
        <v>1238.14139268573</v>
      </c>
      <c r="Q59" s="42" t="n">
        <f aca="false">PV($J59,COLUMNS(Inputs!$C$13:$L$13),-$D59*$E59,0,1)</f>
        <v>1558.32765832774</v>
      </c>
      <c r="R59" s="45" t="n">
        <f aca="false">NPV($J59,BG59,BW59,CM59,DC59,DS59,EI59,EY59,FO59,GE59,GU59)</f>
        <v>306.04961628834</v>
      </c>
      <c r="S59" s="45" t="n">
        <f aca="false">Q59+R59</f>
        <v>1864.37727461608</v>
      </c>
      <c r="T59" s="32" t="n">
        <f aca="false">IF(S59=0,0,Q59/S59)</f>
        <v>0.835843517052436</v>
      </c>
      <c r="U59" s="45" t="n">
        <f aca="false">ROUND(ABS(GK59)+ABS(SUM(AV59,BL59,CB59,CR59,DH59,DX59,EN59,FD59,FT59,GJ59)-M59-P59)+ABS(S59-(AH59+NPV($J59,AI59:AR59))),6)</f>
        <v>0</v>
      </c>
      <c r="W59" s="133" t="n">
        <f aca="false">-$D59*Inputs!$C$13</f>
        <v>-4000</v>
      </c>
      <c r="X59" s="133" t="n">
        <f aca="false">BF59-$D59*Inputs!$D$13</f>
        <v>-4000</v>
      </c>
      <c r="Y59" s="133" t="n">
        <f aca="false">BV59-$D59*Inputs!$E$13</f>
        <v>-4000</v>
      </c>
      <c r="Z59" s="133" t="n">
        <f aca="false">CL59-$D59*Inputs!$F$13</f>
        <v>-4000</v>
      </c>
      <c r="AA59" s="133" t="n">
        <f aca="false">DB59-$D59*Inputs!$G$13</f>
        <v>-4000</v>
      </c>
      <c r="AB59" s="133" t="n">
        <f aca="false">DR59-$D59*Inputs!$H$13</f>
        <v>4590.3548925622</v>
      </c>
      <c r="AC59" s="133" t="n">
        <f aca="false">EH59-$D59*Inputs!$I$13</f>
        <v>3871.56378803324</v>
      </c>
      <c r="AD59" s="133" t="n">
        <f aca="false">EX59-$D59*Inputs!$J$13</f>
        <v>3256.27860255646</v>
      </c>
      <c r="AE59" s="133" t="n">
        <f aca="false">FN59-$D59*Inputs!$K$13</f>
        <v>2729.59448378833</v>
      </c>
      <c r="AF59" s="133" t="n">
        <f aca="false">GD59-$D59*Inputs!$L$13</f>
        <v>2278.75287812281</v>
      </c>
      <c r="AG59" s="84" t="n">
        <f aca="false">GT59</f>
        <v>8226.02092567989</v>
      </c>
      <c r="AH59" s="84" t="n">
        <f aca="false">$D59*$E59</f>
        <v>270</v>
      </c>
      <c r="AI59" s="84" t="n">
        <f aca="false">BG59+$D59*$E59</f>
        <v>270</v>
      </c>
      <c r="AJ59" s="84" t="n">
        <f aca="false">BW59+$D59*$E59</f>
        <v>270</v>
      </c>
      <c r="AK59" s="84" t="n">
        <f aca="false">CM59+$D59*$E59</f>
        <v>270</v>
      </c>
      <c r="AL59" s="84" t="n">
        <f aca="false">DC59+$D59*$E59</f>
        <v>270</v>
      </c>
      <c r="AM59" s="84" t="n">
        <f aca="false">DS59+$D59*$E59</f>
        <v>270</v>
      </c>
      <c r="AN59" s="84" t="n">
        <f aca="false">EI59+$D59*$E59</f>
        <v>270</v>
      </c>
      <c r="AO59" s="84" t="n">
        <f aca="false">EY59+$D59*$E59</f>
        <v>270</v>
      </c>
      <c r="AP59" s="84" t="n">
        <f aca="false">FO59+$D59*$E59</f>
        <v>270</v>
      </c>
      <c r="AQ59" s="84" t="n">
        <f aca="false">GE59+$D59*$E59</f>
        <v>270</v>
      </c>
      <c r="AR59" s="84" t="n">
        <f aca="false">GU59</f>
        <v>1238.14139268573</v>
      </c>
      <c r="AT59" s="133" t="n">
        <f aca="false">$D59*Inputs!$C$13-$D59*$E59</f>
        <v>3730</v>
      </c>
      <c r="AU59" s="84" t="n">
        <f aca="false">AT59*(1+$I59)</f>
        <v>3991.1</v>
      </c>
      <c r="AV59" s="133" t="n">
        <f aca="false">AU59*Inputs!$C$14</f>
        <v>0</v>
      </c>
      <c r="AW59" s="84" t="n">
        <f aca="false">AU59-AV59</f>
        <v>3991.1</v>
      </c>
      <c r="AX59" s="133" t="n">
        <f aca="false">$D59*Inputs!$C$13</f>
        <v>4000</v>
      </c>
      <c r="AY59" s="84" t="n">
        <f aca="false">MIN(AV59,AX59)</f>
        <v>0</v>
      </c>
      <c r="AZ59" s="84" t="n">
        <f aca="false">AX59-AY59</f>
        <v>4000</v>
      </c>
      <c r="BA59" s="84" t="n">
        <f aca="false">$G59*AX59</f>
        <v>0</v>
      </c>
      <c r="BB59" s="84" t="n">
        <f aca="false">MIN(AV59-AY59,BA59)</f>
        <v>0</v>
      </c>
      <c r="BC59" s="84" t="n">
        <f aca="false">BA59-BB59</f>
        <v>0</v>
      </c>
      <c r="BD59" s="84" t="n">
        <f aca="false">IF($H59=1,MIN(AV59-AY59-BB59,MAX(0,$F59/(1-$F59)*BB59)),0)</f>
        <v>0</v>
      </c>
      <c r="BE59" s="84" t="n">
        <f aca="false">AV59-AY59-BB59-BD59</f>
        <v>0</v>
      </c>
      <c r="BF59" s="84" t="n">
        <f aca="false">AY59+BB59+(1-$F59)*BE59</f>
        <v>0</v>
      </c>
      <c r="BG59" s="84" t="n">
        <f aca="false">BD59+$F59*BE59</f>
        <v>0</v>
      </c>
      <c r="BH59" s="84" t="n">
        <f aca="false">BB59+(1-$F59)*BE59</f>
        <v>0</v>
      </c>
      <c r="BI59" s="84" t="n">
        <f aca="false">BG59</f>
        <v>0</v>
      </c>
      <c r="BJ59" s="133" t="n">
        <f aca="false">AW59+$D59*Inputs!$D$13-$D59*$E59</f>
        <v>7721.1</v>
      </c>
      <c r="BK59" s="84" t="n">
        <f aca="false">BJ59*(1+$I59)</f>
        <v>8261.577</v>
      </c>
      <c r="BL59" s="133" t="n">
        <f aca="false">BK59*Inputs!$D$14</f>
        <v>0</v>
      </c>
      <c r="BM59" s="84" t="n">
        <f aca="false">BK59-BL59</f>
        <v>8261.577</v>
      </c>
      <c r="BN59" s="133" t="n">
        <f aca="false">AZ59+$D59*Inputs!$D$13</f>
        <v>8000</v>
      </c>
      <c r="BO59" s="84" t="n">
        <f aca="false">MIN(BL59,BN59)</f>
        <v>0</v>
      </c>
      <c r="BP59" s="84" t="n">
        <f aca="false">BN59-BO59</f>
        <v>8000</v>
      </c>
      <c r="BQ59" s="84" t="n">
        <f aca="false">BC59+$G59*(BN59+BC59)</f>
        <v>0</v>
      </c>
      <c r="BR59" s="84" t="n">
        <f aca="false">MIN(BL59-BO59,BQ59)</f>
        <v>0</v>
      </c>
      <c r="BS59" s="84" t="n">
        <f aca="false">BQ59-BR59</f>
        <v>0</v>
      </c>
      <c r="BT59" s="84" t="n">
        <f aca="false">IF($H59=1,MIN(BL59-BO59-BR59,MAX(0,$F59/(1-$F59)*(BH59+BR59)-BI59)),0)</f>
        <v>0</v>
      </c>
      <c r="BU59" s="84" t="n">
        <f aca="false">BL59-BO59-BR59-BT59</f>
        <v>0</v>
      </c>
      <c r="BV59" s="84" t="n">
        <f aca="false">BO59+BR59+(1-$F59)*BU59</f>
        <v>0</v>
      </c>
      <c r="BW59" s="84" t="n">
        <f aca="false">BT59+$F59*BU59</f>
        <v>0</v>
      </c>
      <c r="BX59" s="84" t="n">
        <f aca="false">BH59+BR59+(1-$F59)*BU59</f>
        <v>0</v>
      </c>
      <c r="BY59" s="84" t="n">
        <f aca="false">BI59+BW59</f>
        <v>0</v>
      </c>
      <c r="BZ59" s="133" t="n">
        <f aca="false">BM59+$D59*Inputs!$E$13-$D59*$E59</f>
        <v>11991.577</v>
      </c>
      <c r="CA59" s="84" t="n">
        <f aca="false">BZ59*(1+$I59)</f>
        <v>12830.98739</v>
      </c>
      <c r="CB59" s="133" t="n">
        <f aca="false">CA59*Inputs!$E$14</f>
        <v>0</v>
      </c>
      <c r="CC59" s="84" t="n">
        <f aca="false">CA59-CB59</f>
        <v>12830.98739</v>
      </c>
      <c r="CD59" s="133" t="n">
        <f aca="false">BP59+$D59*Inputs!$E$13</f>
        <v>12000</v>
      </c>
      <c r="CE59" s="84" t="n">
        <f aca="false">MIN(CB59,CD59)</f>
        <v>0</v>
      </c>
      <c r="CF59" s="84" t="n">
        <f aca="false">CD59-CE59</f>
        <v>12000</v>
      </c>
      <c r="CG59" s="84" t="n">
        <f aca="false">BS59+$G59*(CD59+BS59)</f>
        <v>0</v>
      </c>
      <c r="CH59" s="84" t="n">
        <f aca="false">MIN(CB59-CE59,CG59)</f>
        <v>0</v>
      </c>
      <c r="CI59" s="84" t="n">
        <f aca="false">CG59-CH59</f>
        <v>0</v>
      </c>
      <c r="CJ59" s="84" t="n">
        <f aca="false">IF($H59=1,MIN(CB59-CE59-CH59,MAX(0,$F59/(1-$F59)*(BX59+CH59)-BY59)),0)</f>
        <v>0</v>
      </c>
      <c r="CK59" s="84" t="n">
        <f aca="false">CB59-CE59-CH59-CJ59</f>
        <v>0</v>
      </c>
      <c r="CL59" s="84" t="n">
        <f aca="false">CE59+CH59+(1-$F59)*CK59</f>
        <v>0</v>
      </c>
      <c r="CM59" s="84" t="n">
        <f aca="false">CJ59+$F59*CK59</f>
        <v>0</v>
      </c>
      <c r="CN59" s="84" t="n">
        <f aca="false">BX59+CH59+(1-$F59)*CK59</f>
        <v>0</v>
      </c>
      <c r="CO59" s="84" t="n">
        <f aca="false">BY59+CM59</f>
        <v>0</v>
      </c>
      <c r="CP59" s="133" t="n">
        <f aca="false">CC59+$D59*Inputs!$F$13-$D59*$E59</f>
        <v>16560.98739</v>
      </c>
      <c r="CQ59" s="84" t="n">
        <f aca="false">CP59*(1+$I59)</f>
        <v>17720.2565073</v>
      </c>
      <c r="CR59" s="133" t="n">
        <f aca="false">CQ59*Inputs!$F$14</f>
        <v>0</v>
      </c>
      <c r="CS59" s="84" t="n">
        <f aca="false">CQ59-CR59</f>
        <v>17720.2565073</v>
      </c>
      <c r="CT59" s="133" t="n">
        <f aca="false">CF59+$D59*Inputs!$F$13</f>
        <v>16000</v>
      </c>
      <c r="CU59" s="84" t="n">
        <f aca="false">MIN(CR59,CT59)</f>
        <v>0</v>
      </c>
      <c r="CV59" s="84" t="n">
        <f aca="false">CT59-CU59</f>
        <v>16000</v>
      </c>
      <c r="CW59" s="84" t="n">
        <f aca="false">CI59+$G59*(CT59+CI59)</f>
        <v>0</v>
      </c>
      <c r="CX59" s="84" t="n">
        <f aca="false">MIN(CR59-CU59,CW59)</f>
        <v>0</v>
      </c>
      <c r="CY59" s="84" t="n">
        <f aca="false">CW59-CX59</f>
        <v>0</v>
      </c>
      <c r="CZ59" s="84" t="n">
        <f aca="false">IF($H59=1,MIN(CR59-CU59-CX59,MAX(0,$F59/(1-$F59)*(CN59+CX59)-CO59)),0)</f>
        <v>0</v>
      </c>
      <c r="DA59" s="84" t="n">
        <f aca="false">CR59-CU59-CX59-CZ59</f>
        <v>0</v>
      </c>
      <c r="DB59" s="84" t="n">
        <f aca="false">CU59+CX59+(1-$F59)*DA59</f>
        <v>0</v>
      </c>
      <c r="DC59" s="84" t="n">
        <f aca="false">CZ59+$F59*DA59</f>
        <v>0</v>
      </c>
      <c r="DD59" s="84" t="n">
        <f aca="false">CN59+CX59+(1-$F59)*DA59</f>
        <v>0</v>
      </c>
      <c r="DE59" s="84" t="n">
        <f aca="false">CO59+DC59</f>
        <v>0</v>
      </c>
      <c r="DF59" s="133" t="n">
        <f aca="false">CS59+$D59*Inputs!$G$13-$D59*$E59</f>
        <v>21450.2565073</v>
      </c>
      <c r="DG59" s="84" t="n">
        <f aca="false">DF59*(1+$I59)</f>
        <v>22951.774462811</v>
      </c>
      <c r="DH59" s="133" t="n">
        <f aca="false">DG59*Inputs!$G$14</f>
        <v>4590.3548925622</v>
      </c>
      <c r="DI59" s="84" t="n">
        <f aca="false">DG59-DH59</f>
        <v>18361.4195702488</v>
      </c>
      <c r="DJ59" s="133" t="n">
        <f aca="false">CV59+$D59*Inputs!$G$13</f>
        <v>20000</v>
      </c>
      <c r="DK59" s="84" t="n">
        <f aca="false">MIN(DH59,DJ59)</f>
        <v>4590.3548925622</v>
      </c>
      <c r="DL59" s="84" t="n">
        <f aca="false">DJ59-DK59</f>
        <v>15409.6451074378</v>
      </c>
      <c r="DM59" s="84" t="n">
        <f aca="false">CY59+$G59*(DJ59+CY59)</f>
        <v>0</v>
      </c>
      <c r="DN59" s="84" t="n">
        <f aca="false">MIN(DH59-DK59,DM59)</f>
        <v>0</v>
      </c>
      <c r="DO59" s="84" t="n">
        <f aca="false">DM59-DN59</f>
        <v>0</v>
      </c>
      <c r="DP59" s="84" t="n">
        <f aca="false">IF($H59=1,MIN(DH59-DK59-DN59,MAX(0,$F59/(1-$F59)*(DD59+DN59)-DE59)),0)</f>
        <v>0</v>
      </c>
      <c r="DQ59" s="84" t="n">
        <f aca="false">DH59-DK59-DN59-DP59</f>
        <v>0</v>
      </c>
      <c r="DR59" s="84" t="n">
        <f aca="false">DK59+DN59+(1-$F59)*DQ59</f>
        <v>4590.3548925622</v>
      </c>
      <c r="DS59" s="84" t="n">
        <f aca="false">DP59+$F59*DQ59</f>
        <v>0</v>
      </c>
      <c r="DT59" s="84" t="n">
        <f aca="false">DD59+DN59+(1-$F59)*DQ59</f>
        <v>0</v>
      </c>
      <c r="DU59" s="84" t="n">
        <f aca="false">DE59+DS59</f>
        <v>0</v>
      </c>
      <c r="DV59" s="133" t="n">
        <f aca="false">DI59+$D59*Inputs!$H$13-$D59*$E59</f>
        <v>18091.4195702488</v>
      </c>
      <c r="DW59" s="84" t="n">
        <f aca="false">DV59*(1+$I59)</f>
        <v>19357.8189401662</v>
      </c>
      <c r="DX59" s="133" t="n">
        <f aca="false">DW59*Inputs!$H$14</f>
        <v>3871.56378803324</v>
      </c>
      <c r="DY59" s="84" t="n">
        <f aca="false">DW59-DX59</f>
        <v>15486.255152133</v>
      </c>
      <c r="DZ59" s="133" t="n">
        <f aca="false">DL59+$D59*Inputs!$H$13</f>
        <v>15409.6451074378</v>
      </c>
      <c r="EA59" s="84" t="n">
        <f aca="false">MIN(DX59,DZ59)</f>
        <v>3871.56378803324</v>
      </c>
      <c r="EB59" s="84" t="n">
        <f aca="false">DZ59-EA59</f>
        <v>11538.0813194046</v>
      </c>
      <c r="EC59" s="84" t="n">
        <f aca="false">DO59+$G59*(DZ59+DO59)</f>
        <v>0</v>
      </c>
      <c r="ED59" s="84" t="n">
        <f aca="false">MIN(DX59-EA59,EC59)</f>
        <v>0</v>
      </c>
      <c r="EE59" s="84" t="n">
        <f aca="false">EC59-ED59</f>
        <v>0</v>
      </c>
      <c r="EF59" s="84" t="n">
        <f aca="false">IF($H59=1,MIN(DX59-EA59-ED59,MAX(0,$F59/(1-$F59)*(DT59+ED59)-DU59)),0)</f>
        <v>0</v>
      </c>
      <c r="EG59" s="84" t="n">
        <f aca="false">DX59-EA59-ED59-EF59</f>
        <v>0</v>
      </c>
      <c r="EH59" s="84" t="n">
        <f aca="false">EA59+ED59+(1-$F59)*EG59</f>
        <v>3871.56378803324</v>
      </c>
      <c r="EI59" s="84" t="n">
        <f aca="false">EF59+$F59*EG59</f>
        <v>0</v>
      </c>
      <c r="EJ59" s="84" t="n">
        <f aca="false">DT59+ED59+(1-$F59)*EG59</f>
        <v>0</v>
      </c>
      <c r="EK59" s="84" t="n">
        <f aca="false">DU59+EI59</f>
        <v>0</v>
      </c>
      <c r="EL59" s="133" t="n">
        <f aca="false">DY59+$D59*Inputs!$I$13-$D59*$E59</f>
        <v>15216.255152133</v>
      </c>
      <c r="EM59" s="84" t="n">
        <f aca="false">EL59*(1+$I59)</f>
        <v>16281.3930127823</v>
      </c>
      <c r="EN59" s="133" t="n">
        <f aca="false">EM59*Inputs!$I$14</f>
        <v>3256.27860255646</v>
      </c>
      <c r="EO59" s="84" t="n">
        <f aca="false">EM59-EN59</f>
        <v>13025.1144102258</v>
      </c>
      <c r="EP59" s="133" t="n">
        <f aca="false">EB59+$D59*Inputs!$I$13</f>
        <v>11538.0813194046</v>
      </c>
      <c r="EQ59" s="84" t="n">
        <f aca="false">MIN(EN59,EP59)</f>
        <v>3256.27860255646</v>
      </c>
      <c r="ER59" s="84" t="n">
        <f aca="false">EP59-EQ59</f>
        <v>8281.8027168481</v>
      </c>
      <c r="ES59" s="84" t="n">
        <f aca="false">EE59+$G59*(EP59+EE59)</f>
        <v>0</v>
      </c>
      <c r="ET59" s="84" t="n">
        <f aca="false">MIN(EN59-EQ59,ES59)</f>
        <v>0</v>
      </c>
      <c r="EU59" s="84" t="n">
        <f aca="false">ES59-ET59</f>
        <v>0</v>
      </c>
      <c r="EV59" s="84" t="n">
        <f aca="false">IF($H59=1,MIN(EN59-EQ59-ET59,MAX(0,$F59/(1-$F59)*(EJ59+ET59)-EK59)),0)</f>
        <v>0</v>
      </c>
      <c r="EW59" s="84" t="n">
        <f aca="false">EN59-EQ59-ET59-EV59</f>
        <v>0</v>
      </c>
      <c r="EX59" s="84" t="n">
        <f aca="false">EQ59+ET59+(1-$F59)*EW59</f>
        <v>3256.27860255646</v>
      </c>
      <c r="EY59" s="84" t="n">
        <f aca="false">EV59+$F59*EW59</f>
        <v>0</v>
      </c>
      <c r="EZ59" s="84" t="n">
        <f aca="false">EJ59+ET59+(1-$F59)*EW59</f>
        <v>0</v>
      </c>
      <c r="FA59" s="84" t="n">
        <f aca="false">EK59+EY59</f>
        <v>0</v>
      </c>
      <c r="FB59" s="133" t="n">
        <f aca="false">EO59+$D59*Inputs!$J$13-$D59*$E59</f>
        <v>12755.1144102258</v>
      </c>
      <c r="FC59" s="84" t="n">
        <f aca="false">FB59*(1+$I59)</f>
        <v>13647.9724189416</v>
      </c>
      <c r="FD59" s="133" t="n">
        <f aca="false">FC59*Inputs!$J$14</f>
        <v>2729.59448378833</v>
      </c>
      <c r="FE59" s="84" t="n">
        <f aca="false">FC59-FD59</f>
        <v>10918.3779351533</v>
      </c>
      <c r="FF59" s="133" t="n">
        <f aca="false">ER59+$D59*Inputs!$J$13</f>
        <v>8281.8027168481</v>
      </c>
      <c r="FG59" s="84" t="n">
        <f aca="false">MIN(FD59,FF59)</f>
        <v>2729.59448378833</v>
      </c>
      <c r="FH59" s="84" t="n">
        <f aca="false">FF59-FG59</f>
        <v>5552.20823305977</v>
      </c>
      <c r="FI59" s="84" t="n">
        <f aca="false">EU59+$G59*(FF59+EU59)</f>
        <v>0</v>
      </c>
      <c r="FJ59" s="84" t="n">
        <f aca="false">MIN(FD59-FG59,FI59)</f>
        <v>0</v>
      </c>
      <c r="FK59" s="84" t="n">
        <f aca="false">FI59-FJ59</f>
        <v>0</v>
      </c>
      <c r="FL59" s="84" t="n">
        <f aca="false">IF($H59=1,MIN(FD59-FG59-FJ59,MAX(0,$F59/(1-$F59)*(EZ59+FJ59)-FA59)),0)</f>
        <v>0</v>
      </c>
      <c r="FM59" s="84" t="n">
        <f aca="false">FD59-FG59-FJ59-FL59</f>
        <v>0</v>
      </c>
      <c r="FN59" s="84" t="n">
        <f aca="false">FG59+FJ59+(1-$F59)*FM59</f>
        <v>2729.59448378833</v>
      </c>
      <c r="FO59" s="84" t="n">
        <f aca="false">FL59+$F59*FM59</f>
        <v>0</v>
      </c>
      <c r="FP59" s="84" t="n">
        <f aca="false">EZ59+FJ59+(1-$F59)*FM59</f>
        <v>0</v>
      </c>
      <c r="FQ59" s="84" t="n">
        <f aca="false">FA59+FO59</f>
        <v>0</v>
      </c>
      <c r="FR59" s="133" t="n">
        <f aca="false">FE59+$D59*Inputs!$K$13-$D59*$E59</f>
        <v>10648.3779351533</v>
      </c>
      <c r="FS59" s="84" t="n">
        <f aca="false">FR59*(1+$I59)</f>
        <v>11393.764390614</v>
      </c>
      <c r="FT59" s="133" t="n">
        <f aca="false">FS59*Inputs!$K$14</f>
        <v>2278.75287812281</v>
      </c>
      <c r="FU59" s="84" t="n">
        <f aca="false">FS59-FT59</f>
        <v>9115.01151249123</v>
      </c>
      <c r="FV59" s="133" t="n">
        <f aca="false">FH59+$D59*Inputs!$K$13</f>
        <v>5552.20823305977</v>
      </c>
      <c r="FW59" s="84" t="n">
        <f aca="false">MIN(FT59,FV59)</f>
        <v>2278.75287812281</v>
      </c>
      <c r="FX59" s="84" t="n">
        <f aca="false">FV59-FW59</f>
        <v>3273.45535493696</v>
      </c>
      <c r="FY59" s="84" t="n">
        <f aca="false">FK59+$G59*(FV59+FK59)</f>
        <v>0</v>
      </c>
      <c r="FZ59" s="84" t="n">
        <f aca="false">MIN(FT59-FW59,FY59)</f>
        <v>0</v>
      </c>
      <c r="GA59" s="84" t="n">
        <f aca="false">FY59-FZ59</f>
        <v>0</v>
      </c>
      <c r="GB59" s="84" t="n">
        <f aca="false">IF($H59=1,MIN(FT59-FW59-FZ59,MAX(0,$F59/(1-$F59)*(FP59+FZ59)-FQ59)),0)</f>
        <v>0</v>
      </c>
      <c r="GC59" s="84" t="n">
        <f aca="false">FT59-FW59-FZ59-GB59</f>
        <v>0</v>
      </c>
      <c r="GD59" s="84" t="n">
        <f aca="false">FW59+FZ59+(1-$F59)*GC59</f>
        <v>2278.75287812281</v>
      </c>
      <c r="GE59" s="84" t="n">
        <f aca="false">GB59+$F59*GC59</f>
        <v>0</v>
      </c>
      <c r="GF59" s="84" t="n">
        <f aca="false">FP59+FZ59+(1-$F59)*GC59</f>
        <v>0</v>
      </c>
      <c r="GG59" s="84" t="n">
        <f aca="false">FQ59+GE59</f>
        <v>0</v>
      </c>
      <c r="GH59" s="133" t="n">
        <f aca="false">FU59+$D59*Inputs!$L$13-$D59*$E59</f>
        <v>8845.01151249123</v>
      </c>
      <c r="GI59" s="84" t="n">
        <f aca="false">GH59*(1+$I59)</f>
        <v>9464.16231836562</v>
      </c>
      <c r="GJ59" s="133" t="n">
        <f aca="false">GI59*Inputs!$L$14</f>
        <v>9464.16231836562</v>
      </c>
      <c r="GK59" s="84" t="n">
        <f aca="false">GI59-GJ59</f>
        <v>0</v>
      </c>
      <c r="GL59" s="133" t="n">
        <f aca="false">FX59+$D59*Inputs!$L$13</f>
        <v>3273.45535493696</v>
      </c>
      <c r="GM59" s="84" t="n">
        <f aca="false">MIN(GJ59,GL59)</f>
        <v>3273.45535493696</v>
      </c>
      <c r="GN59" s="84" t="n">
        <f aca="false">GL59-GM59</f>
        <v>0</v>
      </c>
      <c r="GO59" s="84" t="n">
        <f aca="false">GA59+$G59*(GL59+GA59)</f>
        <v>0</v>
      </c>
      <c r="GP59" s="84" t="n">
        <f aca="false">MIN(GJ59-GM59,GO59)</f>
        <v>0</v>
      </c>
      <c r="GQ59" s="84" t="n">
        <f aca="false">GO59-GP59</f>
        <v>0</v>
      </c>
      <c r="GR59" s="84" t="n">
        <f aca="false">IF($H59=1,MIN(GJ59-GM59-GP59,MAX(0,$F59/(1-$F59)*(GF59+GP59)-GG59)),0)</f>
        <v>0</v>
      </c>
      <c r="GS59" s="84" t="n">
        <f aca="false">GJ59-GM59-GP59-GR59</f>
        <v>6190.70696342866</v>
      </c>
      <c r="GT59" s="84" t="n">
        <f aca="false">GM59+GP59+(1-$F59)*GS59</f>
        <v>8226.02092567989</v>
      </c>
      <c r="GU59" s="84" t="n">
        <f aca="false">GR59+$F59*GS59</f>
        <v>1238.14139268573</v>
      </c>
      <c r="GV59" s="84" t="n">
        <f aca="false">GF59+GP59+(1-$F59)*GS59</f>
        <v>4952.56557074293</v>
      </c>
      <c r="GW59" s="84" t="n">
        <f aca="false">GG59+GU59</f>
        <v>1238.14139268573</v>
      </c>
    </row>
    <row r="60" customFormat="false" ht="15" hidden="false" customHeight="false" outlineLevel="0" collapsed="false">
      <c r="A60" s="5" t="s">
        <v>637</v>
      </c>
      <c r="B60" s="5" t="s">
        <v>638</v>
      </c>
      <c r="C60" s="135" t="n">
        <v>8</v>
      </c>
      <c r="D60" s="47" t="n">
        <f aca="false">Inputs!$C$6</f>
        <v>20000</v>
      </c>
      <c r="E60" s="35" t="n">
        <f aca="false">Inputs!$C$19</f>
        <v>0.0135</v>
      </c>
      <c r="F60" s="36" t="n">
        <f aca="false">Inputs!$C$20</f>
        <v>0.2</v>
      </c>
      <c r="G60" s="30" t="n">
        <v>0</v>
      </c>
      <c r="H60" s="27" t="n">
        <v>0</v>
      </c>
      <c r="I60" s="132" t="n">
        <f aca="false">Inputs!$C$38+$C60*Inputs!$C$39</f>
        <v>0.08</v>
      </c>
      <c r="J60" s="36" t="n">
        <f aca="false">Inputs!$C$9</f>
        <v>0.15</v>
      </c>
      <c r="K60" s="89" t="n">
        <f aca="false">IRR(W60:AG60,0.1)</f>
        <v>0.0483449847091009</v>
      </c>
      <c r="L60" s="45" t="n">
        <f aca="false">W60+NPV($J60,X60:AG60)</f>
        <v>-6249.26620813155</v>
      </c>
      <c r="M60" s="45" t="n">
        <f aca="false">SUM(BF60,BV60,CL60,DB60,DR60,EH60,EX60,FN60,GD60,GT60)</f>
        <v>26223.1111985182</v>
      </c>
      <c r="N60" s="43" t="n">
        <f aca="false">IF($D60*SUM(Inputs!$C$13:$L$13)=0,0,M60/($D60*SUM(Inputs!$C$13:$L$13)))</f>
        <v>1.31115555992591</v>
      </c>
      <c r="O60" s="42" t="n">
        <f aca="false">$D60*$E60*COLUMNS(Inputs!$C$13:$L$13)</f>
        <v>2700</v>
      </c>
      <c r="P60" s="45" t="n">
        <f aca="false">SUM(BG60,BW60,CM60,DC60,DS60,EI60,EY60,FO60,GE60,GU60)</f>
        <v>1555.77779962956</v>
      </c>
      <c r="Q60" s="42" t="n">
        <f aca="false">PV($J60,COLUMNS(Inputs!$C$13:$L$13),-$D60*$E60,0,1)</f>
        <v>1558.32765832774</v>
      </c>
      <c r="R60" s="45" t="n">
        <f aca="false">NPV($J60,BG60,BW60,CM60,DC60,DS60,EI60,EY60,FO60,GE60,GU60)</f>
        <v>384.564478192355</v>
      </c>
      <c r="S60" s="45" t="n">
        <f aca="false">Q60+R60</f>
        <v>1942.89213652009</v>
      </c>
      <c r="T60" s="32" t="n">
        <f aca="false">IF(S60=0,0,Q60/S60)</f>
        <v>0.802065966008207</v>
      </c>
      <c r="U60" s="45" t="n">
        <f aca="false">ROUND(ABS(GK60)+ABS(SUM(AV60,BL60,CB60,CR60,DH60,DX60,EN60,FD60,FT60,GJ60)-M60-P60)+ABS(S60-(AH60+NPV($J60,AI60:AR60))),6)</f>
        <v>0</v>
      </c>
      <c r="W60" s="133" t="n">
        <f aca="false">-$D60*Inputs!$C$13</f>
        <v>-4000</v>
      </c>
      <c r="X60" s="133" t="n">
        <f aca="false">BF60-$D60*Inputs!$D$13</f>
        <v>-4000</v>
      </c>
      <c r="Y60" s="133" t="n">
        <f aca="false">BV60-$D60*Inputs!$E$13</f>
        <v>-4000</v>
      </c>
      <c r="Z60" s="133" t="n">
        <f aca="false">CL60-$D60*Inputs!$F$13</f>
        <v>-4000</v>
      </c>
      <c r="AA60" s="133" t="n">
        <f aca="false">DB60-$D60*Inputs!$G$13</f>
        <v>-4000</v>
      </c>
      <c r="AB60" s="133" t="n">
        <f aca="false">DR60-$D60*Inputs!$H$13</f>
        <v>4726.6030614528</v>
      </c>
      <c r="AC60" s="133" t="n">
        <f aca="false">EH60-$D60*Inputs!$I$13</f>
        <v>4025.46504509522</v>
      </c>
      <c r="AD60" s="133" t="n">
        <f aca="false">EX60-$D60*Inputs!$J$13</f>
        <v>3419.68179896227</v>
      </c>
      <c r="AE60" s="133" t="n">
        <f aca="false">FN60-$D60*Inputs!$K$13</f>
        <v>2896.2850743034</v>
      </c>
      <c r="AF60" s="133" t="n">
        <f aca="false">GD60-$D60*Inputs!$L$13</f>
        <v>2444.07030419814</v>
      </c>
      <c r="AG60" s="84" t="n">
        <f aca="false">GT60</f>
        <v>8711.0059145064</v>
      </c>
      <c r="AH60" s="84" t="n">
        <f aca="false">$D60*$E60</f>
        <v>270</v>
      </c>
      <c r="AI60" s="84" t="n">
        <f aca="false">BG60+$D60*$E60</f>
        <v>270</v>
      </c>
      <c r="AJ60" s="84" t="n">
        <f aca="false">BW60+$D60*$E60</f>
        <v>270</v>
      </c>
      <c r="AK60" s="84" t="n">
        <f aca="false">CM60+$D60*$E60</f>
        <v>270</v>
      </c>
      <c r="AL60" s="84" t="n">
        <f aca="false">DC60+$D60*$E60</f>
        <v>270</v>
      </c>
      <c r="AM60" s="84" t="n">
        <f aca="false">DS60+$D60*$E60</f>
        <v>270</v>
      </c>
      <c r="AN60" s="84" t="n">
        <f aca="false">EI60+$D60*$E60</f>
        <v>270</v>
      </c>
      <c r="AO60" s="84" t="n">
        <f aca="false">EY60+$D60*$E60</f>
        <v>270</v>
      </c>
      <c r="AP60" s="84" t="n">
        <f aca="false">FO60+$D60*$E60</f>
        <v>270</v>
      </c>
      <c r="AQ60" s="84" t="n">
        <f aca="false">GE60+$D60*$E60</f>
        <v>270</v>
      </c>
      <c r="AR60" s="84" t="n">
        <f aca="false">GU60</f>
        <v>1555.77779962956</v>
      </c>
      <c r="AT60" s="133" t="n">
        <f aca="false">$D60*Inputs!$C$13-$D60*$E60</f>
        <v>3730</v>
      </c>
      <c r="AU60" s="84" t="n">
        <f aca="false">AT60*(1+$I60)</f>
        <v>4028.4</v>
      </c>
      <c r="AV60" s="133" t="n">
        <f aca="false">AU60*Inputs!$C$14</f>
        <v>0</v>
      </c>
      <c r="AW60" s="84" t="n">
        <f aca="false">AU60-AV60</f>
        <v>4028.4</v>
      </c>
      <c r="AX60" s="133" t="n">
        <f aca="false">$D60*Inputs!$C$13</f>
        <v>4000</v>
      </c>
      <c r="AY60" s="84" t="n">
        <f aca="false">MIN(AV60,AX60)</f>
        <v>0</v>
      </c>
      <c r="AZ60" s="84" t="n">
        <f aca="false">AX60-AY60</f>
        <v>4000</v>
      </c>
      <c r="BA60" s="84" t="n">
        <f aca="false">$G60*AX60</f>
        <v>0</v>
      </c>
      <c r="BB60" s="84" t="n">
        <f aca="false">MIN(AV60-AY60,BA60)</f>
        <v>0</v>
      </c>
      <c r="BC60" s="84" t="n">
        <f aca="false">BA60-BB60</f>
        <v>0</v>
      </c>
      <c r="BD60" s="84" t="n">
        <f aca="false">IF($H60=1,MIN(AV60-AY60-BB60,MAX(0,$F60/(1-$F60)*BB60)),0)</f>
        <v>0</v>
      </c>
      <c r="BE60" s="84" t="n">
        <f aca="false">AV60-AY60-BB60-BD60</f>
        <v>0</v>
      </c>
      <c r="BF60" s="84" t="n">
        <f aca="false">AY60+BB60+(1-$F60)*BE60</f>
        <v>0</v>
      </c>
      <c r="BG60" s="84" t="n">
        <f aca="false">BD60+$F60*BE60</f>
        <v>0</v>
      </c>
      <c r="BH60" s="84" t="n">
        <f aca="false">BB60+(1-$F60)*BE60</f>
        <v>0</v>
      </c>
      <c r="BI60" s="84" t="n">
        <f aca="false">BG60</f>
        <v>0</v>
      </c>
      <c r="BJ60" s="133" t="n">
        <f aca="false">AW60+$D60*Inputs!$D$13-$D60*$E60</f>
        <v>7758.4</v>
      </c>
      <c r="BK60" s="84" t="n">
        <f aca="false">BJ60*(1+$I60)</f>
        <v>8379.072</v>
      </c>
      <c r="BL60" s="133" t="n">
        <f aca="false">BK60*Inputs!$D$14</f>
        <v>0</v>
      </c>
      <c r="BM60" s="84" t="n">
        <f aca="false">BK60-BL60</f>
        <v>8379.072</v>
      </c>
      <c r="BN60" s="133" t="n">
        <f aca="false">AZ60+$D60*Inputs!$D$13</f>
        <v>8000</v>
      </c>
      <c r="BO60" s="84" t="n">
        <f aca="false">MIN(BL60,BN60)</f>
        <v>0</v>
      </c>
      <c r="BP60" s="84" t="n">
        <f aca="false">BN60-BO60</f>
        <v>8000</v>
      </c>
      <c r="BQ60" s="84" t="n">
        <f aca="false">BC60+$G60*(BN60+BC60)</f>
        <v>0</v>
      </c>
      <c r="BR60" s="84" t="n">
        <f aca="false">MIN(BL60-BO60,BQ60)</f>
        <v>0</v>
      </c>
      <c r="BS60" s="84" t="n">
        <f aca="false">BQ60-BR60</f>
        <v>0</v>
      </c>
      <c r="BT60" s="84" t="n">
        <f aca="false">IF($H60=1,MIN(BL60-BO60-BR60,MAX(0,$F60/(1-$F60)*(BH60+BR60)-BI60)),0)</f>
        <v>0</v>
      </c>
      <c r="BU60" s="84" t="n">
        <f aca="false">BL60-BO60-BR60-BT60</f>
        <v>0</v>
      </c>
      <c r="BV60" s="84" t="n">
        <f aca="false">BO60+BR60+(1-$F60)*BU60</f>
        <v>0</v>
      </c>
      <c r="BW60" s="84" t="n">
        <f aca="false">BT60+$F60*BU60</f>
        <v>0</v>
      </c>
      <c r="BX60" s="84" t="n">
        <f aca="false">BH60+BR60+(1-$F60)*BU60</f>
        <v>0</v>
      </c>
      <c r="BY60" s="84" t="n">
        <f aca="false">BI60+BW60</f>
        <v>0</v>
      </c>
      <c r="BZ60" s="133" t="n">
        <f aca="false">BM60+$D60*Inputs!$E$13-$D60*$E60</f>
        <v>12109.072</v>
      </c>
      <c r="CA60" s="84" t="n">
        <f aca="false">BZ60*(1+$I60)</f>
        <v>13077.79776</v>
      </c>
      <c r="CB60" s="133" t="n">
        <f aca="false">CA60*Inputs!$E$14</f>
        <v>0</v>
      </c>
      <c r="CC60" s="84" t="n">
        <f aca="false">CA60-CB60</f>
        <v>13077.79776</v>
      </c>
      <c r="CD60" s="133" t="n">
        <f aca="false">BP60+$D60*Inputs!$E$13</f>
        <v>12000</v>
      </c>
      <c r="CE60" s="84" t="n">
        <f aca="false">MIN(CB60,CD60)</f>
        <v>0</v>
      </c>
      <c r="CF60" s="84" t="n">
        <f aca="false">CD60-CE60</f>
        <v>12000</v>
      </c>
      <c r="CG60" s="84" t="n">
        <f aca="false">BS60+$G60*(CD60+BS60)</f>
        <v>0</v>
      </c>
      <c r="CH60" s="84" t="n">
        <f aca="false">MIN(CB60-CE60,CG60)</f>
        <v>0</v>
      </c>
      <c r="CI60" s="84" t="n">
        <f aca="false">CG60-CH60</f>
        <v>0</v>
      </c>
      <c r="CJ60" s="84" t="n">
        <f aca="false">IF($H60=1,MIN(CB60-CE60-CH60,MAX(0,$F60/(1-$F60)*(BX60+CH60)-BY60)),0)</f>
        <v>0</v>
      </c>
      <c r="CK60" s="84" t="n">
        <f aca="false">CB60-CE60-CH60-CJ60</f>
        <v>0</v>
      </c>
      <c r="CL60" s="84" t="n">
        <f aca="false">CE60+CH60+(1-$F60)*CK60</f>
        <v>0</v>
      </c>
      <c r="CM60" s="84" t="n">
        <f aca="false">CJ60+$F60*CK60</f>
        <v>0</v>
      </c>
      <c r="CN60" s="84" t="n">
        <f aca="false">BX60+CH60+(1-$F60)*CK60</f>
        <v>0</v>
      </c>
      <c r="CO60" s="84" t="n">
        <f aca="false">BY60+CM60</f>
        <v>0</v>
      </c>
      <c r="CP60" s="133" t="n">
        <f aca="false">CC60+$D60*Inputs!$F$13-$D60*$E60</f>
        <v>16807.79776</v>
      </c>
      <c r="CQ60" s="84" t="n">
        <f aca="false">CP60*(1+$I60)</f>
        <v>18152.4215808</v>
      </c>
      <c r="CR60" s="133" t="n">
        <f aca="false">CQ60*Inputs!$F$14</f>
        <v>0</v>
      </c>
      <c r="CS60" s="84" t="n">
        <f aca="false">CQ60-CR60</f>
        <v>18152.4215808</v>
      </c>
      <c r="CT60" s="133" t="n">
        <f aca="false">CF60+$D60*Inputs!$F$13</f>
        <v>16000</v>
      </c>
      <c r="CU60" s="84" t="n">
        <f aca="false">MIN(CR60,CT60)</f>
        <v>0</v>
      </c>
      <c r="CV60" s="84" t="n">
        <f aca="false">CT60-CU60</f>
        <v>16000</v>
      </c>
      <c r="CW60" s="84" t="n">
        <f aca="false">CI60+$G60*(CT60+CI60)</f>
        <v>0</v>
      </c>
      <c r="CX60" s="84" t="n">
        <f aca="false">MIN(CR60-CU60,CW60)</f>
        <v>0</v>
      </c>
      <c r="CY60" s="84" t="n">
        <f aca="false">CW60-CX60</f>
        <v>0</v>
      </c>
      <c r="CZ60" s="84" t="n">
        <f aca="false">IF($H60=1,MIN(CR60-CU60-CX60,MAX(0,$F60/(1-$F60)*(CN60+CX60)-CO60)),0)</f>
        <v>0</v>
      </c>
      <c r="DA60" s="84" t="n">
        <f aca="false">CR60-CU60-CX60-CZ60</f>
        <v>0</v>
      </c>
      <c r="DB60" s="84" t="n">
        <f aca="false">CU60+CX60+(1-$F60)*DA60</f>
        <v>0</v>
      </c>
      <c r="DC60" s="84" t="n">
        <f aca="false">CZ60+$F60*DA60</f>
        <v>0</v>
      </c>
      <c r="DD60" s="84" t="n">
        <f aca="false">CN60+CX60+(1-$F60)*DA60</f>
        <v>0</v>
      </c>
      <c r="DE60" s="84" t="n">
        <f aca="false">CO60+DC60</f>
        <v>0</v>
      </c>
      <c r="DF60" s="133" t="n">
        <f aca="false">CS60+$D60*Inputs!$G$13-$D60*$E60</f>
        <v>21882.4215808</v>
      </c>
      <c r="DG60" s="84" t="n">
        <f aca="false">DF60*(1+$I60)</f>
        <v>23633.015307264</v>
      </c>
      <c r="DH60" s="133" t="n">
        <f aca="false">DG60*Inputs!$G$14</f>
        <v>4726.6030614528</v>
      </c>
      <c r="DI60" s="84" t="n">
        <f aca="false">DG60-DH60</f>
        <v>18906.4122458112</v>
      </c>
      <c r="DJ60" s="133" t="n">
        <f aca="false">CV60+$D60*Inputs!$G$13</f>
        <v>20000</v>
      </c>
      <c r="DK60" s="84" t="n">
        <f aca="false">MIN(DH60,DJ60)</f>
        <v>4726.6030614528</v>
      </c>
      <c r="DL60" s="84" t="n">
        <f aca="false">DJ60-DK60</f>
        <v>15273.3969385472</v>
      </c>
      <c r="DM60" s="84" t="n">
        <f aca="false">CY60+$G60*(DJ60+CY60)</f>
        <v>0</v>
      </c>
      <c r="DN60" s="84" t="n">
        <f aca="false">MIN(DH60-DK60,DM60)</f>
        <v>0</v>
      </c>
      <c r="DO60" s="84" t="n">
        <f aca="false">DM60-DN60</f>
        <v>0</v>
      </c>
      <c r="DP60" s="84" t="n">
        <f aca="false">IF($H60=1,MIN(DH60-DK60-DN60,MAX(0,$F60/(1-$F60)*(DD60+DN60)-DE60)),0)</f>
        <v>0</v>
      </c>
      <c r="DQ60" s="84" t="n">
        <f aca="false">DH60-DK60-DN60-DP60</f>
        <v>0</v>
      </c>
      <c r="DR60" s="84" t="n">
        <f aca="false">DK60+DN60+(1-$F60)*DQ60</f>
        <v>4726.6030614528</v>
      </c>
      <c r="DS60" s="84" t="n">
        <f aca="false">DP60+$F60*DQ60</f>
        <v>0</v>
      </c>
      <c r="DT60" s="84" t="n">
        <f aca="false">DD60+DN60+(1-$F60)*DQ60</f>
        <v>0</v>
      </c>
      <c r="DU60" s="84" t="n">
        <f aca="false">DE60+DS60</f>
        <v>0</v>
      </c>
      <c r="DV60" s="133" t="n">
        <f aca="false">DI60+$D60*Inputs!$H$13-$D60*$E60</f>
        <v>18636.4122458112</v>
      </c>
      <c r="DW60" s="84" t="n">
        <f aca="false">DV60*(1+$I60)</f>
        <v>20127.3252254761</v>
      </c>
      <c r="DX60" s="133" t="n">
        <f aca="false">DW60*Inputs!$H$14</f>
        <v>4025.46504509522</v>
      </c>
      <c r="DY60" s="84" t="n">
        <f aca="false">DW60-DX60</f>
        <v>16101.8601803809</v>
      </c>
      <c r="DZ60" s="133" t="n">
        <f aca="false">DL60+$D60*Inputs!$H$13</f>
        <v>15273.3969385472</v>
      </c>
      <c r="EA60" s="84" t="n">
        <f aca="false">MIN(DX60,DZ60)</f>
        <v>4025.46504509522</v>
      </c>
      <c r="EB60" s="84" t="n">
        <f aca="false">DZ60-EA60</f>
        <v>11247.931893452</v>
      </c>
      <c r="EC60" s="84" t="n">
        <f aca="false">DO60+$G60*(DZ60+DO60)</f>
        <v>0</v>
      </c>
      <c r="ED60" s="84" t="n">
        <f aca="false">MIN(DX60-EA60,EC60)</f>
        <v>0</v>
      </c>
      <c r="EE60" s="84" t="n">
        <f aca="false">EC60-ED60</f>
        <v>0</v>
      </c>
      <c r="EF60" s="84" t="n">
        <f aca="false">IF($H60=1,MIN(DX60-EA60-ED60,MAX(0,$F60/(1-$F60)*(DT60+ED60)-DU60)),0)</f>
        <v>0</v>
      </c>
      <c r="EG60" s="84" t="n">
        <f aca="false">DX60-EA60-ED60-EF60</f>
        <v>0</v>
      </c>
      <c r="EH60" s="84" t="n">
        <f aca="false">EA60+ED60+(1-$F60)*EG60</f>
        <v>4025.46504509522</v>
      </c>
      <c r="EI60" s="84" t="n">
        <f aca="false">EF60+$F60*EG60</f>
        <v>0</v>
      </c>
      <c r="EJ60" s="84" t="n">
        <f aca="false">DT60+ED60+(1-$F60)*EG60</f>
        <v>0</v>
      </c>
      <c r="EK60" s="84" t="n">
        <f aca="false">DU60+EI60</f>
        <v>0</v>
      </c>
      <c r="EL60" s="133" t="n">
        <f aca="false">DY60+$D60*Inputs!$I$13-$D60*$E60</f>
        <v>15831.8601803809</v>
      </c>
      <c r="EM60" s="84" t="n">
        <f aca="false">EL60*(1+$I60)</f>
        <v>17098.4089948114</v>
      </c>
      <c r="EN60" s="133" t="n">
        <f aca="false">EM60*Inputs!$I$14</f>
        <v>3419.68179896227</v>
      </c>
      <c r="EO60" s="84" t="n">
        <f aca="false">EM60-EN60</f>
        <v>13678.7271958491</v>
      </c>
      <c r="EP60" s="133" t="n">
        <f aca="false">EB60+$D60*Inputs!$I$13</f>
        <v>11247.931893452</v>
      </c>
      <c r="EQ60" s="84" t="n">
        <f aca="false">MIN(EN60,EP60)</f>
        <v>3419.68179896227</v>
      </c>
      <c r="ER60" s="84" t="n">
        <f aca="false">EP60-EQ60</f>
        <v>7828.25009448971</v>
      </c>
      <c r="ES60" s="84" t="n">
        <f aca="false">EE60+$G60*(EP60+EE60)</f>
        <v>0</v>
      </c>
      <c r="ET60" s="84" t="n">
        <f aca="false">MIN(EN60-EQ60,ES60)</f>
        <v>0</v>
      </c>
      <c r="EU60" s="84" t="n">
        <f aca="false">ES60-ET60</f>
        <v>0</v>
      </c>
      <c r="EV60" s="84" t="n">
        <f aca="false">IF($H60=1,MIN(EN60-EQ60-ET60,MAX(0,$F60/(1-$F60)*(EJ60+ET60)-EK60)),0)</f>
        <v>0</v>
      </c>
      <c r="EW60" s="84" t="n">
        <f aca="false">EN60-EQ60-ET60-EV60</f>
        <v>0</v>
      </c>
      <c r="EX60" s="84" t="n">
        <f aca="false">EQ60+ET60+(1-$F60)*EW60</f>
        <v>3419.68179896227</v>
      </c>
      <c r="EY60" s="84" t="n">
        <f aca="false">EV60+$F60*EW60</f>
        <v>0</v>
      </c>
      <c r="EZ60" s="84" t="n">
        <f aca="false">EJ60+ET60+(1-$F60)*EW60</f>
        <v>0</v>
      </c>
      <c r="FA60" s="84" t="n">
        <f aca="false">EK60+EY60</f>
        <v>0</v>
      </c>
      <c r="FB60" s="133" t="n">
        <f aca="false">EO60+$D60*Inputs!$J$13-$D60*$E60</f>
        <v>13408.7271958491</v>
      </c>
      <c r="FC60" s="84" t="n">
        <f aca="false">FB60*(1+$I60)</f>
        <v>14481.425371517</v>
      </c>
      <c r="FD60" s="133" t="n">
        <f aca="false">FC60*Inputs!$J$14</f>
        <v>2896.2850743034</v>
      </c>
      <c r="FE60" s="84" t="n">
        <f aca="false">FC60-FD60</f>
        <v>11585.1402972136</v>
      </c>
      <c r="FF60" s="133" t="n">
        <f aca="false">ER60+$D60*Inputs!$J$13</f>
        <v>7828.25009448971</v>
      </c>
      <c r="FG60" s="84" t="n">
        <f aca="false">MIN(FD60,FF60)</f>
        <v>2896.2850743034</v>
      </c>
      <c r="FH60" s="84" t="n">
        <f aca="false">FF60-FG60</f>
        <v>4931.96502018631</v>
      </c>
      <c r="FI60" s="84" t="n">
        <f aca="false">EU60+$G60*(FF60+EU60)</f>
        <v>0</v>
      </c>
      <c r="FJ60" s="84" t="n">
        <f aca="false">MIN(FD60-FG60,FI60)</f>
        <v>0</v>
      </c>
      <c r="FK60" s="84" t="n">
        <f aca="false">FI60-FJ60</f>
        <v>0</v>
      </c>
      <c r="FL60" s="84" t="n">
        <f aca="false">IF($H60=1,MIN(FD60-FG60-FJ60,MAX(0,$F60/(1-$F60)*(EZ60+FJ60)-FA60)),0)</f>
        <v>0</v>
      </c>
      <c r="FM60" s="84" t="n">
        <f aca="false">FD60-FG60-FJ60-FL60</f>
        <v>0</v>
      </c>
      <c r="FN60" s="84" t="n">
        <f aca="false">FG60+FJ60+(1-$F60)*FM60</f>
        <v>2896.2850743034</v>
      </c>
      <c r="FO60" s="84" t="n">
        <f aca="false">FL60+$F60*FM60</f>
        <v>0</v>
      </c>
      <c r="FP60" s="84" t="n">
        <f aca="false">EZ60+FJ60+(1-$F60)*FM60</f>
        <v>0</v>
      </c>
      <c r="FQ60" s="84" t="n">
        <f aca="false">FA60+FO60</f>
        <v>0</v>
      </c>
      <c r="FR60" s="133" t="n">
        <f aca="false">FE60+$D60*Inputs!$K$13-$D60*$E60</f>
        <v>11315.1402972136</v>
      </c>
      <c r="FS60" s="84" t="n">
        <f aca="false">FR60*(1+$I60)</f>
        <v>12220.3515209907</v>
      </c>
      <c r="FT60" s="133" t="n">
        <f aca="false">FS60*Inputs!$K$14</f>
        <v>2444.07030419814</v>
      </c>
      <c r="FU60" s="84" t="n">
        <f aca="false">FS60-FT60</f>
        <v>9776.28121679256</v>
      </c>
      <c r="FV60" s="133" t="n">
        <f aca="false">FH60+$D60*Inputs!$K$13</f>
        <v>4931.96502018631</v>
      </c>
      <c r="FW60" s="84" t="n">
        <f aca="false">MIN(FT60,FV60)</f>
        <v>2444.07030419814</v>
      </c>
      <c r="FX60" s="84" t="n">
        <f aca="false">FV60-FW60</f>
        <v>2487.89471598817</v>
      </c>
      <c r="FY60" s="84" t="n">
        <f aca="false">FK60+$G60*(FV60+FK60)</f>
        <v>0</v>
      </c>
      <c r="FZ60" s="84" t="n">
        <f aca="false">MIN(FT60-FW60,FY60)</f>
        <v>0</v>
      </c>
      <c r="GA60" s="84" t="n">
        <f aca="false">FY60-FZ60</f>
        <v>0</v>
      </c>
      <c r="GB60" s="84" t="n">
        <f aca="false">IF($H60=1,MIN(FT60-FW60-FZ60,MAX(0,$F60/(1-$F60)*(FP60+FZ60)-FQ60)),0)</f>
        <v>0</v>
      </c>
      <c r="GC60" s="84" t="n">
        <f aca="false">FT60-FW60-FZ60-GB60</f>
        <v>0</v>
      </c>
      <c r="GD60" s="84" t="n">
        <f aca="false">FW60+FZ60+(1-$F60)*GC60</f>
        <v>2444.07030419814</v>
      </c>
      <c r="GE60" s="84" t="n">
        <f aca="false">GB60+$F60*GC60</f>
        <v>0</v>
      </c>
      <c r="GF60" s="84" t="n">
        <f aca="false">FP60+FZ60+(1-$F60)*GC60</f>
        <v>0</v>
      </c>
      <c r="GG60" s="84" t="n">
        <f aca="false">FQ60+GE60</f>
        <v>0</v>
      </c>
      <c r="GH60" s="133" t="n">
        <f aca="false">FU60+$D60*Inputs!$L$13-$D60*$E60</f>
        <v>9506.28121679256</v>
      </c>
      <c r="GI60" s="84" t="n">
        <f aca="false">GH60*(1+$I60)</f>
        <v>10266.783714136</v>
      </c>
      <c r="GJ60" s="133" t="n">
        <f aca="false">GI60*Inputs!$L$14</f>
        <v>10266.783714136</v>
      </c>
      <c r="GK60" s="84" t="n">
        <f aca="false">GI60-GJ60</f>
        <v>0</v>
      </c>
      <c r="GL60" s="133" t="n">
        <f aca="false">FX60+$D60*Inputs!$L$13</f>
        <v>2487.89471598817</v>
      </c>
      <c r="GM60" s="84" t="n">
        <f aca="false">MIN(GJ60,GL60)</f>
        <v>2487.89471598817</v>
      </c>
      <c r="GN60" s="84" t="n">
        <f aca="false">GL60-GM60</f>
        <v>0</v>
      </c>
      <c r="GO60" s="84" t="n">
        <f aca="false">GA60+$G60*(GL60+GA60)</f>
        <v>0</v>
      </c>
      <c r="GP60" s="84" t="n">
        <f aca="false">MIN(GJ60-GM60,GO60)</f>
        <v>0</v>
      </c>
      <c r="GQ60" s="84" t="n">
        <f aca="false">GO60-GP60</f>
        <v>0</v>
      </c>
      <c r="GR60" s="84" t="n">
        <f aca="false">IF($H60=1,MIN(GJ60-GM60-GP60,MAX(0,$F60/(1-$F60)*(GF60+GP60)-GG60)),0)</f>
        <v>0</v>
      </c>
      <c r="GS60" s="84" t="n">
        <f aca="false">GJ60-GM60-GP60-GR60</f>
        <v>7778.88899814779</v>
      </c>
      <c r="GT60" s="84" t="n">
        <f aca="false">GM60+GP60+(1-$F60)*GS60</f>
        <v>8711.0059145064</v>
      </c>
      <c r="GU60" s="84" t="n">
        <f aca="false">GR60+$F60*GS60</f>
        <v>1555.77779962956</v>
      </c>
      <c r="GV60" s="84" t="n">
        <f aca="false">GF60+GP60+(1-$F60)*GS60</f>
        <v>6223.11119851823</v>
      </c>
      <c r="GW60" s="84" t="n">
        <f aca="false">GG60+GU60</f>
        <v>1555.77779962956</v>
      </c>
    </row>
    <row r="61" customFormat="false" ht="15" hidden="false" customHeight="false" outlineLevel="0" collapsed="false">
      <c r="A61" s="5" t="s">
        <v>637</v>
      </c>
      <c r="B61" s="5" t="s">
        <v>638</v>
      </c>
      <c r="C61" s="135" t="n">
        <v>9</v>
      </c>
      <c r="D61" s="47" t="n">
        <f aca="false">Inputs!$C$6</f>
        <v>20000</v>
      </c>
      <c r="E61" s="35" t="n">
        <f aca="false">Inputs!$C$19</f>
        <v>0.0135</v>
      </c>
      <c r="F61" s="36" t="n">
        <f aca="false">Inputs!$C$20</f>
        <v>0.2</v>
      </c>
      <c r="G61" s="30" t="n">
        <v>0</v>
      </c>
      <c r="H61" s="27" t="n">
        <v>0</v>
      </c>
      <c r="I61" s="132" t="n">
        <f aca="false">Inputs!$C$38+$C61*Inputs!$C$39</f>
        <v>0.09</v>
      </c>
      <c r="J61" s="36" t="n">
        <f aca="false">Inputs!$C$9</f>
        <v>0.15</v>
      </c>
      <c r="K61" s="89" t="n">
        <f aca="false">IRR(W61:AG61,0.1)</f>
        <v>0.0573686938542749</v>
      </c>
      <c r="L61" s="45" t="n">
        <f aca="false">W61+NPV($J61,X61:AG61)</f>
        <v>-5809.90110700592</v>
      </c>
      <c r="M61" s="45" t="n">
        <f aca="false">SUM(BF61,BV61,CL61,DB61,DR61,EH61,EX61,FN61,GD61,GT61)</f>
        <v>27568.239070698</v>
      </c>
      <c r="N61" s="43" t="n">
        <f aca="false">IF($D61*SUM(Inputs!$C$13:$L$13)=0,0,M61/($D61*SUM(Inputs!$C$13:$L$13)))</f>
        <v>1.3784119535349</v>
      </c>
      <c r="O61" s="42" t="n">
        <f aca="false">$D61*$E61*COLUMNS(Inputs!$C$13:$L$13)</f>
        <v>2700</v>
      </c>
      <c r="P61" s="45" t="n">
        <f aca="false">SUM(BG61,BW61,CM61,DC61,DS61,EI61,EY61,FO61,GE61,GU61)</f>
        <v>1892.05976767449</v>
      </c>
      <c r="Q61" s="42" t="n">
        <f aca="false">PV($J61,COLUMNS(Inputs!$C$13:$L$13),-$D61*$E61,0,1)</f>
        <v>1558.32765832774</v>
      </c>
      <c r="R61" s="45" t="n">
        <f aca="false">NPV($J61,BG61,BW61,CM61,DC61,DS61,EI61,EY61,FO61,GE61,GU61)</f>
        <v>467.688237637625</v>
      </c>
      <c r="S61" s="45" t="n">
        <f aca="false">Q61+R61</f>
        <v>2026.01589596536</v>
      </c>
      <c r="T61" s="32" t="n">
        <f aca="false">IF(S61=0,0,Q61/S61)</f>
        <v>0.769158653409884</v>
      </c>
      <c r="U61" s="45" t="n">
        <f aca="false">ROUND(ABS(GK61)+ABS(SUM(AV61,BL61,CB61,CR61,DH61,DX61,EN61,FD61,FT61,GJ61)-M61-P61)+ABS(S61-(AH61+NPV($J61,AI61:AR61))),6)</f>
        <v>0</v>
      </c>
      <c r="W61" s="133" t="n">
        <f aca="false">-$D61*Inputs!$C$13</f>
        <v>-4000</v>
      </c>
      <c r="X61" s="133" t="n">
        <f aca="false">BF61-$D61*Inputs!$D$13</f>
        <v>-4000</v>
      </c>
      <c r="Y61" s="133" t="n">
        <f aca="false">BV61-$D61*Inputs!$E$13</f>
        <v>-4000</v>
      </c>
      <c r="Z61" s="133" t="n">
        <f aca="false">CL61-$D61*Inputs!$F$13</f>
        <v>-4000</v>
      </c>
      <c r="AA61" s="133" t="n">
        <f aca="false">DB61-$D61*Inputs!$G$13</f>
        <v>-4000</v>
      </c>
      <c r="AB61" s="133" t="n">
        <f aca="false">DR61-$D61*Inputs!$H$13</f>
        <v>4866.4075854154</v>
      </c>
      <c r="AC61" s="133" t="n">
        <f aca="false">EH61-$D61*Inputs!$I$13</f>
        <v>4184.64741448223</v>
      </c>
      <c r="AD61" s="133" t="n">
        <f aca="false">EX61-$D61*Inputs!$J$13</f>
        <v>3590.15254542851</v>
      </c>
      <c r="AE61" s="133" t="n">
        <f aca="false">FN61-$D61*Inputs!$K$13</f>
        <v>3071.75301961366</v>
      </c>
      <c r="AF61" s="133" t="n">
        <f aca="false">GD61-$D61*Inputs!$L$13</f>
        <v>2619.70863310311</v>
      </c>
      <c r="AG61" s="84" t="n">
        <f aca="false">GT61</f>
        <v>9235.56987265506</v>
      </c>
      <c r="AH61" s="84" t="n">
        <f aca="false">$D61*$E61</f>
        <v>270</v>
      </c>
      <c r="AI61" s="84" t="n">
        <f aca="false">BG61+$D61*$E61</f>
        <v>270</v>
      </c>
      <c r="AJ61" s="84" t="n">
        <f aca="false">BW61+$D61*$E61</f>
        <v>270</v>
      </c>
      <c r="AK61" s="84" t="n">
        <f aca="false">CM61+$D61*$E61</f>
        <v>270</v>
      </c>
      <c r="AL61" s="84" t="n">
        <f aca="false">DC61+$D61*$E61</f>
        <v>270</v>
      </c>
      <c r="AM61" s="84" t="n">
        <f aca="false">DS61+$D61*$E61</f>
        <v>270</v>
      </c>
      <c r="AN61" s="84" t="n">
        <f aca="false">EI61+$D61*$E61</f>
        <v>270</v>
      </c>
      <c r="AO61" s="84" t="n">
        <f aca="false">EY61+$D61*$E61</f>
        <v>270</v>
      </c>
      <c r="AP61" s="84" t="n">
        <f aca="false">FO61+$D61*$E61</f>
        <v>270</v>
      </c>
      <c r="AQ61" s="84" t="n">
        <f aca="false">GE61+$D61*$E61</f>
        <v>270</v>
      </c>
      <c r="AR61" s="84" t="n">
        <f aca="false">GU61</f>
        <v>1892.05976767449</v>
      </c>
      <c r="AT61" s="133" t="n">
        <f aca="false">$D61*Inputs!$C$13-$D61*$E61</f>
        <v>3730</v>
      </c>
      <c r="AU61" s="84" t="n">
        <f aca="false">AT61*(1+$I61)</f>
        <v>4065.7</v>
      </c>
      <c r="AV61" s="133" t="n">
        <f aca="false">AU61*Inputs!$C$14</f>
        <v>0</v>
      </c>
      <c r="AW61" s="84" t="n">
        <f aca="false">AU61-AV61</f>
        <v>4065.7</v>
      </c>
      <c r="AX61" s="133" t="n">
        <f aca="false">$D61*Inputs!$C$13</f>
        <v>4000</v>
      </c>
      <c r="AY61" s="84" t="n">
        <f aca="false">MIN(AV61,AX61)</f>
        <v>0</v>
      </c>
      <c r="AZ61" s="84" t="n">
        <f aca="false">AX61-AY61</f>
        <v>4000</v>
      </c>
      <c r="BA61" s="84" t="n">
        <f aca="false">$G61*AX61</f>
        <v>0</v>
      </c>
      <c r="BB61" s="84" t="n">
        <f aca="false">MIN(AV61-AY61,BA61)</f>
        <v>0</v>
      </c>
      <c r="BC61" s="84" t="n">
        <f aca="false">BA61-BB61</f>
        <v>0</v>
      </c>
      <c r="BD61" s="84" t="n">
        <f aca="false">IF($H61=1,MIN(AV61-AY61-BB61,MAX(0,$F61/(1-$F61)*BB61)),0)</f>
        <v>0</v>
      </c>
      <c r="BE61" s="84" t="n">
        <f aca="false">AV61-AY61-BB61-BD61</f>
        <v>0</v>
      </c>
      <c r="BF61" s="84" t="n">
        <f aca="false">AY61+BB61+(1-$F61)*BE61</f>
        <v>0</v>
      </c>
      <c r="BG61" s="84" t="n">
        <f aca="false">BD61+$F61*BE61</f>
        <v>0</v>
      </c>
      <c r="BH61" s="84" t="n">
        <f aca="false">BB61+(1-$F61)*BE61</f>
        <v>0</v>
      </c>
      <c r="BI61" s="84" t="n">
        <f aca="false">BG61</f>
        <v>0</v>
      </c>
      <c r="BJ61" s="133" t="n">
        <f aca="false">AW61+$D61*Inputs!$D$13-$D61*$E61</f>
        <v>7795.7</v>
      </c>
      <c r="BK61" s="84" t="n">
        <f aca="false">BJ61*(1+$I61)</f>
        <v>8497.313</v>
      </c>
      <c r="BL61" s="133" t="n">
        <f aca="false">BK61*Inputs!$D$14</f>
        <v>0</v>
      </c>
      <c r="BM61" s="84" t="n">
        <f aca="false">BK61-BL61</f>
        <v>8497.313</v>
      </c>
      <c r="BN61" s="133" t="n">
        <f aca="false">AZ61+$D61*Inputs!$D$13</f>
        <v>8000</v>
      </c>
      <c r="BO61" s="84" t="n">
        <f aca="false">MIN(BL61,BN61)</f>
        <v>0</v>
      </c>
      <c r="BP61" s="84" t="n">
        <f aca="false">BN61-BO61</f>
        <v>8000</v>
      </c>
      <c r="BQ61" s="84" t="n">
        <f aca="false">BC61+$G61*(BN61+BC61)</f>
        <v>0</v>
      </c>
      <c r="BR61" s="84" t="n">
        <f aca="false">MIN(BL61-BO61,BQ61)</f>
        <v>0</v>
      </c>
      <c r="BS61" s="84" t="n">
        <f aca="false">BQ61-BR61</f>
        <v>0</v>
      </c>
      <c r="BT61" s="84" t="n">
        <f aca="false">IF($H61=1,MIN(BL61-BO61-BR61,MAX(0,$F61/(1-$F61)*(BH61+BR61)-BI61)),0)</f>
        <v>0</v>
      </c>
      <c r="BU61" s="84" t="n">
        <f aca="false">BL61-BO61-BR61-BT61</f>
        <v>0</v>
      </c>
      <c r="BV61" s="84" t="n">
        <f aca="false">BO61+BR61+(1-$F61)*BU61</f>
        <v>0</v>
      </c>
      <c r="BW61" s="84" t="n">
        <f aca="false">BT61+$F61*BU61</f>
        <v>0</v>
      </c>
      <c r="BX61" s="84" t="n">
        <f aca="false">BH61+BR61+(1-$F61)*BU61</f>
        <v>0</v>
      </c>
      <c r="BY61" s="84" t="n">
        <f aca="false">BI61+BW61</f>
        <v>0</v>
      </c>
      <c r="BZ61" s="133" t="n">
        <f aca="false">BM61+$D61*Inputs!$E$13-$D61*$E61</f>
        <v>12227.313</v>
      </c>
      <c r="CA61" s="84" t="n">
        <f aca="false">BZ61*(1+$I61)</f>
        <v>13327.77117</v>
      </c>
      <c r="CB61" s="133" t="n">
        <f aca="false">CA61*Inputs!$E$14</f>
        <v>0</v>
      </c>
      <c r="CC61" s="84" t="n">
        <f aca="false">CA61-CB61</f>
        <v>13327.77117</v>
      </c>
      <c r="CD61" s="133" t="n">
        <f aca="false">BP61+$D61*Inputs!$E$13</f>
        <v>12000</v>
      </c>
      <c r="CE61" s="84" t="n">
        <f aca="false">MIN(CB61,CD61)</f>
        <v>0</v>
      </c>
      <c r="CF61" s="84" t="n">
        <f aca="false">CD61-CE61</f>
        <v>12000</v>
      </c>
      <c r="CG61" s="84" t="n">
        <f aca="false">BS61+$G61*(CD61+BS61)</f>
        <v>0</v>
      </c>
      <c r="CH61" s="84" t="n">
        <f aca="false">MIN(CB61-CE61,CG61)</f>
        <v>0</v>
      </c>
      <c r="CI61" s="84" t="n">
        <f aca="false">CG61-CH61</f>
        <v>0</v>
      </c>
      <c r="CJ61" s="84" t="n">
        <f aca="false">IF($H61=1,MIN(CB61-CE61-CH61,MAX(0,$F61/(1-$F61)*(BX61+CH61)-BY61)),0)</f>
        <v>0</v>
      </c>
      <c r="CK61" s="84" t="n">
        <f aca="false">CB61-CE61-CH61-CJ61</f>
        <v>0</v>
      </c>
      <c r="CL61" s="84" t="n">
        <f aca="false">CE61+CH61+(1-$F61)*CK61</f>
        <v>0</v>
      </c>
      <c r="CM61" s="84" t="n">
        <f aca="false">CJ61+$F61*CK61</f>
        <v>0</v>
      </c>
      <c r="CN61" s="84" t="n">
        <f aca="false">BX61+CH61+(1-$F61)*CK61</f>
        <v>0</v>
      </c>
      <c r="CO61" s="84" t="n">
        <f aca="false">BY61+CM61</f>
        <v>0</v>
      </c>
      <c r="CP61" s="133" t="n">
        <f aca="false">CC61+$D61*Inputs!$F$13-$D61*$E61</f>
        <v>17057.77117</v>
      </c>
      <c r="CQ61" s="84" t="n">
        <f aca="false">CP61*(1+$I61)</f>
        <v>18592.9705753</v>
      </c>
      <c r="CR61" s="133" t="n">
        <f aca="false">CQ61*Inputs!$F$14</f>
        <v>0</v>
      </c>
      <c r="CS61" s="84" t="n">
        <f aca="false">CQ61-CR61</f>
        <v>18592.9705753</v>
      </c>
      <c r="CT61" s="133" t="n">
        <f aca="false">CF61+$D61*Inputs!$F$13</f>
        <v>16000</v>
      </c>
      <c r="CU61" s="84" t="n">
        <f aca="false">MIN(CR61,CT61)</f>
        <v>0</v>
      </c>
      <c r="CV61" s="84" t="n">
        <f aca="false">CT61-CU61</f>
        <v>16000</v>
      </c>
      <c r="CW61" s="84" t="n">
        <f aca="false">CI61+$G61*(CT61+CI61)</f>
        <v>0</v>
      </c>
      <c r="CX61" s="84" t="n">
        <f aca="false">MIN(CR61-CU61,CW61)</f>
        <v>0</v>
      </c>
      <c r="CY61" s="84" t="n">
        <f aca="false">CW61-CX61</f>
        <v>0</v>
      </c>
      <c r="CZ61" s="84" t="n">
        <f aca="false">IF($H61=1,MIN(CR61-CU61-CX61,MAX(0,$F61/(1-$F61)*(CN61+CX61)-CO61)),0)</f>
        <v>0</v>
      </c>
      <c r="DA61" s="84" t="n">
        <f aca="false">CR61-CU61-CX61-CZ61</f>
        <v>0</v>
      </c>
      <c r="DB61" s="84" t="n">
        <f aca="false">CU61+CX61+(1-$F61)*DA61</f>
        <v>0</v>
      </c>
      <c r="DC61" s="84" t="n">
        <f aca="false">CZ61+$F61*DA61</f>
        <v>0</v>
      </c>
      <c r="DD61" s="84" t="n">
        <f aca="false">CN61+CX61+(1-$F61)*DA61</f>
        <v>0</v>
      </c>
      <c r="DE61" s="84" t="n">
        <f aca="false">CO61+DC61</f>
        <v>0</v>
      </c>
      <c r="DF61" s="133" t="n">
        <f aca="false">CS61+$D61*Inputs!$G$13-$D61*$E61</f>
        <v>22322.9705753</v>
      </c>
      <c r="DG61" s="84" t="n">
        <f aca="false">DF61*(1+$I61)</f>
        <v>24332.037927077</v>
      </c>
      <c r="DH61" s="133" t="n">
        <f aca="false">DG61*Inputs!$G$14</f>
        <v>4866.4075854154</v>
      </c>
      <c r="DI61" s="84" t="n">
        <f aca="false">DG61-DH61</f>
        <v>19465.6303416616</v>
      </c>
      <c r="DJ61" s="133" t="n">
        <f aca="false">CV61+$D61*Inputs!$G$13</f>
        <v>20000</v>
      </c>
      <c r="DK61" s="84" t="n">
        <f aca="false">MIN(DH61,DJ61)</f>
        <v>4866.4075854154</v>
      </c>
      <c r="DL61" s="84" t="n">
        <f aca="false">DJ61-DK61</f>
        <v>15133.5924145846</v>
      </c>
      <c r="DM61" s="84" t="n">
        <f aca="false">CY61+$G61*(DJ61+CY61)</f>
        <v>0</v>
      </c>
      <c r="DN61" s="84" t="n">
        <f aca="false">MIN(DH61-DK61,DM61)</f>
        <v>0</v>
      </c>
      <c r="DO61" s="84" t="n">
        <f aca="false">DM61-DN61</f>
        <v>0</v>
      </c>
      <c r="DP61" s="84" t="n">
        <f aca="false">IF($H61=1,MIN(DH61-DK61-DN61,MAX(0,$F61/(1-$F61)*(DD61+DN61)-DE61)),0)</f>
        <v>0</v>
      </c>
      <c r="DQ61" s="84" t="n">
        <f aca="false">DH61-DK61-DN61-DP61</f>
        <v>0</v>
      </c>
      <c r="DR61" s="84" t="n">
        <f aca="false">DK61+DN61+(1-$F61)*DQ61</f>
        <v>4866.4075854154</v>
      </c>
      <c r="DS61" s="84" t="n">
        <f aca="false">DP61+$F61*DQ61</f>
        <v>0</v>
      </c>
      <c r="DT61" s="84" t="n">
        <f aca="false">DD61+DN61+(1-$F61)*DQ61</f>
        <v>0</v>
      </c>
      <c r="DU61" s="84" t="n">
        <f aca="false">DE61+DS61</f>
        <v>0</v>
      </c>
      <c r="DV61" s="133" t="n">
        <f aca="false">DI61+$D61*Inputs!$H$13-$D61*$E61</f>
        <v>19195.6303416616</v>
      </c>
      <c r="DW61" s="84" t="n">
        <f aca="false">DV61*(1+$I61)</f>
        <v>20923.2370724112</v>
      </c>
      <c r="DX61" s="133" t="n">
        <f aca="false">DW61*Inputs!$H$14</f>
        <v>4184.64741448223</v>
      </c>
      <c r="DY61" s="84" t="n">
        <f aca="false">DW61-DX61</f>
        <v>16738.5896579289</v>
      </c>
      <c r="DZ61" s="133" t="n">
        <f aca="false">DL61+$D61*Inputs!$H$13</f>
        <v>15133.5924145846</v>
      </c>
      <c r="EA61" s="84" t="n">
        <f aca="false">MIN(DX61,DZ61)</f>
        <v>4184.64741448223</v>
      </c>
      <c r="EB61" s="84" t="n">
        <f aca="false">DZ61-EA61</f>
        <v>10948.9450001024</v>
      </c>
      <c r="EC61" s="84" t="n">
        <f aca="false">DO61+$G61*(DZ61+DO61)</f>
        <v>0</v>
      </c>
      <c r="ED61" s="84" t="n">
        <f aca="false">MIN(DX61-EA61,EC61)</f>
        <v>0</v>
      </c>
      <c r="EE61" s="84" t="n">
        <f aca="false">EC61-ED61</f>
        <v>0</v>
      </c>
      <c r="EF61" s="84" t="n">
        <f aca="false">IF($H61=1,MIN(DX61-EA61-ED61,MAX(0,$F61/(1-$F61)*(DT61+ED61)-DU61)),0)</f>
        <v>0</v>
      </c>
      <c r="EG61" s="84" t="n">
        <f aca="false">DX61-EA61-ED61-EF61</f>
        <v>0</v>
      </c>
      <c r="EH61" s="84" t="n">
        <f aca="false">EA61+ED61+(1-$F61)*EG61</f>
        <v>4184.64741448223</v>
      </c>
      <c r="EI61" s="84" t="n">
        <f aca="false">EF61+$F61*EG61</f>
        <v>0</v>
      </c>
      <c r="EJ61" s="84" t="n">
        <f aca="false">DT61+ED61+(1-$F61)*EG61</f>
        <v>0</v>
      </c>
      <c r="EK61" s="84" t="n">
        <f aca="false">DU61+EI61</f>
        <v>0</v>
      </c>
      <c r="EL61" s="133" t="n">
        <f aca="false">DY61+$D61*Inputs!$I$13-$D61*$E61</f>
        <v>16468.5896579289</v>
      </c>
      <c r="EM61" s="84" t="n">
        <f aca="false">EL61*(1+$I61)</f>
        <v>17950.7627271425</v>
      </c>
      <c r="EN61" s="133" t="n">
        <f aca="false">EM61*Inputs!$I$14</f>
        <v>3590.15254542851</v>
      </c>
      <c r="EO61" s="84" t="n">
        <f aca="false">EM61-EN61</f>
        <v>14360.610181714</v>
      </c>
      <c r="EP61" s="133" t="n">
        <f aca="false">EB61+$D61*Inputs!$I$13</f>
        <v>10948.9450001024</v>
      </c>
      <c r="EQ61" s="84" t="n">
        <f aca="false">MIN(EN61,EP61)</f>
        <v>3590.15254542851</v>
      </c>
      <c r="ER61" s="84" t="n">
        <f aca="false">EP61-EQ61</f>
        <v>7358.79245467386</v>
      </c>
      <c r="ES61" s="84" t="n">
        <f aca="false">EE61+$G61*(EP61+EE61)</f>
        <v>0</v>
      </c>
      <c r="ET61" s="84" t="n">
        <f aca="false">MIN(EN61-EQ61,ES61)</f>
        <v>0</v>
      </c>
      <c r="EU61" s="84" t="n">
        <f aca="false">ES61-ET61</f>
        <v>0</v>
      </c>
      <c r="EV61" s="84" t="n">
        <f aca="false">IF($H61=1,MIN(EN61-EQ61-ET61,MAX(0,$F61/(1-$F61)*(EJ61+ET61)-EK61)),0)</f>
        <v>0</v>
      </c>
      <c r="EW61" s="84" t="n">
        <f aca="false">EN61-EQ61-ET61-EV61</f>
        <v>0</v>
      </c>
      <c r="EX61" s="84" t="n">
        <f aca="false">EQ61+ET61+(1-$F61)*EW61</f>
        <v>3590.15254542851</v>
      </c>
      <c r="EY61" s="84" t="n">
        <f aca="false">EV61+$F61*EW61</f>
        <v>0</v>
      </c>
      <c r="EZ61" s="84" t="n">
        <f aca="false">EJ61+ET61+(1-$F61)*EW61</f>
        <v>0</v>
      </c>
      <c r="FA61" s="84" t="n">
        <f aca="false">EK61+EY61</f>
        <v>0</v>
      </c>
      <c r="FB61" s="133" t="n">
        <f aca="false">EO61+$D61*Inputs!$J$13-$D61*$E61</f>
        <v>14090.610181714</v>
      </c>
      <c r="FC61" s="84" t="n">
        <f aca="false">FB61*(1+$I61)</f>
        <v>15358.7650980683</v>
      </c>
      <c r="FD61" s="133" t="n">
        <f aca="false">FC61*Inputs!$J$14</f>
        <v>3071.75301961366</v>
      </c>
      <c r="FE61" s="84" t="n">
        <f aca="false">FC61-FD61</f>
        <v>12287.0120784546</v>
      </c>
      <c r="FF61" s="133" t="n">
        <f aca="false">ER61+$D61*Inputs!$J$13</f>
        <v>7358.79245467386</v>
      </c>
      <c r="FG61" s="84" t="n">
        <f aca="false">MIN(FD61,FF61)</f>
        <v>3071.75301961366</v>
      </c>
      <c r="FH61" s="84" t="n">
        <f aca="false">FF61-FG61</f>
        <v>4287.03943506021</v>
      </c>
      <c r="FI61" s="84" t="n">
        <f aca="false">EU61+$G61*(FF61+EU61)</f>
        <v>0</v>
      </c>
      <c r="FJ61" s="84" t="n">
        <f aca="false">MIN(FD61-FG61,FI61)</f>
        <v>0</v>
      </c>
      <c r="FK61" s="84" t="n">
        <f aca="false">FI61-FJ61</f>
        <v>0</v>
      </c>
      <c r="FL61" s="84" t="n">
        <f aca="false">IF($H61=1,MIN(FD61-FG61-FJ61,MAX(0,$F61/(1-$F61)*(EZ61+FJ61)-FA61)),0)</f>
        <v>0</v>
      </c>
      <c r="FM61" s="84" t="n">
        <f aca="false">FD61-FG61-FJ61-FL61</f>
        <v>0</v>
      </c>
      <c r="FN61" s="84" t="n">
        <f aca="false">FG61+FJ61+(1-$F61)*FM61</f>
        <v>3071.75301961366</v>
      </c>
      <c r="FO61" s="84" t="n">
        <f aca="false">FL61+$F61*FM61</f>
        <v>0</v>
      </c>
      <c r="FP61" s="84" t="n">
        <f aca="false">EZ61+FJ61+(1-$F61)*FM61</f>
        <v>0</v>
      </c>
      <c r="FQ61" s="84" t="n">
        <f aca="false">FA61+FO61</f>
        <v>0</v>
      </c>
      <c r="FR61" s="133" t="n">
        <f aca="false">FE61+$D61*Inputs!$K$13-$D61*$E61</f>
        <v>12017.0120784546</v>
      </c>
      <c r="FS61" s="84" t="n">
        <f aca="false">FR61*(1+$I61)</f>
        <v>13098.5431655155</v>
      </c>
      <c r="FT61" s="133" t="n">
        <f aca="false">FS61*Inputs!$K$14</f>
        <v>2619.70863310311</v>
      </c>
      <c r="FU61" s="84" t="n">
        <f aca="false">FS61-FT61</f>
        <v>10478.8345324124</v>
      </c>
      <c r="FV61" s="133" t="n">
        <f aca="false">FH61+$D61*Inputs!$K$13</f>
        <v>4287.03943506021</v>
      </c>
      <c r="FW61" s="84" t="n">
        <f aca="false">MIN(FT61,FV61)</f>
        <v>2619.70863310311</v>
      </c>
      <c r="FX61" s="84" t="n">
        <f aca="false">FV61-FW61</f>
        <v>1667.3308019571</v>
      </c>
      <c r="FY61" s="84" t="n">
        <f aca="false">FK61+$G61*(FV61+FK61)</f>
        <v>0</v>
      </c>
      <c r="FZ61" s="84" t="n">
        <f aca="false">MIN(FT61-FW61,FY61)</f>
        <v>0</v>
      </c>
      <c r="GA61" s="84" t="n">
        <f aca="false">FY61-FZ61</f>
        <v>0</v>
      </c>
      <c r="GB61" s="84" t="n">
        <f aca="false">IF($H61=1,MIN(FT61-FW61-FZ61,MAX(0,$F61/(1-$F61)*(FP61+FZ61)-FQ61)),0)</f>
        <v>0</v>
      </c>
      <c r="GC61" s="84" t="n">
        <f aca="false">FT61-FW61-FZ61-GB61</f>
        <v>0</v>
      </c>
      <c r="GD61" s="84" t="n">
        <f aca="false">FW61+FZ61+(1-$F61)*GC61</f>
        <v>2619.70863310311</v>
      </c>
      <c r="GE61" s="84" t="n">
        <f aca="false">GB61+$F61*GC61</f>
        <v>0</v>
      </c>
      <c r="GF61" s="84" t="n">
        <f aca="false">FP61+FZ61+(1-$F61)*GC61</f>
        <v>0</v>
      </c>
      <c r="GG61" s="84" t="n">
        <f aca="false">FQ61+GE61</f>
        <v>0</v>
      </c>
      <c r="GH61" s="133" t="n">
        <f aca="false">FU61+$D61*Inputs!$L$13-$D61*$E61</f>
        <v>10208.8345324124</v>
      </c>
      <c r="GI61" s="84" t="n">
        <f aca="false">GH61*(1+$I61)</f>
        <v>11127.6296403296</v>
      </c>
      <c r="GJ61" s="133" t="n">
        <f aca="false">GI61*Inputs!$L$14</f>
        <v>11127.6296403296</v>
      </c>
      <c r="GK61" s="84" t="n">
        <f aca="false">GI61-GJ61</f>
        <v>0</v>
      </c>
      <c r="GL61" s="133" t="n">
        <f aca="false">FX61+$D61*Inputs!$L$13</f>
        <v>1667.3308019571</v>
      </c>
      <c r="GM61" s="84" t="n">
        <f aca="false">MIN(GJ61,GL61)</f>
        <v>1667.3308019571</v>
      </c>
      <c r="GN61" s="84" t="n">
        <f aca="false">GL61-GM61</f>
        <v>0</v>
      </c>
      <c r="GO61" s="84" t="n">
        <f aca="false">GA61+$G61*(GL61+GA61)</f>
        <v>0</v>
      </c>
      <c r="GP61" s="84" t="n">
        <f aca="false">MIN(GJ61-GM61,GO61)</f>
        <v>0</v>
      </c>
      <c r="GQ61" s="84" t="n">
        <f aca="false">GO61-GP61</f>
        <v>0</v>
      </c>
      <c r="GR61" s="84" t="n">
        <f aca="false">IF($H61=1,MIN(GJ61-GM61-GP61,MAX(0,$F61/(1-$F61)*(GF61+GP61)-GG61)),0)</f>
        <v>0</v>
      </c>
      <c r="GS61" s="84" t="n">
        <f aca="false">GJ61-GM61-GP61-GR61</f>
        <v>9460.29883837246</v>
      </c>
      <c r="GT61" s="84" t="n">
        <f aca="false">GM61+GP61+(1-$F61)*GS61</f>
        <v>9235.56987265506</v>
      </c>
      <c r="GU61" s="84" t="n">
        <f aca="false">GR61+$F61*GS61</f>
        <v>1892.05976767449</v>
      </c>
      <c r="GV61" s="84" t="n">
        <f aca="false">GF61+GP61+(1-$F61)*GS61</f>
        <v>7568.23907069797</v>
      </c>
      <c r="GW61" s="84" t="n">
        <f aca="false">GG61+GU61</f>
        <v>1892.05976767449</v>
      </c>
    </row>
    <row r="62" customFormat="false" ht="15" hidden="false" customHeight="false" outlineLevel="0" collapsed="false">
      <c r="A62" s="5" t="s">
        <v>637</v>
      </c>
      <c r="B62" s="5" t="s">
        <v>638</v>
      </c>
      <c r="C62" s="135" t="n">
        <v>10</v>
      </c>
      <c r="D62" s="47" t="n">
        <f aca="false">Inputs!$C$6</f>
        <v>20000</v>
      </c>
      <c r="E62" s="35" t="n">
        <f aca="false">Inputs!$C$19</f>
        <v>0.0135</v>
      </c>
      <c r="F62" s="36" t="n">
        <f aca="false">Inputs!$C$20</f>
        <v>0.2</v>
      </c>
      <c r="G62" s="30" t="n">
        <v>0</v>
      </c>
      <c r="H62" s="27" t="n">
        <v>0</v>
      </c>
      <c r="I62" s="132" t="n">
        <f aca="false">Inputs!$C$38+$C62*Inputs!$C$39</f>
        <v>0.1</v>
      </c>
      <c r="J62" s="36" t="n">
        <f aca="false">Inputs!$C$9</f>
        <v>0.15</v>
      </c>
      <c r="K62" s="89" t="n">
        <f aca="false">IRR(W62:AG62,0.1)</f>
        <v>0.0664745873122854</v>
      </c>
      <c r="L62" s="45" t="n">
        <f aca="false">W62+NPV($J62,X62:AG62)</f>
        <v>-5347.0862915971</v>
      </c>
      <c r="M62" s="45" t="n">
        <f aca="false">SUM(BF62,BV62,CL62,DB62,DR62,EH62,EX62,FN62,GD62,GT62)</f>
        <v>28992.0805727979</v>
      </c>
      <c r="N62" s="43" t="n">
        <f aca="false">IF($D62*SUM(Inputs!$C$13:$L$13)=0,0,M62/($D62*SUM(Inputs!$C$13:$L$13)))</f>
        <v>1.44960402863989</v>
      </c>
      <c r="O62" s="42" t="n">
        <f aca="false">$D62*$E62*COLUMNS(Inputs!$C$13:$L$13)</f>
        <v>2700</v>
      </c>
      <c r="P62" s="45" t="n">
        <f aca="false">SUM(BG62,BW62,CM62,DC62,DS62,EI62,EY62,FO62,GE62,GU62)</f>
        <v>2248.02014319946</v>
      </c>
      <c r="Q62" s="42" t="n">
        <f aca="false">PV($J62,COLUMNS(Inputs!$C$13:$L$13),-$D62*$E62,0,1)</f>
        <v>1558.32765832774</v>
      </c>
      <c r="R62" s="45" t="n">
        <f aca="false">NPV($J62,BG62,BW62,CM62,DC62,DS62,EI62,EY62,FO62,GE62,GU62)</f>
        <v>555.676198452794</v>
      </c>
      <c r="S62" s="45" t="n">
        <f aca="false">Q62+R62</f>
        <v>2114.00385678053</v>
      </c>
      <c r="T62" s="32" t="n">
        <f aca="false">IF(S62=0,0,Q62/S62)</f>
        <v>0.737145134967234</v>
      </c>
      <c r="U62" s="45" t="n">
        <f aca="false">ROUND(ABS(GK62)+ABS(SUM(AV62,BL62,CB62,CR62,DH62,DX62,EN62,FD62,FT62,GJ62)-M62-P62)+ABS(S62-(AH62+NPV($J62,AI62:AR62))),6)</f>
        <v>0</v>
      </c>
      <c r="W62" s="133" t="n">
        <f aca="false">-$D62*Inputs!$C$13</f>
        <v>-4000</v>
      </c>
      <c r="X62" s="133" t="n">
        <f aca="false">BF62-$D62*Inputs!$D$13</f>
        <v>-4000</v>
      </c>
      <c r="Y62" s="133" t="n">
        <f aca="false">BV62-$D62*Inputs!$E$13</f>
        <v>-4000</v>
      </c>
      <c r="Z62" s="133" t="n">
        <f aca="false">CL62-$D62*Inputs!$F$13</f>
        <v>-4000</v>
      </c>
      <c r="AA62" s="133" t="n">
        <f aca="false">DB62-$D62*Inputs!$G$13</f>
        <v>-4000</v>
      </c>
      <c r="AB62" s="133" t="n">
        <f aca="false">DR62-$D62*Inputs!$H$13</f>
        <v>5009.84506</v>
      </c>
      <c r="AC62" s="133" t="n">
        <f aca="false">EH62-$D62*Inputs!$I$13</f>
        <v>4349.2636528</v>
      </c>
      <c r="AD62" s="133" t="n">
        <f aca="false">EX62-$D62*Inputs!$J$13</f>
        <v>3767.952014464</v>
      </c>
      <c r="AE62" s="133" t="n">
        <f aca="false">FN62-$D62*Inputs!$K$13</f>
        <v>3256.39777272832</v>
      </c>
      <c r="AF62" s="133" t="n">
        <f aca="false">GD62-$D62*Inputs!$L$13</f>
        <v>2806.23004000092</v>
      </c>
      <c r="AG62" s="84" t="n">
        <f aca="false">GT62</f>
        <v>9802.3920328046</v>
      </c>
      <c r="AH62" s="84" t="n">
        <f aca="false">$D62*$E62</f>
        <v>270</v>
      </c>
      <c r="AI62" s="84" t="n">
        <f aca="false">BG62+$D62*$E62</f>
        <v>270</v>
      </c>
      <c r="AJ62" s="84" t="n">
        <f aca="false">BW62+$D62*$E62</f>
        <v>270</v>
      </c>
      <c r="AK62" s="84" t="n">
        <f aca="false">CM62+$D62*$E62</f>
        <v>270</v>
      </c>
      <c r="AL62" s="84" t="n">
        <f aca="false">DC62+$D62*$E62</f>
        <v>270</v>
      </c>
      <c r="AM62" s="84" t="n">
        <f aca="false">DS62+$D62*$E62</f>
        <v>270</v>
      </c>
      <c r="AN62" s="84" t="n">
        <f aca="false">EI62+$D62*$E62</f>
        <v>270</v>
      </c>
      <c r="AO62" s="84" t="n">
        <f aca="false">EY62+$D62*$E62</f>
        <v>270</v>
      </c>
      <c r="AP62" s="84" t="n">
        <f aca="false">FO62+$D62*$E62</f>
        <v>270</v>
      </c>
      <c r="AQ62" s="84" t="n">
        <f aca="false">GE62+$D62*$E62</f>
        <v>270</v>
      </c>
      <c r="AR62" s="84" t="n">
        <f aca="false">GU62</f>
        <v>2248.02014319946</v>
      </c>
      <c r="AT62" s="133" t="n">
        <f aca="false">$D62*Inputs!$C$13-$D62*$E62</f>
        <v>3730</v>
      </c>
      <c r="AU62" s="84" t="n">
        <f aca="false">AT62*(1+$I62)</f>
        <v>4103</v>
      </c>
      <c r="AV62" s="133" t="n">
        <f aca="false">AU62*Inputs!$C$14</f>
        <v>0</v>
      </c>
      <c r="AW62" s="84" t="n">
        <f aca="false">AU62-AV62</f>
        <v>4103</v>
      </c>
      <c r="AX62" s="133" t="n">
        <f aca="false">$D62*Inputs!$C$13</f>
        <v>4000</v>
      </c>
      <c r="AY62" s="84" t="n">
        <f aca="false">MIN(AV62,AX62)</f>
        <v>0</v>
      </c>
      <c r="AZ62" s="84" t="n">
        <f aca="false">AX62-AY62</f>
        <v>4000</v>
      </c>
      <c r="BA62" s="84" t="n">
        <f aca="false">$G62*AX62</f>
        <v>0</v>
      </c>
      <c r="BB62" s="84" t="n">
        <f aca="false">MIN(AV62-AY62,BA62)</f>
        <v>0</v>
      </c>
      <c r="BC62" s="84" t="n">
        <f aca="false">BA62-BB62</f>
        <v>0</v>
      </c>
      <c r="BD62" s="84" t="n">
        <f aca="false">IF($H62=1,MIN(AV62-AY62-BB62,MAX(0,$F62/(1-$F62)*BB62)),0)</f>
        <v>0</v>
      </c>
      <c r="BE62" s="84" t="n">
        <f aca="false">AV62-AY62-BB62-BD62</f>
        <v>0</v>
      </c>
      <c r="BF62" s="84" t="n">
        <f aca="false">AY62+BB62+(1-$F62)*BE62</f>
        <v>0</v>
      </c>
      <c r="BG62" s="84" t="n">
        <f aca="false">BD62+$F62*BE62</f>
        <v>0</v>
      </c>
      <c r="BH62" s="84" t="n">
        <f aca="false">BB62+(1-$F62)*BE62</f>
        <v>0</v>
      </c>
      <c r="BI62" s="84" t="n">
        <f aca="false">BG62</f>
        <v>0</v>
      </c>
      <c r="BJ62" s="133" t="n">
        <f aca="false">AW62+$D62*Inputs!$D$13-$D62*$E62</f>
        <v>7833</v>
      </c>
      <c r="BK62" s="84" t="n">
        <f aca="false">BJ62*(1+$I62)</f>
        <v>8616.3</v>
      </c>
      <c r="BL62" s="133" t="n">
        <f aca="false">BK62*Inputs!$D$14</f>
        <v>0</v>
      </c>
      <c r="BM62" s="84" t="n">
        <f aca="false">BK62-BL62</f>
        <v>8616.3</v>
      </c>
      <c r="BN62" s="133" t="n">
        <f aca="false">AZ62+$D62*Inputs!$D$13</f>
        <v>8000</v>
      </c>
      <c r="BO62" s="84" t="n">
        <f aca="false">MIN(BL62,BN62)</f>
        <v>0</v>
      </c>
      <c r="BP62" s="84" t="n">
        <f aca="false">BN62-BO62</f>
        <v>8000</v>
      </c>
      <c r="BQ62" s="84" t="n">
        <f aca="false">BC62+$G62*(BN62+BC62)</f>
        <v>0</v>
      </c>
      <c r="BR62" s="84" t="n">
        <f aca="false">MIN(BL62-BO62,BQ62)</f>
        <v>0</v>
      </c>
      <c r="BS62" s="84" t="n">
        <f aca="false">BQ62-BR62</f>
        <v>0</v>
      </c>
      <c r="BT62" s="84" t="n">
        <f aca="false">IF($H62=1,MIN(BL62-BO62-BR62,MAX(0,$F62/(1-$F62)*(BH62+BR62)-BI62)),0)</f>
        <v>0</v>
      </c>
      <c r="BU62" s="84" t="n">
        <f aca="false">BL62-BO62-BR62-BT62</f>
        <v>0</v>
      </c>
      <c r="BV62" s="84" t="n">
        <f aca="false">BO62+BR62+(1-$F62)*BU62</f>
        <v>0</v>
      </c>
      <c r="BW62" s="84" t="n">
        <f aca="false">BT62+$F62*BU62</f>
        <v>0</v>
      </c>
      <c r="BX62" s="84" t="n">
        <f aca="false">BH62+BR62+(1-$F62)*BU62</f>
        <v>0</v>
      </c>
      <c r="BY62" s="84" t="n">
        <f aca="false">BI62+BW62</f>
        <v>0</v>
      </c>
      <c r="BZ62" s="133" t="n">
        <f aca="false">BM62+$D62*Inputs!$E$13-$D62*$E62</f>
        <v>12346.3</v>
      </c>
      <c r="CA62" s="84" t="n">
        <f aca="false">BZ62*(1+$I62)</f>
        <v>13580.93</v>
      </c>
      <c r="CB62" s="133" t="n">
        <f aca="false">CA62*Inputs!$E$14</f>
        <v>0</v>
      </c>
      <c r="CC62" s="84" t="n">
        <f aca="false">CA62-CB62</f>
        <v>13580.93</v>
      </c>
      <c r="CD62" s="133" t="n">
        <f aca="false">BP62+$D62*Inputs!$E$13</f>
        <v>12000</v>
      </c>
      <c r="CE62" s="84" t="n">
        <f aca="false">MIN(CB62,CD62)</f>
        <v>0</v>
      </c>
      <c r="CF62" s="84" t="n">
        <f aca="false">CD62-CE62</f>
        <v>12000</v>
      </c>
      <c r="CG62" s="84" t="n">
        <f aca="false">BS62+$G62*(CD62+BS62)</f>
        <v>0</v>
      </c>
      <c r="CH62" s="84" t="n">
        <f aca="false">MIN(CB62-CE62,CG62)</f>
        <v>0</v>
      </c>
      <c r="CI62" s="84" t="n">
        <f aca="false">CG62-CH62</f>
        <v>0</v>
      </c>
      <c r="CJ62" s="84" t="n">
        <f aca="false">IF($H62=1,MIN(CB62-CE62-CH62,MAX(0,$F62/(1-$F62)*(BX62+CH62)-BY62)),0)</f>
        <v>0</v>
      </c>
      <c r="CK62" s="84" t="n">
        <f aca="false">CB62-CE62-CH62-CJ62</f>
        <v>0</v>
      </c>
      <c r="CL62" s="84" t="n">
        <f aca="false">CE62+CH62+(1-$F62)*CK62</f>
        <v>0</v>
      </c>
      <c r="CM62" s="84" t="n">
        <f aca="false">CJ62+$F62*CK62</f>
        <v>0</v>
      </c>
      <c r="CN62" s="84" t="n">
        <f aca="false">BX62+CH62+(1-$F62)*CK62</f>
        <v>0</v>
      </c>
      <c r="CO62" s="84" t="n">
        <f aca="false">BY62+CM62</f>
        <v>0</v>
      </c>
      <c r="CP62" s="133" t="n">
        <f aca="false">CC62+$D62*Inputs!$F$13-$D62*$E62</f>
        <v>17310.93</v>
      </c>
      <c r="CQ62" s="84" t="n">
        <f aca="false">CP62*(1+$I62)</f>
        <v>19042.023</v>
      </c>
      <c r="CR62" s="133" t="n">
        <f aca="false">CQ62*Inputs!$F$14</f>
        <v>0</v>
      </c>
      <c r="CS62" s="84" t="n">
        <f aca="false">CQ62-CR62</f>
        <v>19042.023</v>
      </c>
      <c r="CT62" s="133" t="n">
        <f aca="false">CF62+$D62*Inputs!$F$13</f>
        <v>16000</v>
      </c>
      <c r="CU62" s="84" t="n">
        <f aca="false">MIN(CR62,CT62)</f>
        <v>0</v>
      </c>
      <c r="CV62" s="84" t="n">
        <f aca="false">CT62-CU62</f>
        <v>16000</v>
      </c>
      <c r="CW62" s="84" t="n">
        <f aca="false">CI62+$G62*(CT62+CI62)</f>
        <v>0</v>
      </c>
      <c r="CX62" s="84" t="n">
        <f aca="false">MIN(CR62-CU62,CW62)</f>
        <v>0</v>
      </c>
      <c r="CY62" s="84" t="n">
        <f aca="false">CW62-CX62</f>
        <v>0</v>
      </c>
      <c r="CZ62" s="84" t="n">
        <f aca="false">IF($H62=1,MIN(CR62-CU62-CX62,MAX(0,$F62/(1-$F62)*(CN62+CX62)-CO62)),0)</f>
        <v>0</v>
      </c>
      <c r="DA62" s="84" t="n">
        <f aca="false">CR62-CU62-CX62-CZ62</f>
        <v>0</v>
      </c>
      <c r="DB62" s="84" t="n">
        <f aca="false">CU62+CX62+(1-$F62)*DA62</f>
        <v>0</v>
      </c>
      <c r="DC62" s="84" t="n">
        <f aca="false">CZ62+$F62*DA62</f>
        <v>0</v>
      </c>
      <c r="DD62" s="84" t="n">
        <f aca="false">CN62+CX62+(1-$F62)*DA62</f>
        <v>0</v>
      </c>
      <c r="DE62" s="84" t="n">
        <f aca="false">CO62+DC62</f>
        <v>0</v>
      </c>
      <c r="DF62" s="133" t="n">
        <f aca="false">CS62+$D62*Inputs!$G$13-$D62*$E62</f>
        <v>22772.023</v>
      </c>
      <c r="DG62" s="84" t="n">
        <f aca="false">DF62*(1+$I62)</f>
        <v>25049.2253</v>
      </c>
      <c r="DH62" s="133" t="n">
        <f aca="false">DG62*Inputs!$G$14</f>
        <v>5009.84506</v>
      </c>
      <c r="DI62" s="84" t="n">
        <f aca="false">DG62-DH62</f>
        <v>20039.38024</v>
      </c>
      <c r="DJ62" s="133" t="n">
        <f aca="false">CV62+$D62*Inputs!$G$13</f>
        <v>20000</v>
      </c>
      <c r="DK62" s="84" t="n">
        <f aca="false">MIN(DH62,DJ62)</f>
        <v>5009.84506</v>
      </c>
      <c r="DL62" s="84" t="n">
        <f aca="false">DJ62-DK62</f>
        <v>14990.15494</v>
      </c>
      <c r="DM62" s="84" t="n">
        <f aca="false">CY62+$G62*(DJ62+CY62)</f>
        <v>0</v>
      </c>
      <c r="DN62" s="84" t="n">
        <f aca="false">MIN(DH62-DK62,DM62)</f>
        <v>0</v>
      </c>
      <c r="DO62" s="84" t="n">
        <f aca="false">DM62-DN62</f>
        <v>0</v>
      </c>
      <c r="DP62" s="84" t="n">
        <f aca="false">IF($H62=1,MIN(DH62-DK62-DN62,MAX(0,$F62/(1-$F62)*(DD62+DN62)-DE62)),0)</f>
        <v>0</v>
      </c>
      <c r="DQ62" s="84" t="n">
        <f aca="false">DH62-DK62-DN62-DP62</f>
        <v>0</v>
      </c>
      <c r="DR62" s="84" t="n">
        <f aca="false">DK62+DN62+(1-$F62)*DQ62</f>
        <v>5009.84506</v>
      </c>
      <c r="DS62" s="84" t="n">
        <f aca="false">DP62+$F62*DQ62</f>
        <v>0</v>
      </c>
      <c r="DT62" s="84" t="n">
        <f aca="false">DD62+DN62+(1-$F62)*DQ62</f>
        <v>0</v>
      </c>
      <c r="DU62" s="84" t="n">
        <f aca="false">DE62+DS62</f>
        <v>0</v>
      </c>
      <c r="DV62" s="133" t="n">
        <f aca="false">DI62+$D62*Inputs!$H$13-$D62*$E62</f>
        <v>19769.38024</v>
      </c>
      <c r="DW62" s="84" t="n">
        <f aca="false">DV62*(1+$I62)</f>
        <v>21746.318264</v>
      </c>
      <c r="DX62" s="133" t="n">
        <f aca="false">DW62*Inputs!$H$14</f>
        <v>4349.2636528</v>
      </c>
      <c r="DY62" s="84" t="n">
        <f aca="false">DW62-DX62</f>
        <v>17397.0546112</v>
      </c>
      <c r="DZ62" s="133" t="n">
        <f aca="false">DL62+$D62*Inputs!$H$13</f>
        <v>14990.15494</v>
      </c>
      <c r="EA62" s="84" t="n">
        <f aca="false">MIN(DX62,DZ62)</f>
        <v>4349.2636528</v>
      </c>
      <c r="EB62" s="84" t="n">
        <f aca="false">DZ62-EA62</f>
        <v>10640.8912872</v>
      </c>
      <c r="EC62" s="84" t="n">
        <f aca="false">DO62+$G62*(DZ62+DO62)</f>
        <v>0</v>
      </c>
      <c r="ED62" s="84" t="n">
        <f aca="false">MIN(DX62-EA62,EC62)</f>
        <v>0</v>
      </c>
      <c r="EE62" s="84" t="n">
        <f aca="false">EC62-ED62</f>
        <v>0</v>
      </c>
      <c r="EF62" s="84" t="n">
        <f aca="false">IF($H62=1,MIN(DX62-EA62-ED62,MAX(0,$F62/(1-$F62)*(DT62+ED62)-DU62)),0)</f>
        <v>0</v>
      </c>
      <c r="EG62" s="84" t="n">
        <f aca="false">DX62-EA62-ED62-EF62</f>
        <v>0</v>
      </c>
      <c r="EH62" s="84" t="n">
        <f aca="false">EA62+ED62+(1-$F62)*EG62</f>
        <v>4349.2636528</v>
      </c>
      <c r="EI62" s="84" t="n">
        <f aca="false">EF62+$F62*EG62</f>
        <v>0</v>
      </c>
      <c r="EJ62" s="84" t="n">
        <f aca="false">DT62+ED62+(1-$F62)*EG62</f>
        <v>0</v>
      </c>
      <c r="EK62" s="84" t="n">
        <f aca="false">DU62+EI62</f>
        <v>0</v>
      </c>
      <c r="EL62" s="133" t="n">
        <f aca="false">DY62+$D62*Inputs!$I$13-$D62*$E62</f>
        <v>17127.0546112</v>
      </c>
      <c r="EM62" s="84" t="n">
        <f aca="false">EL62*(1+$I62)</f>
        <v>18839.76007232</v>
      </c>
      <c r="EN62" s="133" t="n">
        <f aca="false">EM62*Inputs!$I$14</f>
        <v>3767.952014464</v>
      </c>
      <c r="EO62" s="84" t="n">
        <f aca="false">EM62-EN62</f>
        <v>15071.808057856</v>
      </c>
      <c r="EP62" s="133" t="n">
        <f aca="false">EB62+$D62*Inputs!$I$13</f>
        <v>10640.8912872</v>
      </c>
      <c r="EQ62" s="84" t="n">
        <f aca="false">MIN(EN62,EP62)</f>
        <v>3767.952014464</v>
      </c>
      <c r="ER62" s="84" t="n">
        <f aca="false">EP62-EQ62</f>
        <v>6872.939272736</v>
      </c>
      <c r="ES62" s="84" t="n">
        <f aca="false">EE62+$G62*(EP62+EE62)</f>
        <v>0</v>
      </c>
      <c r="ET62" s="84" t="n">
        <f aca="false">MIN(EN62-EQ62,ES62)</f>
        <v>0</v>
      </c>
      <c r="EU62" s="84" t="n">
        <f aca="false">ES62-ET62</f>
        <v>0</v>
      </c>
      <c r="EV62" s="84" t="n">
        <f aca="false">IF($H62=1,MIN(EN62-EQ62-ET62,MAX(0,$F62/(1-$F62)*(EJ62+ET62)-EK62)),0)</f>
        <v>0</v>
      </c>
      <c r="EW62" s="84" t="n">
        <f aca="false">EN62-EQ62-ET62-EV62</f>
        <v>0</v>
      </c>
      <c r="EX62" s="84" t="n">
        <f aca="false">EQ62+ET62+(1-$F62)*EW62</f>
        <v>3767.952014464</v>
      </c>
      <c r="EY62" s="84" t="n">
        <f aca="false">EV62+$F62*EW62</f>
        <v>0</v>
      </c>
      <c r="EZ62" s="84" t="n">
        <f aca="false">EJ62+ET62+(1-$F62)*EW62</f>
        <v>0</v>
      </c>
      <c r="FA62" s="84" t="n">
        <f aca="false">EK62+EY62</f>
        <v>0</v>
      </c>
      <c r="FB62" s="133" t="n">
        <f aca="false">EO62+$D62*Inputs!$J$13-$D62*$E62</f>
        <v>14801.808057856</v>
      </c>
      <c r="FC62" s="84" t="n">
        <f aca="false">FB62*(1+$I62)</f>
        <v>16281.9888636416</v>
      </c>
      <c r="FD62" s="133" t="n">
        <f aca="false">FC62*Inputs!$J$14</f>
        <v>3256.39777272832</v>
      </c>
      <c r="FE62" s="84" t="n">
        <f aca="false">FC62-FD62</f>
        <v>13025.5910909133</v>
      </c>
      <c r="FF62" s="133" t="n">
        <f aca="false">ER62+$D62*Inputs!$J$13</f>
        <v>6872.939272736</v>
      </c>
      <c r="FG62" s="84" t="n">
        <f aca="false">MIN(FD62,FF62)</f>
        <v>3256.39777272832</v>
      </c>
      <c r="FH62" s="84" t="n">
        <f aca="false">FF62-FG62</f>
        <v>3616.54150000768</v>
      </c>
      <c r="FI62" s="84" t="n">
        <f aca="false">EU62+$G62*(FF62+EU62)</f>
        <v>0</v>
      </c>
      <c r="FJ62" s="84" t="n">
        <f aca="false">MIN(FD62-FG62,FI62)</f>
        <v>0</v>
      </c>
      <c r="FK62" s="84" t="n">
        <f aca="false">FI62-FJ62</f>
        <v>0</v>
      </c>
      <c r="FL62" s="84" t="n">
        <f aca="false">IF($H62=1,MIN(FD62-FG62-FJ62,MAX(0,$F62/(1-$F62)*(EZ62+FJ62)-FA62)),0)</f>
        <v>0</v>
      </c>
      <c r="FM62" s="84" t="n">
        <f aca="false">FD62-FG62-FJ62-FL62</f>
        <v>0</v>
      </c>
      <c r="FN62" s="84" t="n">
        <f aca="false">FG62+FJ62+(1-$F62)*FM62</f>
        <v>3256.39777272832</v>
      </c>
      <c r="FO62" s="84" t="n">
        <f aca="false">FL62+$F62*FM62</f>
        <v>0</v>
      </c>
      <c r="FP62" s="84" t="n">
        <f aca="false">EZ62+FJ62+(1-$F62)*FM62</f>
        <v>0</v>
      </c>
      <c r="FQ62" s="84" t="n">
        <f aca="false">FA62+FO62</f>
        <v>0</v>
      </c>
      <c r="FR62" s="133" t="n">
        <f aca="false">FE62+$D62*Inputs!$K$13-$D62*$E62</f>
        <v>12755.5910909133</v>
      </c>
      <c r="FS62" s="84" t="n">
        <f aca="false">FR62*(1+$I62)</f>
        <v>14031.1502000046</v>
      </c>
      <c r="FT62" s="133" t="n">
        <f aca="false">FS62*Inputs!$K$14</f>
        <v>2806.23004000092</v>
      </c>
      <c r="FU62" s="84" t="n">
        <f aca="false">FS62-FT62</f>
        <v>11224.9201600037</v>
      </c>
      <c r="FV62" s="133" t="n">
        <f aca="false">FH62+$D62*Inputs!$K$13</f>
        <v>3616.54150000768</v>
      </c>
      <c r="FW62" s="84" t="n">
        <f aca="false">MIN(FT62,FV62)</f>
        <v>2806.23004000092</v>
      </c>
      <c r="FX62" s="84" t="n">
        <f aca="false">FV62-FW62</f>
        <v>810.311460006753</v>
      </c>
      <c r="FY62" s="84" t="n">
        <f aca="false">FK62+$G62*(FV62+FK62)</f>
        <v>0</v>
      </c>
      <c r="FZ62" s="84" t="n">
        <f aca="false">MIN(FT62-FW62,FY62)</f>
        <v>0</v>
      </c>
      <c r="GA62" s="84" t="n">
        <f aca="false">FY62-FZ62</f>
        <v>0</v>
      </c>
      <c r="GB62" s="84" t="n">
        <f aca="false">IF($H62=1,MIN(FT62-FW62-FZ62,MAX(0,$F62/(1-$F62)*(FP62+FZ62)-FQ62)),0)</f>
        <v>0</v>
      </c>
      <c r="GC62" s="84" t="n">
        <f aca="false">FT62-FW62-FZ62-GB62</f>
        <v>0</v>
      </c>
      <c r="GD62" s="84" t="n">
        <f aca="false">FW62+FZ62+(1-$F62)*GC62</f>
        <v>2806.23004000092</v>
      </c>
      <c r="GE62" s="84" t="n">
        <f aca="false">GB62+$F62*GC62</f>
        <v>0</v>
      </c>
      <c r="GF62" s="84" t="n">
        <f aca="false">FP62+FZ62+(1-$F62)*GC62</f>
        <v>0</v>
      </c>
      <c r="GG62" s="84" t="n">
        <f aca="false">FQ62+GE62</f>
        <v>0</v>
      </c>
      <c r="GH62" s="133" t="n">
        <f aca="false">FU62+$D62*Inputs!$L$13-$D62*$E62</f>
        <v>10954.9201600037</v>
      </c>
      <c r="GI62" s="84" t="n">
        <f aca="false">GH62*(1+$I62)</f>
        <v>12050.4121760041</v>
      </c>
      <c r="GJ62" s="133" t="n">
        <f aca="false">GI62*Inputs!$L$14</f>
        <v>12050.4121760041</v>
      </c>
      <c r="GK62" s="84" t="n">
        <f aca="false">GI62-GJ62</f>
        <v>0</v>
      </c>
      <c r="GL62" s="133" t="n">
        <f aca="false">FX62+$D62*Inputs!$L$13</f>
        <v>810.311460006753</v>
      </c>
      <c r="GM62" s="84" t="n">
        <f aca="false">MIN(GJ62,GL62)</f>
        <v>810.311460006753</v>
      </c>
      <c r="GN62" s="84" t="n">
        <f aca="false">GL62-GM62</f>
        <v>0</v>
      </c>
      <c r="GO62" s="84" t="n">
        <f aca="false">GA62+$G62*(GL62+GA62)</f>
        <v>0</v>
      </c>
      <c r="GP62" s="84" t="n">
        <f aca="false">MIN(GJ62-GM62,GO62)</f>
        <v>0</v>
      </c>
      <c r="GQ62" s="84" t="n">
        <f aca="false">GO62-GP62</f>
        <v>0</v>
      </c>
      <c r="GR62" s="84" t="n">
        <f aca="false">IF($H62=1,MIN(GJ62-GM62-GP62,MAX(0,$F62/(1-$F62)*(GF62+GP62)-GG62)),0)</f>
        <v>0</v>
      </c>
      <c r="GS62" s="84" t="n">
        <f aca="false">GJ62-GM62-GP62-GR62</f>
        <v>11240.1007159973</v>
      </c>
      <c r="GT62" s="84" t="n">
        <f aca="false">GM62+GP62+(1-$F62)*GS62</f>
        <v>9802.3920328046</v>
      </c>
      <c r="GU62" s="84" t="n">
        <f aca="false">GR62+$F62*GS62</f>
        <v>2248.02014319946</v>
      </c>
      <c r="GV62" s="84" t="n">
        <f aca="false">GF62+GP62+(1-$F62)*GS62</f>
        <v>8992.08057279785</v>
      </c>
      <c r="GW62" s="84" t="n">
        <f aca="false">GG62+GU62</f>
        <v>2248.02014319946</v>
      </c>
    </row>
    <row r="63" customFormat="false" ht="15" hidden="false" customHeight="false" outlineLevel="0" collapsed="false">
      <c r="A63" s="5" t="s">
        <v>637</v>
      </c>
      <c r="B63" s="5" t="s">
        <v>638</v>
      </c>
      <c r="C63" s="135" t="n">
        <v>11</v>
      </c>
      <c r="D63" s="47" t="n">
        <f aca="false">Inputs!$C$6</f>
        <v>20000</v>
      </c>
      <c r="E63" s="35" t="n">
        <f aca="false">Inputs!$C$19</f>
        <v>0.0135</v>
      </c>
      <c r="F63" s="36" t="n">
        <f aca="false">Inputs!$C$20</f>
        <v>0.2</v>
      </c>
      <c r="G63" s="30" t="n">
        <v>0</v>
      </c>
      <c r="H63" s="27" t="n">
        <v>0</v>
      </c>
      <c r="I63" s="132" t="n">
        <f aca="false">Inputs!$C$38+$C63*Inputs!$C$39</f>
        <v>0.11</v>
      </c>
      <c r="J63" s="36" t="n">
        <f aca="false">Inputs!$C$9</f>
        <v>0.15</v>
      </c>
      <c r="K63" s="89" t="n">
        <f aca="false">IRR(W63:AG63,0.1)</f>
        <v>0.0756496336434207</v>
      </c>
      <c r="L63" s="45" t="n">
        <f aca="false">W63+NPV($J63,X63:AG63)</f>
        <v>-4860.23867134236</v>
      </c>
      <c r="M63" s="45" t="n">
        <f aca="false">SUM(BF63,BV63,CL63,DB63,DR63,EH63,EX63,FN63,GD63,GT63)</f>
        <v>30498.9767829453</v>
      </c>
      <c r="N63" s="43" t="n">
        <f aca="false">IF($D63*SUM(Inputs!$C$13:$L$13)=0,0,M63/($D63*SUM(Inputs!$C$13:$L$13)))</f>
        <v>1.52494883914727</v>
      </c>
      <c r="O63" s="42" t="n">
        <f aca="false">$D63*$E63*COLUMNS(Inputs!$C$13:$L$13)</f>
        <v>2700</v>
      </c>
      <c r="P63" s="45" t="n">
        <f aca="false">SUM(BG63,BW63,CM63,DC63,DS63,EI63,EY63,FO63,GE63,GU63)</f>
        <v>2624.74419573633</v>
      </c>
      <c r="Q63" s="42" t="n">
        <f aca="false">PV($J63,COLUMNS(Inputs!$C$13:$L$13),-$D63*$E63,0,1)</f>
        <v>1558.32765832774</v>
      </c>
      <c r="R63" s="45" t="n">
        <f aca="false">NPV($J63,BG63,BW63,CM63,DC63,DS63,EI63,EY63,FO63,GE63,GU63)</f>
        <v>649.42449655465</v>
      </c>
      <c r="S63" s="45" t="n">
        <f aca="false">Q63+R63</f>
        <v>2207.75215488239</v>
      </c>
      <c r="T63" s="32" t="n">
        <f aca="false">IF(S63=0,0,Q63/S63)</f>
        <v>0.705843568029833</v>
      </c>
      <c r="U63" s="45" t="n">
        <f aca="false">ROUND(ABS(GK63)+ABS(SUM(AV63,BL63,CB63,CR63,DH63,DX63,EN63,FD63,FT63,GJ63)-M63-P63)+ABS(S63-(AH63+NPV($J63,AI63:AR63))),6)</f>
        <v>0</v>
      </c>
      <c r="W63" s="133" t="n">
        <f aca="false">-$D63*Inputs!$C$13</f>
        <v>-4000</v>
      </c>
      <c r="X63" s="133" t="n">
        <f aca="false">BF63-$D63*Inputs!$D$13</f>
        <v>-4000</v>
      </c>
      <c r="Y63" s="133" t="n">
        <f aca="false">BV63-$D63*Inputs!$E$13</f>
        <v>-4000</v>
      </c>
      <c r="Z63" s="133" t="n">
        <f aca="false">CL63-$D63*Inputs!$F$13</f>
        <v>-4000</v>
      </c>
      <c r="AA63" s="133" t="n">
        <f aca="false">DB63-$D63*Inputs!$G$13</f>
        <v>-4000</v>
      </c>
      <c r="AB63" s="133" t="n">
        <f aca="false">DR63-$D63*Inputs!$H$13</f>
        <v>5156.9932355646</v>
      </c>
      <c r="AC63" s="133" t="n">
        <f aca="false">EH63-$D63*Inputs!$I$13</f>
        <v>4519.46999318137</v>
      </c>
      <c r="AD63" s="133" t="n">
        <f aca="false">EX63-$D63*Inputs!$J$13</f>
        <v>3953.34935394505</v>
      </c>
      <c r="AE63" s="133" t="n">
        <f aca="false">FN63-$D63*Inputs!$K$13</f>
        <v>3450.63422630321</v>
      </c>
      <c r="AF63" s="133" t="n">
        <f aca="false">GD63-$D63*Inputs!$L$13</f>
        <v>2987.28919256695</v>
      </c>
      <c r="AG63" s="84" t="n">
        <f aca="false">GT63</f>
        <v>10431.2407813842</v>
      </c>
      <c r="AH63" s="84" t="n">
        <f aca="false">$D63*$E63</f>
        <v>270</v>
      </c>
      <c r="AI63" s="84" t="n">
        <f aca="false">BG63+$D63*$E63</f>
        <v>270</v>
      </c>
      <c r="AJ63" s="84" t="n">
        <f aca="false">BW63+$D63*$E63</f>
        <v>270</v>
      </c>
      <c r="AK63" s="84" t="n">
        <f aca="false">CM63+$D63*$E63</f>
        <v>270</v>
      </c>
      <c r="AL63" s="84" t="n">
        <f aca="false">DC63+$D63*$E63</f>
        <v>270</v>
      </c>
      <c r="AM63" s="84" t="n">
        <f aca="false">DS63+$D63*$E63</f>
        <v>270</v>
      </c>
      <c r="AN63" s="84" t="n">
        <f aca="false">EI63+$D63*$E63</f>
        <v>270</v>
      </c>
      <c r="AO63" s="84" t="n">
        <f aca="false">EY63+$D63*$E63</f>
        <v>270</v>
      </c>
      <c r="AP63" s="84" t="n">
        <f aca="false">FO63+$D63*$E63</f>
        <v>270</v>
      </c>
      <c r="AQ63" s="84" t="n">
        <f aca="false">GE63+$D63*$E63</f>
        <v>286.934000390296</v>
      </c>
      <c r="AR63" s="84" t="n">
        <f aca="false">GU63</f>
        <v>2607.81019534604</v>
      </c>
      <c r="AT63" s="133" t="n">
        <f aca="false">$D63*Inputs!$C$13-$D63*$E63</f>
        <v>3730</v>
      </c>
      <c r="AU63" s="84" t="n">
        <f aca="false">AT63*(1+$I63)</f>
        <v>4140.3</v>
      </c>
      <c r="AV63" s="133" t="n">
        <f aca="false">AU63*Inputs!$C$14</f>
        <v>0</v>
      </c>
      <c r="AW63" s="84" t="n">
        <f aca="false">AU63-AV63</f>
        <v>4140.3</v>
      </c>
      <c r="AX63" s="133" t="n">
        <f aca="false">$D63*Inputs!$C$13</f>
        <v>4000</v>
      </c>
      <c r="AY63" s="84" t="n">
        <f aca="false">MIN(AV63,AX63)</f>
        <v>0</v>
      </c>
      <c r="AZ63" s="84" t="n">
        <f aca="false">AX63-AY63</f>
        <v>4000</v>
      </c>
      <c r="BA63" s="84" t="n">
        <f aca="false">$G63*AX63</f>
        <v>0</v>
      </c>
      <c r="BB63" s="84" t="n">
        <f aca="false">MIN(AV63-AY63,BA63)</f>
        <v>0</v>
      </c>
      <c r="BC63" s="84" t="n">
        <f aca="false">BA63-BB63</f>
        <v>0</v>
      </c>
      <c r="BD63" s="84" t="n">
        <f aca="false">IF($H63=1,MIN(AV63-AY63-BB63,MAX(0,$F63/(1-$F63)*BB63)),0)</f>
        <v>0</v>
      </c>
      <c r="BE63" s="84" t="n">
        <f aca="false">AV63-AY63-BB63-BD63</f>
        <v>0</v>
      </c>
      <c r="BF63" s="84" t="n">
        <f aca="false">AY63+BB63+(1-$F63)*BE63</f>
        <v>0</v>
      </c>
      <c r="BG63" s="84" t="n">
        <f aca="false">BD63+$F63*BE63</f>
        <v>0</v>
      </c>
      <c r="BH63" s="84" t="n">
        <f aca="false">BB63+(1-$F63)*BE63</f>
        <v>0</v>
      </c>
      <c r="BI63" s="84" t="n">
        <f aca="false">BG63</f>
        <v>0</v>
      </c>
      <c r="BJ63" s="133" t="n">
        <f aca="false">AW63+$D63*Inputs!$D$13-$D63*$E63</f>
        <v>7870.3</v>
      </c>
      <c r="BK63" s="84" t="n">
        <f aca="false">BJ63*(1+$I63)</f>
        <v>8736.033</v>
      </c>
      <c r="BL63" s="133" t="n">
        <f aca="false">BK63*Inputs!$D$14</f>
        <v>0</v>
      </c>
      <c r="BM63" s="84" t="n">
        <f aca="false">BK63-BL63</f>
        <v>8736.033</v>
      </c>
      <c r="BN63" s="133" t="n">
        <f aca="false">AZ63+$D63*Inputs!$D$13</f>
        <v>8000</v>
      </c>
      <c r="BO63" s="84" t="n">
        <f aca="false">MIN(BL63,BN63)</f>
        <v>0</v>
      </c>
      <c r="BP63" s="84" t="n">
        <f aca="false">BN63-BO63</f>
        <v>8000</v>
      </c>
      <c r="BQ63" s="84" t="n">
        <f aca="false">BC63+$G63*(BN63+BC63)</f>
        <v>0</v>
      </c>
      <c r="BR63" s="84" t="n">
        <f aca="false">MIN(BL63-BO63,BQ63)</f>
        <v>0</v>
      </c>
      <c r="BS63" s="84" t="n">
        <f aca="false">BQ63-BR63</f>
        <v>0</v>
      </c>
      <c r="BT63" s="84" t="n">
        <f aca="false">IF($H63=1,MIN(BL63-BO63-BR63,MAX(0,$F63/(1-$F63)*(BH63+BR63)-BI63)),0)</f>
        <v>0</v>
      </c>
      <c r="BU63" s="84" t="n">
        <f aca="false">BL63-BO63-BR63-BT63</f>
        <v>0</v>
      </c>
      <c r="BV63" s="84" t="n">
        <f aca="false">BO63+BR63+(1-$F63)*BU63</f>
        <v>0</v>
      </c>
      <c r="BW63" s="84" t="n">
        <f aca="false">BT63+$F63*BU63</f>
        <v>0</v>
      </c>
      <c r="BX63" s="84" t="n">
        <f aca="false">BH63+BR63+(1-$F63)*BU63</f>
        <v>0</v>
      </c>
      <c r="BY63" s="84" t="n">
        <f aca="false">BI63+BW63</f>
        <v>0</v>
      </c>
      <c r="BZ63" s="133" t="n">
        <f aca="false">BM63+$D63*Inputs!$E$13-$D63*$E63</f>
        <v>12466.033</v>
      </c>
      <c r="CA63" s="84" t="n">
        <f aca="false">BZ63*(1+$I63)</f>
        <v>13837.29663</v>
      </c>
      <c r="CB63" s="133" t="n">
        <f aca="false">CA63*Inputs!$E$14</f>
        <v>0</v>
      </c>
      <c r="CC63" s="84" t="n">
        <f aca="false">CA63-CB63</f>
        <v>13837.29663</v>
      </c>
      <c r="CD63" s="133" t="n">
        <f aca="false">BP63+$D63*Inputs!$E$13</f>
        <v>12000</v>
      </c>
      <c r="CE63" s="84" t="n">
        <f aca="false">MIN(CB63,CD63)</f>
        <v>0</v>
      </c>
      <c r="CF63" s="84" t="n">
        <f aca="false">CD63-CE63</f>
        <v>12000</v>
      </c>
      <c r="CG63" s="84" t="n">
        <f aca="false">BS63+$G63*(CD63+BS63)</f>
        <v>0</v>
      </c>
      <c r="CH63" s="84" t="n">
        <f aca="false">MIN(CB63-CE63,CG63)</f>
        <v>0</v>
      </c>
      <c r="CI63" s="84" t="n">
        <f aca="false">CG63-CH63</f>
        <v>0</v>
      </c>
      <c r="CJ63" s="84" t="n">
        <f aca="false">IF($H63=1,MIN(CB63-CE63-CH63,MAX(0,$F63/(1-$F63)*(BX63+CH63)-BY63)),0)</f>
        <v>0</v>
      </c>
      <c r="CK63" s="84" t="n">
        <f aca="false">CB63-CE63-CH63-CJ63</f>
        <v>0</v>
      </c>
      <c r="CL63" s="84" t="n">
        <f aca="false">CE63+CH63+(1-$F63)*CK63</f>
        <v>0</v>
      </c>
      <c r="CM63" s="84" t="n">
        <f aca="false">CJ63+$F63*CK63</f>
        <v>0</v>
      </c>
      <c r="CN63" s="84" t="n">
        <f aca="false">BX63+CH63+(1-$F63)*CK63</f>
        <v>0</v>
      </c>
      <c r="CO63" s="84" t="n">
        <f aca="false">BY63+CM63</f>
        <v>0</v>
      </c>
      <c r="CP63" s="133" t="n">
        <f aca="false">CC63+$D63*Inputs!$F$13-$D63*$E63</f>
        <v>17567.29663</v>
      </c>
      <c r="CQ63" s="84" t="n">
        <f aca="false">CP63*(1+$I63)</f>
        <v>19499.6992593</v>
      </c>
      <c r="CR63" s="133" t="n">
        <f aca="false">CQ63*Inputs!$F$14</f>
        <v>0</v>
      </c>
      <c r="CS63" s="84" t="n">
        <f aca="false">CQ63-CR63</f>
        <v>19499.6992593</v>
      </c>
      <c r="CT63" s="133" t="n">
        <f aca="false">CF63+$D63*Inputs!$F$13</f>
        <v>16000</v>
      </c>
      <c r="CU63" s="84" t="n">
        <f aca="false">MIN(CR63,CT63)</f>
        <v>0</v>
      </c>
      <c r="CV63" s="84" t="n">
        <f aca="false">CT63-CU63</f>
        <v>16000</v>
      </c>
      <c r="CW63" s="84" t="n">
        <f aca="false">CI63+$G63*(CT63+CI63)</f>
        <v>0</v>
      </c>
      <c r="CX63" s="84" t="n">
        <f aca="false">MIN(CR63-CU63,CW63)</f>
        <v>0</v>
      </c>
      <c r="CY63" s="84" t="n">
        <f aca="false">CW63-CX63</f>
        <v>0</v>
      </c>
      <c r="CZ63" s="84" t="n">
        <f aca="false">IF($H63=1,MIN(CR63-CU63-CX63,MAX(0,$F63/(1-$F63)*(CN63+CX63)-CO63)),0)</f>
        <v>0</v>
      </c>
      <c r="DA63" s="84" t="n">
        <f aca="false">CR63-CU63-CX63-CZ63</f>
        <v>0</v>
      </c>
      <c r="DB63" s="84" t="n">
        <f aca="false">CU63+CX63+(1-$F63)*DA63</f>
        <v>0</v>
      </c>
      <c r="DC63" s="84" t="n">
        <f aca="false">CZ63+$F63*DA63</f>
        <v>0</v>
      </c>
      <c r="DD63" s="84" t="n">
        <f aca="false">CN63+CX63+(1-$F63)*DA63</f>
        <v>0</v>
      </c>
      <c r="DE63" s="84" t="n">
        <f aca="false">CO63+DC63</f>
        <v>0</v>
      </c>
      <c r="DF63" s="133" t="n">
        <f aca="false">CS63+$D63*Inputs!$G$13-$D63*$E63</f>
        <v>23229.6992593</v>
      </c>
      <c r="DG63" s="84" t="n">
        <f aca="false">DF63*(1+$I63)</f>
        <v>25784.966177823</v>
      </c>
      <c r="DH63" s="133" t="n">
        <f aca="false">DG63*Inputs!$G$14</f>
        <v>5156.9932355646</v>
      </c>
      <c r="DI63" s="84" t="n">
        <f aca="false">DG63-DH63</f>
        <v>20627.9729422584</v>
      </c>
      <c r="DJ63" s="133" t="n">
        <f aca="false">CV63+$D63*Inputs!$G$13</f>
        <v>20000</v>
      </c>
      <c r="DK63" s="84" t="n">
        <f aca="false">MIN(DH63,DJ63)</f>
        <v>5156.9932355646</v>
      </c>
      <c r="DL63" s="84" t="n">
        <f aca="false">DJ63-DK63</f>
        <v>14843.0067644354</v>
      </c>
      <c r="DM63" s="84" t="n">
        <f aca="false">CY63+$G63*(DJ63+CY63)</f>
        <v>0</v>
      </c>
      <c r="DN63" s="84" t="n">
        <f aca="false">MIN(DH63-DK63,DM63)</f>
        <v>0</v>
      </c>
      <c r="DO63" s="84" t="n">
        <f aca="false">DM63-DN63</f>
        <v>0</v>
      </c>
      <c r="DP63" s="84" t="n">
        <f aca="false">IF($H63=1,MIN(DH63-DK63-DN63,MAX(0,$F63/(1-$F63)*(DD63+DN63)-DE63)),0)</f>
        <v>0</v>
      </c>
      <c r="DQ63" s="84" t="n">
        <f aca="false">DH63-DK63-DN63-DP63</f>
        <v>0</v>
      </c>
      <c r="DR63" s="84" t="n">
        <f aca="false">DK63+DN63+(1-$F63)*DQ63</f>
        <v>5156.9932355646</v>
      </c>
      <c r="DS63" s="84" t="n">
        <f aca="false">DP63+$F63*DQ63</f>
        <v>0</v>
      </c>
      <c r="DT63" s="84" t="n">
        <f aca="false">DD63+DN63+(1-$F63)*DQ63</f>
        <v>0</v>
      </c>
      <c r="DU63" s="84" t="n">
        <f aca="false">DE63+DS63</f>
        <v>0</v>
      </c>
      <c r="DV63" s="133" t="n">
        <f aca="false">DI63+$D63*Inputs!$H$13-$D63*$E63</f>
        <v>20357.9729422584</v>
      </c>
      <c r="DW63" s="84" t="n">
        <f aca="false">DV63*(1+$I63)</f>
        <v>22597.3499659068</v>
      </c>
      <c r="DX63" s="133" t="n">
        <f aca="false">DW63*Inputs!$H$14</f>
        <v>4519.46999318137</v>
      </c>
      <c r="DY63" s="84" t="n">
        <f aca="false">DW63-DX63</f>
        <v>18077.8799727255</v>
      </c>
      <c r="DZ63" s="133" t="n">
        <f aca="false">DL63+$D63*Inputs!$H$13</f>
        <v>14843.0067644354</v>
      </c>
      <c r="EA63" s="84" t="n">
        <f aca="false">MIN(DX63,DZ63)</f>
        <v>4519.46999318137</v>
      </c>
      <c r="EB63" s="84" t="n">
        <f aca="false">DZ63-EA63</f>
        <v>10323.536771254</v>
      </c>
      <c r="EC63" s="84" t="n">
        <f aca="false">DO63+$G63*(DZ63+DO63)</f>
        <v>0</v>
      </c>
      <c r="ED63" s="84" t="n">
        <f aca="false">MIN(DX63-EA63,EC63)</f>
        <v>0</v>
      </c>
      <c r="EE63" s="84" t="n">
        <f aca="false">EC63-ED63</f>
        <v>0</v>
      </c>
      <c r="EF63" s="84" t="n">
        <f aca="false">IF($H63=1,MIN(DX63-EA63-ED63,MAX(0,$F63/(1-$F63)*(DT63+ED63)-DU63)),0)</f>
        <v>0</v>
      </c>
      <c r="EG63" s="84" t="n">
        <f aca="false">DX63-EA63-ED63-EF63</f>
        <v>0</v>
      </c>
      <c r="EH63" s="84" t="n">
        <f aca="false">EA63+ED63+(1-$F63)*EG63</f>
        <v>4519.46999318137</v>
      </c>
      <c r="EI63" s="84" t="n">
        <f aca="false">EF63+$F63*EG63</f>
        <v>0</v>
      </c>
      <c r="EJ63" s="84" t="n">
        <f aca="false">DT63+ED63+(1-$F63)*EG63</f>
        <v>0</v>
      </c>
      <c r="EK63" s="84" t="n">
        <f aca="false">DU63+EI63</f>
        <v>0</v>
      </c>
      <c r="EL63" s="133" t="n">
        <f aca="false">DY63+$D63*Inputs!$I$13-$D63*$E63</f>
        <v>17807.8799727255</v>
      </c>
      <c r="EM63" s="84" t="n">
        <f aca="false">EL63*(1+$I63)</f>
        <v>19766.7467697253</v>
      </c>
      <c r="EN63" s="133" t="n">
        <f aca="false">EM63*Inputs!$I$14</f>
        <v>3953.34935394505</v>
      </c>
      <c r="EO63" s="84" t="n">
        <f aca="false">EM63-EN63</f>
        <v>15813.3974157802</v>
      </c>
      <c r="EP63" s="133" t="n">
        <f aca="false">EB63+$D63*Inputs!$I$13</f>
        <v>10323.536771254</v>
      </c>
      <c r="EQ63" s="84" t="n">
        <f aca="false">MIN(EN63,EP63)</f>
        <v>3953.34935394505</v>
      </c>
      <c r="ER63" s="84" t="n">
        <f aca="false">EP63-EQ63</f>
        <v>6370.18741730898</v>
      </c>
      <c r="ES63" s="84" t="n">
        <f aca="false">EE63+$G63*(EP63+EE63)</f>
        <v>0</v>
      </c>
      <c r="ET63" s="84" t="n">
        <f aca="false">MIN(EN63-EQ63,ES63)</f>
        <v>0</v>
      </c>
      <c r="EU63" s="84" t="n">
        <f aca="false">ES63-ET63</f>
        <v>0</v>
      </c>
      <c r="EV63" s="84" t="n">
        <f aca="false">IF($H63=1,MIN(EN63-EQ63-ET63,MAX(0,$F63/(1-$F63)*(EJ63+ET63)-EK63)),0)</f>
        <v>0</v>
      </c>
      <c r="EW63" s="84" t="n">
        <f aca="false">EN63-EQ63-ET63-EV63</f>
        <v>0</v>
      </c>
      <c r="EX63" s="84" t="n">
        <f aca="false">EQ63+ET63+(1-$F63)*EW63</f>
        <v>3953.34935394505</v>
      </c>
      <c r="EY63" s="84" t="n">
        <f aca="false">EV63+$F63*EW63</f>
        <v>0</v>
      </c>
      <c r="EZ63" s="84" t="n">
        <f aca="false">EJ63+ET63+(1-$F63)*EW63</f>
        <v>0</v>
      </c>
      <c r="FA63" s="84" t="n">
        <f aca="false">EK63+EY63</f>
        <v>0</v>
      </c>
      <c r="FB63" s="133" t="n">
        <f aca="false">EO63+$D63*Inputs!$J$13-$D63*$E63</f>
        <v>15543.3974157802</v>
      </c>
      <c r="FC63" s="84" t="n">
        <f aca="false">FB63*(1+$I63)</f>
        <v>17253.171131516</v>
      </c>
      <c r="FD63" s="133" t="n">
        <f aca="false">FC63*Inputs!$J$14</f>
        <v>3450.63422630321</v>
      </c>
      <c r="FE63" s="84" t="n">
        <f aca="false">FC63-FD63</f>
        <v>13802.5369052128</v>
      </c>
      <c r="FF63" s="133" t="n">
        <f aca="false">ER63+$D63*Inputs!$J$13</f>
        <v>6370.18741730898</v>
      </c>
      <c r="FG63" s="84" t="n">
        <f aca="false">MIN(FD63,FF63)</f>
        <v>3450.63422630321</v>
      </c>
      <c r="FH63" s="84" t="n">
        <f aca="false">FF63-FG63</f>
        <v>2919.55319100577</v>
      </c>
      <c r="FI63" s="84" t="n">
        <f aca="false">EU63+$G63*(FF63+EU63)</f>
        <v>0</v>
      </c>
      <c r="FJ63" s="84" t="n">
        <f aca="false">MIN(FD63-FG63,FI63)</f>
        <v>0</v>
      </c>
      <c r="FK63" s="84" t="n">
        <f aca="false">FI63-FJ63</f>
        <v>0</v>
      </c>
      <c r="FL63" s="84" t="n">
        <f aca="false">IF($H63=1,MIN(FD63-FG63-FJ63,MAX(0,$F63/(1-$F63)*(EZ63+FJ63)-FA63)),0)</f>
        <v>0</v>
      </c>
      <c r="FM63" s="84" t="n">
        <f aca="false">FD63-FG63-FJ63-FL63</f>
        <v>0</v>
      </c>
      <c r="FN63" s="84" t="n">
        <f aca="false">FG63+FJ63+(1-$F63)*FM63</f>
        <v>3450.63422630321</v>
      </c>
      <c r="FO63" s="84" t="n">
        <f aca="false">FL63+$F63*FM63</f>
        <v>0</v>
      </c>
      <c r="FP63" s="84" t="n">
        <f aca="false">EZ63+FJ63+(1-$F63)*FM63</f>
        <v>0</v>
      </c>
      <c r="FQ63" s="84" t="n">
        <f aca="false">FA63+FO63</f>
        <v>0</v>
      </c>
      <c r="FR63" s="133" t="n">
        <f aca="false">FE63+$D63*Inputs!$K$13-$D63*$E63</f>
        <v>13532.5369052128</v>
      </c>
      <c r="FS63" s="84" t="n">
        <f aca="false">FR63*(1+$I63)</f>
        <v>15021.1159647862</v>
      </c>
      <c r="FT63" s="133" t="n">
        <f aca="false">FS63*Inputs!$K$14</f>
        <v>3004.22319295725</v>
      </c>
      <c r="FU63" s="84" t="n">
        <f aca="false">FS63-FT63</f>
        <v>12016.892771829</v>
      </c>
      <c r="FV63" s="133" t="n">
        <f aca="false">FH63+$D63*Inputs!$K$13</f>
        <v>2919.55319100577</v>
      </c>
      <c r="FW63" s="84" t="n">
        <f aca="false">MIN(FT63,FV63)</f>
        <v>2919.55319100577</v>
      </c>
      <c r="FX63" s="84" t="n">
        <f aca="false">FV63-FW63</f>
        <v>0</v>
      </c>
      <c r="FY63" s="84" t="n">
        <f aca="false">FK63+$G63*(FV63+FK63)</f>
        <v>0</v>
      </c>
      <c r="FZ63" s="84" t="n">
        <f aca="false">MIN(FT63-FW63,FY63)</f>
        <v>0</v>
      </c>
      <c r="GA63" s="84" t="n">
        <f aca="false">FY63-FZ63</f>
        <v>0</v>
      </c>
      <c r="GB63" s="84" t="n">
        <f aca="false">IF($H63=1,MIN(FT63-FW63-FZ63,MAX(0,$F63/(1-$F63)*(FP63+FZ63)-FQ63)),0)</f>
        <v>0</v>
      </c>
      <c r="GC63" s="84" t="n">
        <f aca="false">FT63-FW63-FZ63-GB63</f>
        <v>84.670001951481</v>
      </c>
      <c r="GD63" s="84" t="n">
        <f aca="false">FW63+FZ63+(1-$F63)*GC63</f>
        <v>2987.28919256695</v>
      </c>
      <c r="GE63" s="84" t="n">
        <f aca="false">GB63+$F63*GC63</f>
        <v>16.9340003902962</v>
      </c>
      <c r="GF63" s="84" t="n">
        <f aca="false">FP63+FZ63+(1-$F63)*GC63</f>
        <v>67.7360015611848</v>
      </c>
      <c r="GG63" s="84" t="n">
        <f aca="false">FQ63+GE63</f>
        <v>16.9340003902962</v>
      </c>
      <c r="GH63" s="133" t="n">
        <f aca="false">FU63+$D63*Inputs!$L$13-$D63*$E63</f>
        <v>11746.892771829</v>
      </c>
      <c r="GI63" s="84" t="n">
        <f aca="false">GH63*(1+$I63)</f>
        <v>13039.0509767302</v>
      </c>
      <c r="GJ63" s="133" t="n">
        <f aca="false">GI63*Inputs!$L$14</f>
        <v>13039.0509767302</v>
      </c>
      <c r="GK63" s="84" t="n">
        <f aca="false">GI63-GJ63</f>
        <v>0</v>
      </c>
      <c r="GL63" s="133" t="n">
        <f aca="false">FX63+$D63*Inputs!$L$13</f>
        <v>0</v>
      </c>
      <c r="GM63" s="84" t="n">
        <f aca="false">MIN(GJ63,GL63)</f>
        <v>0</v>
      </c>
      <c r="GN63" s="84" t="n">
        <f aca="false">GL63-GM63</f>
        <v>0</v>
      </c>
      <c r="GO63" s="84" t="n">
        <f aca="false">GA63+$G63*(GL63+GA63)</f>
        <v>0</v>
      </c>
      <c r="GP63" s="84" t="n">
        <f aca="false">MIN(GJ63-GM63,GO63)</f>
        <v>0</v>
      </c>
      <c r="GQ63" s="84" t="n">
        <f aca="false">GO63-GP63</f>
        <v>0</v>
      </c>
      <c r="GR63" s="84" t="n">
        <f aca="false">IF($H63=1,MIN(GJ63-GM63-GP63,MAX(0,$F63/(1-$F63)*(GF63+GP63)-GG63)),0)</f>
        <v>0</v>
      </c>
      <c r="GS63" s="84" t="n">
        <f aca="false">GJ63-GM63-GP63-GR63</f>
        <v>13039.0509767302</v>
      </c>
      <c r="GT63" s="84" t="n">
        <f aca="false">GM63+GP63+(1-$F63)*GS63</f>
        <v>10431.2407813842</v>
      </c>
      <c r="GU63" s="84" t="n">
        <f aca="false">GR63+$F63*GS63</f>
        <v>2607.81019534604</v>
      </c>
      <c r="GV63" s="84" t="n">
        <f aca="false">GF63+GP63+(1-$F63)*GS63</f>
        <v>10498.9767829453</v>
      </c>
      <c r="GW63" s="84" t="n">
        <f aca="false">GG63+GU63</f>
        <v>2624.74419573633</v>
      </c>
    </row>
    <row r="64" customFormat="false" ht="15" hidden="false" customHeight="false" outlineLevel="0" collapsed="false">
      <c r="A64" s="5" t="s">
        <v>637</v>
      </c>
      <c r="B64" s="5" t="s">
        <v>638</v>
      </c>
      <c r="C64" s="135" t="n">
        <v>12</v>
      </c>
      <c r="D64" s="47" t="n">
        <f aca="false">Inputs!$C$6</f>
        <v>20000</v>
      </c>
      <c r="E64" s="35" t="n">
        <f aca="false">Inputs!$C$19</f>
        <v>0.0135</v>
      </c>
      <c r="F64" s="36" t="n">
        <f aca="false">Inputs!$C$20</f>
        <v>0.2</v>
      </c>
      <c r="G64" s="30" t="n">
        <v>0</v>
      </c>
      <c r="H64" s="27" t="n">
        <v>0</v>
      </c>
      <c r="I64" s="132" t="n">
        <f aca="false">Inputs!$C$38+$C64*Inputs!$C$39</f>
        <v>0.12</v>
      </c>
      <c r="J64" s="36" t="n">
        <f aca="false">Inputs!$C$9</f>
        <v>0.15</v>
      </c>
      <c r="K64" s="89" t="n">
        <f aca="false">IRR(W64:AG64,0.1)</f>
        <v>0.0848232007292502</v>
      </c>
      <c r="L64" s="45" t="n">
        <f aca="false">W64+NPV($J64,X64:AG64)</f>
        <v>-4353.76295083953</v>
      </c>
      <c r="M64" s="45" t="n">
        <f aca="false">SUM(BF64,BV64,CL64,DB64,DR64,EH64,EX64,FN64,GD64,GT64)</f>
        <v>32093.4879220953</v>
      </c>
      <c r="N64" s="43" t="n">
        <f aca="false">IF($D64*SUM(Inputs!$C$13:$L$13)=0,0,M64/($D64*SUM(Inputs!$C$13:$L$13)))</f>
        <v>1.60467439610476</v>
      </c>
      <c r="O64" s="42" t="n">
        <f aca="false">$D64*$E64*COLUMNS(Inputs!$C$13:$L$13)</f>
        <v>2700</v>
      </c>
      <c r="P64" s="45" t="n">
        <f aca="false">SUM(BG64,BW64,CM64,DC64,DS64,EI64,EY64,FO64,GE64,GU64)</f>
        <v>3023.37198052382</v>
      </c>
      <c r="Q64" s="42" t="n">
        <f aca="false">PV($J64,COLUMNS(Inputs!$C$13:$L$13),-$D64*$E64,0,1)</f>
        <v>1558.32765832774</v>
      </c>
      <c r="R64" s="45" t="n">
        <f aca="false">NPV($J64,BG64,BW64,CM64,DC64,DS64,EI64,EY64,FO64,GE64,GU64)</f>
        <v>754.889060607393</v>
      </c>
      <c r="S64" s="45" t="n">
        <f aca="false">Q64+R64</f>
        <v>2313.21671893513</v>
      </c>
      <c r="T64" s="32" t="n">
        <f aca="false">IF(S64=0,0,Q64/S64)</f>
        <v>0.673662629865956</v>
      </c>
      <c r="U64" s="45" t="n">
        <f aca="false">ROUND(ABS(GK64)+ABS(SUM(AV64,BL64,CB64,CR64,DH64,DX64,EN64,FD64,FT64,GJ64)-M64-P64)+ABS(S64-(AH64+NPV($J64,AI64:AR64))),6)</f>
        <v>0</v>
      </c>
      <c r="W64" s="133" t="n">
        <f aca="false">-$D64*Inputs!$C$13</f>
        <v>-4000</v>
      </c>
      <c r="X64" s="133" t="n">
        <f aca="false">BF64-$D64*Inputs!$D$13</f>
        <v>-4000</v>
      </c>
      <c r="Y64" s="133" t="n">
        <f aca="false">BV64-$D64*Inputs!$E$13</f>
        <v>-4000</v>
      </c>
      <c r="Z64" s="133" t="n">
        <f aca="false">CL64-$D64*Inputs!$F$13</f>
        <v>-4000</v>
      </c>
      <c r="AA64" s="133" t="n">
        <f aca="false">DB64-$D64*Inputs!$G$13</f>
        <v>-4000</v>
      </c>
      <c r="AB64" s="133" t="n">
        <f aca="false">DR64-$D64*Inputs!$H$13</f>
        <v>5307.9310262272</v>
      </c>
      <c r="AC64" s="133" t="n">
        <f aca="false">EH64-$D64*Inputs!$I$13</f>
        <v>4695.42619949957</v>
      </c>
      <c r="AD64" s="133" t="n">
        <f aca="false">EX64-$D64*Inputs!$J$13</f>
        <v>4146.62187475162</v>
      </c>
      <c r="AE64" s="133" t="n">
        <f aca="false">FN64-$D64*Inputs!$K$13</f>
        <v>3654.89319977745</v>
      </c>
      <c r="AF64" s="133" t="n">
        <f aca="false">GD64-$D64*Inputs!$L$13</f>
        <v>3010.46898554931</v>
      </c>
      <c r="AG64" s="84" t="n">
        <f aca="false">GT64</f>
        <v>11278.1466362901</v>
      </c>
      <c r="AH64" s="84" t="n">
        <f aca="false">$D64*$E64</f>
        <v>270</v>
      </c>
      <c r="AI64" s="84" t="n">
        <f aca="false">BG64+$D64*$E64</f>
        <v>270</v>
      </c>
      <c r="AJ64" s="84" t="n">
        <f aca="false">BW64+$D64*$E64</f>
        <v>270</v>
      </c>
      <c r="AK64" s="84" t="n">
        <f aca="false">CM64+$D64*$E64</f>
        <v>270</v>
      </c>
      <c r="AL64" s="84" t="n">
        <f aca="false">DC64+$D64*$E64</f>
        <v>270</v>
      </c>
      <c r="AM64" s="84" t="n">
        <f aca="false">DS64+$D64*$E64</f>
        <v>270</v>
      </c>
      <c r="AN64" s="84" t="n">
        <f aca="false">EI64+$D64*$E64</f>
        <v>270</v>
      </c>
      <c r="AO64" s="84" t="n">
        <f aca="false">EY64+$D64*$E64</f>
        <v>270</v>
      </c>
      <c r="AP64" s="84" t="n">
        <f aca="false">FO64+$D64*$E64</f>
        <v>270</v>
      </c>
      <c r="AQ64" s="84" t="n">
        <f aca="false">GE64+$D64*$E64</f>
        <v>473.835321451287</v>
      </c>
      <c r="AR64" s="84" t="n">
        <f aca="false">GU64</f>
        <v>2819.53665907253</v>
      </c>
      <c r="AT64" s="133" t="n">
        <f aca="false">$D64*Inputs!$C$13-$D64*$E64</f>
        <v>3730</v>
      </c>
      <c r="AU64" s="84" t="n">
        <f aca="false">AT64*(1+$I64)</f>
        <v>4177.6</v>
      </c>
      <c r="AV64" s="133" t="n">
        <f aca="false">AU64*Inputs!$C$14</f>
        <v>0</v>
      </c>
      <c r="AW64" s="84" t="n">
        <f aca="false">AU64-AV64</f>
        <v>4177.6</v>
      </c>
      <c r="AX64" s="133" t="n">
        <f aca="false">$D64*Inputs!$C$13</f>
        <v>4000</v>
      </c>
      <c r="AY64" s="84" t="n">
        <f aca="false">MIN(AV64,AX64)</f>
        <v>0</v>
      </c>
      <c r="AZ64" s="84" t="n">
        <f aca="false">AX64-AY64</f>
        <v>4000</v>
      </c>
      <c r="BA64" s="84" t="n">
        <f aca="false">$G64*AX64</f>
        <v>0</v>
      </c>
      <c r="BB64" s="84" t="n">
        <f aca="false">MIN(AV64-AY64,BA64)</f>
        <v>0</v>
      </c>
      <c r="BC64" s="84" t="n">
        <f aca="false">BA64-BB64</f>
        <v>0</v>
      </c>
      <c r="BD64" s="84" t="n">
        <f aca="false">IF($H64=1,MIN(AV64-AY64-BB64,MAX(0,$F64/(1-$F64)*BB64)),0)</f>
        <v>0</v>
      </c>
      <c r="BE64" s="84" t="n">
        <f aca="false">AV64-AY64-BB64-BD64</f>
        <v>0</v>
      </c>
      <c r="BF64" s="84" t="n">
        <f aca="false">AY64+BB64+(1-$F64)*BE64</f>
        <v>0</v>
      </c>
      <c r="BG64" s="84" t="n">
        <f aca="false">BD64+$F64*BE64</f>
        <v>0</v>
      </c>
      <c r="BH64" s="84" t="n">
        <f aca="false">BB64+(1-$F64)*BE64</f>
        <v>0</v>
      </c>
      <c r="BI64" s="84" t="n">
        <f aca="false">BG64</f>
        <v>0</v>
      </c>
      <c r="BJ64" s="133" t="n">
        <f aca="false">AW64+$D64*Inputs!$D$13-$D64*$E64</f>
        <v>7907.6</v>
      </c>
      <c r="BK64" s="84" t="n">
        <f aca="false">BJ64*(1+$I64)</f>
        <v>8856.512</v>
      </c>
      <c r="BL64" s="133" t="n">
        <f aca="false">BK64*Inputs!$D$14</f>
        <v>0</v>
      </c>
      <c r="BM64" s="84" t="n">
        <f aca="false">BK64-BL64</f>
        <v>8856.512</v>
      </c>
      <c r="BN64" s="133" t="n">
        <f aca="false">AZ64+$D64*Inputs!$D$13</f>
        <v>8000</v>
      </c>
      <c r="BO64" s="84" t="n">
        <f aca="false">MIN(BL64,BN64)</f>
        <v>0</v>
      </c>
      <c r="BP64" s="84" t="n">
        <f aca="false">BN64-BO64</f>
        <v>8000</v>
      </c>
      <c r="BQ64" s="84" t="n">
        <f aca="false">BC64+$G64*(BN64+BC64)</f>
        <v>0</v>
      </c>
      <c r="BR64" s="84" t="n">
        <f aca="false">MIN(BL64-BO64,BQ64)</f>
        <v>0</v>
      </c>
      <c r="BS64" s="84" t="n">
        <f aca="false">BQ64-BR64</f>
        <v>0</v>
      </c>
      <c r="BT64" s="84" t="n">
        <f aca="false">IF($H64=1,MIN(BL64-BO64-BR64,MAX(0,$F64/(1-$F64)*(BH64+BR64)-BI64)),0)</f>
        <v>0</v>
      </c>
      <c r="BU64" s="84" t="n">
        <f aca="false">BL64-BO64-BR64-BT64</f>
        <v>0</v>
      </c>
      <c r="BV64" s="84" t="n">
        <f aca="false">BO64+BR64+(1-$F64)*BU64</f>
        <v>0</v>
      </c>
      <c r="BW64" s="84" t="n">
        <f aca="false">BT64+$F64*BU64</f>
        <v>0</v>
      </c>
      <c r="BX64" s="84" t="n">
        <f aca="false">BH64+BR64+(1-$F64)*BU64</f>
        <v>0</v>
      </c>
      <c r="BY64" s="84" t="n">
        <f aca="false">BI64+BW64</f>
        <v>0</v>
      </c>
      <c r="BZ64" s="133" t="n">
        <f aca="false">BM64+$D64*Inputs!$E$13-$D64*$E64</f>
        <v>12586.512</v>
      </c>
      <c r="CA64" s="84" t="n">
        <f aca="false">BZ64*(1+$I64)</f>
        <v>14096.89344</v>
      </c>
      <c r="CB64" s="133" t="n">
        <f aca="false">CA64*Inputs!$E$14</f>
        <v>0</v>
      </c>
      <c r="CC64" s="84" t="n">
        <f aca="false">CA64-CB64</f>
        <v>14096.89344</v>
      </c>
      <c r="CD64" s="133" t="n">
        <f aca="false">BP64+$D64*Inputs!$E$13</f>
        <v>12000</v>
      </c>
      <c r="CE64" s="84" t="n">
        <f aca="false">MIN(CB64,CD64)</f>
        <v>0</v>
      </c>
      <c r="CF64" s="84" t="n">
        <f aca="false">CD64-CE64</f>
        <v>12000</v>
      </c>
      <c r="CG64" s="84" t="n">
        <f aca="false">BS64+$G64*(CD64+BS64)</f>
        <v>0</v>
      </c>
      <c r="CH64" s="84" t="n">
        <f aca="false">MIN(CB64-CE64,CG64)</f>
        <v>0</v>
      </c>
      <c r="CI64" s="84" t="n">
        <f aca="false">CG64-CH64</f>
        <v>0</v>
      </c>
      <c r="CJ64" s="84" t="n">
        <f aca="false">IF($H64=1,MIN(CB64-CE64-CH64,MAX(0,$F64/(1-$F64)*(BX64+CH64)-BY64)),0)</f>
        <v>0</v>
      </c>
      <c r="CK64" s="84" t="n">
        <f aca="false">CB64-CE64-CH64-CJ64</f>
        <v>0</v>
      </c>
      <c r="CL64" s="84" t="n">
        <f aca="false">CE64+CH64+(1-$F64)*CK64</f>
        <v>0</v>
      </c>
      <c r="CM64" s="84" t="n">
        <f aca="false">CJ64+$F64*CK64</f>
        <v>0</v>
      </c>
      <c r="CN64" s="84" t="n">
        <f aca="false">BX64+CH64+(1-$F64)*CK64</f>
        <v>0</v>
      </c>
      <c r="CO64" s="84" t="n">
        <f aca="false">BY64+CM64</f>
        <v>0</v>
      </c>
      <c r="CP64" s="133" t="n">
        <f aca="false">CC64+$D64*Inputs!$F$13-$D64*$E64</f>
        <v>17826.89344</v>
      </c>
      <c r="CQ64" s="84" t="n">
        <f aca="false">CP64*(1+$I64)</f>
        <v>19966.1206528</v>
      </c>
      <c r="CR64" s="133" t="n">
        <f aca="false">CQ64*Inputs!$F$14</f>
        <v>0</v>
      </c>
      <c r="CS64" s="84" t="n">
        <f aca="false">CQ64-CR64</f>
        <v>19966.1206528</v>
      </c>
      <c r="CT64" s="133" t="n">
        <f aca="false">CF64+$D64*Inputs!$F$13</f>
        <v>16000</v>
      </c>
      <c r="CU64" s="84" t="n">
        <f aca="false">MIN(CR64,CT64)</f>
        <v>0</v>
      </c>
      <c r="CV64" s="84" t="n">
        <f aca="false">CT64-CU64</f>
        <v>16000</v>
      </c>
      <c r="CW64" s="84" t="n">
        <f aca="false">CI64+$G64*(CT64+CI64)</f>
        <v>0</v>
      </c>
      <c r="CX64" s="84" t="n">
        <f aca="false">MIN(CR64-CU64,CW64)</f>
        <v>0</v>
      </c>
      <c r="CY64" s="84" t="n">
        <f aca="false">CW64-CX64</f>
        <v>0</v>
      </c>
      <c r="CZ64" s="84" t="n">
        <f aca="false">IF($H64=1,MIN(CR64-CU64-CX64,MAX(0,$F64/(1-$F64)*(CN64+CX64)-CO64)),0)</f>
        <v>0</v>
      </c>
      <c r="DA64" s="84" t="n">
        <f aca="false">CR64-CU64-CX64-CZ64</f>
        <v>0</v>
      </c>
      <c r="DB64" s="84" t="n">
        <f aca="false">CU64+CX64+(1-$F64)*DA64</f>
        <v>0</v>
      </c>
      <c r="DC64" s="84" t="n">
        <f aca="false">CZ64+$F64*DA64</f>
        <v>0</v>
      </c>
      <c r="DD64" s="84" t="n">
        <f aca="false">CN64+CX64+(1-$F64)*DA64</f>
        <v>0</v>
      </c>
      <c r="DE64" s="84" t="n">
        <f aca="false">CO64+DC64</f>
        <v>0</v>
      </c>
      <c r="DF64" s="133" t="n">
        <f aca="false">CS64+$D64*Inputs!$G$13-$D64*$E64</f>
        <v>23696.1206528</v>
      </c>
      <c r="DG64" s="84" t="n">
        <f aca="false">DF64*(1+$I64)</f>
        <v>26539.655131136</v>
      </c>
      <c r="DH64" s="133" t="n">
        <f aca="false">DG64*Inputs!$G$14</f>
        <v>5307.9310262272</v>
      </c>
      <c r="DI64" s="84" t="n">
        <f aca="false">DG64-DH64</f>
        <v>21231.7241049088</v>
      </c>
      <c r="DJ64" s="133" t="n">
        <f aca="false">CV64+$D64*Inputs!$G$13</f>
        <v>20000</v>
      </c>
      <c r="DK64" s="84" t="n">
        <f aca="false">MIN(DH64,DJ64)</f>
        <v>5307.9310262272</v>
      </c>
      <c r="DL64" s="84" t="n">
        <f aca="false">DJ64-DK64</f>
        <v>14692.0689737728</v>
      </c>
      <c r="DM64" s="84" t="n">
        <f aca="false">CY64+$G64*(DJ64+CY64)</f>
        <v>0</v>
      </c>
      <c r="DN64" s="84" t="n">
        <f aca="false">MIN(DH64-DK64,DM64)</f>
        <v>0</v>
      </c>
      <c r="DO64" s="84" t="n">
        <f aca="false">DM64-DN64</f>
        <v>0</v>
      </c>
      <c r="DP64" s="84" t="n">
        <f aca="false">IF($H64=1,MIN(DH64-DK64-DN64,MAX(0,$F64/(1-$F64)*(DD64+DN64)-DE64)),0)</f>
        <v>0</v>
      </c>
      <c r="DQ64" s="84" t="n">
        <f aca="false">DH64-DK64-DN64-DP64</f>
        <v>0</v>
      </c>
      <c r="DR64" s="84" t="n">
        <f aca="false">DK64+DN64+(1-$F64)*DQ64</f>
        <v>5307.9310262272</v>
      </c>
      <c r="DS64" s="84" t="n">
        <f aca="false">DP64+$F64*DQ64</f>
        <v>0</v>
      </c>
      <c r="DT64" s="84" t="n">
        <f aca="false">DD64+DN64+(1-$F64)*DQ64</f>
        <v>0</v>
      </c>
      <c r="DU64" s="84" t="n">
        <f aca="false">DE64+DS64</f>
        <v>0</v>
      </c>
      <c r="DV64" s="133" t="n">
        <f aca="false">DI64+$D64*Inputs!$H$13-$D64*$E64</f>
        <v>20961.7241049088</v>
      </c>
      <c r="DW64" s="84" t="n">
        <f aca="false">DV64*(1+$I64)</f>
        <v>23477.1309974979</v>
      </c>
      <c r="DX64" s="133" t="n">
        <f aca="false">DW64*Inputs!$H$14</f>
        <v>4695.42619949957</v>
      </c>
      <c r="DY64" s="84" t="n">
        <f aca="false">DW64-DX64</f>
        <v>18781.7047979983</v>
      </c>
      <c r="DZ64" s="133" t="n">
        <f aca="false">DL64+$D64*Inputs!$H$13</f>
        <v>14692.0689737728</v>
      </c>
      <c r="EA64" s="84" t="n">
        <f aca="false">MIN(DX64,DZ64)</f>
        <v>4695.42619949957</v>
      </c>
      <c r="EB64" s="84" t="n">
        <f aca="false">DZ64-EA64</f>
        <v>9996.64277427323</v>
      </c>
      <c r="EC64" s="84" t="n">
        <f aca="false">DO64+$G64*(DZ64+DO64)</f>
        <v>0</v>
      </c>
      <c r="ED64" s="84" t="n">
        <f aca="false">MIN(DX64-EA64,EC64)</f>
        <v>0</v>
      </c>
      <c r="EE64" s="84" t="n">
        <f aca="false">EC64-ED64</f>
        <v>0</v>
      </c>
      <c r="EF64" s="84" t="n">
        <f aca="false">IF($H64=1,MIN(DX64-EA64-ED64,MAX(0,$F64/(1-$F64)*(DT64+ED64)-DU64)),0)</f>
        <v>0</v>
      </c>
      <c r="EG64" s="84" t="n">
        <f aca="false">DX64-EA64-ED64-EF64</f>
        <v>0</v>
      </c>
      <c r="EH64" s="84" t="n">
        <f aca="false">EA64+ED64+(1-$F64)*EG64</f>
        <v>4695.42619949957</v>
      </c>
      <c r="EI64" s="84" t="n">
        <f aca="false">EF64+$F64*EG64</f>
        <v>0</v>
      </c>
      <c r="EJ64" s="84" t="n">
        <f aca="false">DT64+ED64+(1-$F64)*EG64</f>
        <v>0</v>
      </c>
      <c r="EK64" s="84" t="n">
        <f aca="false">DU64+EI64</f>
        <v>0</v>
      </c>
      <c r="EL64" s="133" t="n">
        <f aca="false">DY64+$D64*Inputs!$I$13-$D64*$E64</f>
        <v>18511.7047979983</v>
      </c>
      <c r="EM64" s="84" t="n">
        <f aca="false">EL64*(1+$I64)</f>
        <v>20733.1093737581</v>
      </c>
      <c r="EN64" s="133" t="n">
        <f aca="false">EM64*Inputs!$I$14</f>
        <v>4146.62187475162</v>
      </c>
      <c r="EO64" s="84" t="n">
        <f aca="false">EM64-EN64</f>
        <v>16586.4874990065</v>
      </c>
      <c r="EP64" s="133" t="n">
        <f aca="false">EB64+$D64*Inputs!$I$13</f>
        <v>9996.64277427323</v>
      </c>
      <c r="EQ64" s="84" t="n">
        <f aca="false">MIN(EN64,EP64)</f>
        <v>4146.62187475162</v>
      </c>
      <c r="ER64" s="84" t="n">
        <f aca="false">EP64-EQ64</f>
        <v>5850.02089952161</v>
      </c>
      <c r="ES64" s="84" t="n">
        <f aca="false">EE64+$G64*(EP64+EE64)</f>
        <v>0</v>
      </c>
      <c r="ET64" s="84" t="n">
        <f aca="false">MIN(EN64-EQ64,ES64)</f>
        <v>0</v>
      </c>
      <c r="EU64" s="84" t="n">
        <f aca="false">ES64-ET64</f>
        <v>0</v>
      </c>
      <c r="EV64" s="84" t="n">
        <f aca="false">IF($H64=1,MIN(EN64-EQ64-ET64,MAX(0,$F64/(1-$F64)*(EJ64+ET64)-EK64)),0)</f>
        <v>0</v>
      </c>
      <c r="EW64" s="84" t="n">
        <f aca="false">EN64-EQ64-ET64-EV64</f>
        <v>0</v>
      </c>
      <c r="EX64" s="84" t="n">
        <f aca="false">EQ64+ET64+(1-$F64)*EW64</f>
        <v>4146.62187475162</v>
      </c>
      <c r="EY64" s="84" t="n">
        <f aca="false">EV64+$F64*EW64</f>
        <v>0</v>
      </c>
      <c r="EZ64" s="84" t="n">
        <f aca="false">EJ64+ET64+(1-$F64)*EW64</f>
        <v>0</v>
      </c>
      <c r="FA64" s="84" t="n">
        <f aca="false">EK64+EY64</f>
        <v>0</v>
      </c>
      <c r="FB64" s="133" t="n">
        <f aca="false">EO64+$D64*Inputs!$J$13-$D64*$E64</f>
        <v>16316.4874990065</v>
      </c>
      <c r="FC64" s="84" t="n">
        <f aca="false">FB64*(1+$I64)</f>
        <v>18274.4659988872</v>
      </c>
      <c r="FD64" s="133" t="n">
        <f aca="false">FC64*Inputs!$J$14</f>
        <v>3654.89319977745</v>
      </c>
      <c r="FE64" s="84" t="n">
        <f aca="false">FC64-FD64</f>
        <v>14619.5727991098</v>
      </c>
      <c r="FF64" s="133" t="n">
        <f aca="false">ER64+$D64*Inputs!$J$13</f>
        <v>5850.02089952161</v>
      </c>
      <c r="FG64" s="84" t="n">
        <f aca="false">MIN(FD64,FF64)</f>
        <v>3654.89319977745</v>
      </c>
      <c r="FH64" s="84" t="n">
        <f aca="false">FF64-FG64</f>
        <v>2195.12769974416</v>
      </c>
      <c r="FI64" s="84" t="n">
        <f aca="false">EU64+$G64*(FF64+EU64)</f>
        <v>0</v>
      </c>
      <c r="FJ64" s="84" t="n">
        <f aca="false">MIN(FD64-FG64,FI64)</f>
        <v>0</v>
      </c>
      <c r="FK64" s="84" t="n">
        <f aca="false">FI64-FJ64</f>
        <v>0</v>
      </c>
      <c r="FL64" s="84" t="n">
        <f aca="false">IF($H64=1,MIN(FD64-FG64-FJ64,MAX(0,$F64/(1-$F64)*(EZ64+FJ64)-FA64)),0)</f>
        <v>0</v>
      </c>
      <c r="FM64" s="84" t="n">
        <f aca="false">FD64-FG64-FJ64-FL64</f>
        <v>0</v>
      </c>
      <c r="FN64" s="84" t="n">
        <f aca="false">FG64+FJ64+(1-$F64)*FM64</f>
        <v>3654.89319977745</v>
      </c>
      <c r="FO64" s="84" t="n">
        <f aca="false">FL64+$F64*FM64</f>
        <v>0</v>
      </c>
      <c r="FP64" s="84" t="n">
        <f aca="false">EZ64+FJ64+(1-$F64)*FM64</f>
        <v>0</v>
      </c>
      <c r="FQ64" s="84" t="n">
        <f aca="false">FA64+FO64</f>
        <v>0</v>
      </c>
      <c r="FR64" s="133" t="n">
        <f aca="false">FE64+$D64*Inputs!$K$13-$D64*$E64</f>
        <v>14349.5727991098</v>
      </c>
      <c r="FS64" s="84" t="n">
        <f aca="false">FR64*(1+$I64)</f>
        <v>16071.521535003</v>
      </c>
      <c r="FT64" s="133" t="n">
        <f aca="false">FS64*Inputs!$K$14</f>
        <v>3214.30430700059</v>
      </c>
      <c r="FU64" s="84" t="n">
        <f aca="false">FS64-FT64</f>
        <v>12857.2172280024</v>
      </c>
      <c r="FV64" s="133" t="n">
        <f aca="false">FH64+$D64*Inputs!$K$13</f>
        <v>2195.12769974416</v>
      </c>
      <c r="FW64" s="84" t="n">
        <f aca="false">MIN(FT64,FV64)</f>
        <v>2195.12769974416</v>
      </c>
      <c r="FX64" s="84" t="n">
        <f aca="false">FV64-FW64</f>
        <v>0</v>
      </c>
      <c r="FY64" s="84" t="n">
        <f aca="false">FK64+$G64*(FV64+FK64)</f>
        <v>0</v>
      </c>
      <c r="FZ64" s="84" t="n">
        <f aca="false">MIN(FT64-FW64,FY64)</f>
        <v>0</v>
      </c>
      <c r="GA64" s="84" t="n">
        <f aca="false">FY64-FZ64</f>
        <v>0</v>
      </c>
      <c r="GB64" s="84" t="n">
        <f aca="false">IF($H64=1,MIN(FT64-FW64-FZ64,MAX(0,$F64/(1-$F64)*(FP64+FZ64)-FQ64)),0)</f>
        <v>0</v>
      </c>
      <c r="GC64" s="84" t="n">
        <f aca="false">FT64-FW64-FZ64-GB64</f>
        <v>1019.17660725643</v>
      </c>
      <c r="GD64" s="84" t="n">
        <f aca="false">FW64+FZ64+(1-$F64)*GC64</f>
        <v>3010.46898554931</v>
      </c>
      <c r="GE64" s="84" t="n">
        <f aca="false">GB64+$F64*GC64</f>
        <v>203.835321451287</v>
      </c>
      <c r="GF64" s="84" t="n">
        <f aca="false">FP64+FZ64+(1-$F64)*GC64</f>
        <v>815.341285805146</v>
      </c>
      <c r="GG64" s="84" t="n">
        <f aca="false">FQ64+GE64</f>
        <v>203.835321451287</v>
      </c>
      <c r="GH64" s="133" t="n">
        <f aca="false">FU64+$D64*Inputs!$L$13-$D64*$E64</f>
        <v>12587.2172280024</v>
      </c>
      <c r="GI64" s="84" t="n">
        <f aca="false">GH64*(1+$I64)</f>
        <v>14097.6832953627</v>
      </c>
      <c r="GJ64" s="133" t="n">
        <f aca="false">GI64*Inputs!$L$14</f>
        <v>14097.6832953627</v>
      </c>
      <c r="GK64" s="84" t="n">
        <f aca="false">GI64-GJ64</f>
        <v>0</v>
      </c>
      <c r="GL64" s="133" t="n">
        <f aca="false">FX64+$D64*Inputs!$L$13</f>
        <v>0</v>
      </c>
      <c r="GM64" s="84" t="n">
        <f aca="false">MIN(GJ64,GL64)</f>
        <v>0</v>
      </c>
      <c r="GN64" s="84" t="n">
        <f aca="false">GL64-GM64</f>
        <v>0</v>
      </c>
      <c r="GO64" s="84" t="n">
        <f aca="false">GA64+$G64*(GL64+GA64)</f>
        <v>0</v>
      </c>
      <c r="GP64" s="84" t="n">
        <f aca="false">MIN(GJ64-GM64,GO64)</f>
        <v>0</v>
      </c>
      <c r="GQ64" s="84" t="n">
        <f aca="false">GO64-GP64</f>
        <v>0</v>
      </c>
      <c r="GR64" s="84" t="n">
        <f aca="false">IF($H64=1,MIN(GJ64-GM64-GP64,MAX(0,$F64/(1-$F64)*(GF64+GP64)-GG64)),0)</f>
        <v>0</v>
      </c>
      <c r="GS64" s="84" t="n">
        <f aca="false">GJ64-GM64-GP64-GR64</f>
        <v>14097.6832953627</v>
      </c>
      <c r="GT64" s="84" t="n">
        <f aca="false">GM64+GP64+(1-$F64)*GS64</f>
        <v>11278.1466362901</v>
      </c>
      <c r="GU64" s="84" t="n">
        <f aca="false">GR64+$F64*GS64</f>
        <v>2819.53665907253</v>
      </c>
      <c r="GV64" s="84" t="n">
        <f aca="false">GF64+GP64+(1-$F64)*GS64</f>
        <v>12093.4879220953</v>
      </c>
      <c r="GW64" s="84" t="n">
        <f aca="false">GG64+GU64</f>
        <v>3023.37198052382</v>
      </c>
    </row>
    <row r="65" customFormat="false" ht="15" hidden="false" customHeight="false" outlineLevel="0" collapsed="false">
      <c r="A65" s="5" t="s">
        <v>637</v>
      </c>
      <c r="B65" s="5" t="s">
        <v>638</v>
      </c>
      <c r="C65" s="135" t="n">
        <v>13</v>
      </c>
      <c r="D65" s="47" t="n">
        <f aca="false">Inputs!$C$6</f>
        <v>20000</v>
      </c>
      <c r="E65" s="35" t="n">
        <f aca="false">Inputs!$C$19</f>
        <v>0.0135</v>
      </c>
      <c r="F65" s="36" t="n">
        <f aca="false">Inputs!$C$20</f>
        <v>0.2</v>
      </c>
      <c r="G65" s="30" t="n">
        <v>0</v>
      </c>
      <c r="H65" s="27" t="n">
        <v>0</v>
      </c>
      <c r="I65" s="132" t="n">
        <f aca="false">Inputs!$C$38+$C65*Inputs!$C$39</f>
        <v>0.13</v>
      </c>
      <c r="J65" s="36" t="n">
        <f aca="false">Inputs!$C$9</f>
        <v>0.15</v>
      </c>
      <c r="K65" s="89" t="n">
        <f aca="false">IRR(W65:AG65,0.1)</f>
        <v>0.0940511245095846</v>
      </c>
      <c r="L65" s="45" t="n">
        <f aca="false">W65+NPV($J65,X65:AG65)</f>
        <v>-3820.33183583197</v>
      </c>
      <c r="M65" s="45" t="n">
        <f aca="false">SUM(BF65,BV65,CL65,DB65,DR65,EH65,EX65,FN65,GD65,GT65)</f>
        <v>33780.4031687347</v>
      </c>
      <c r="N65" s="43" t="n">
        <f aca="false">IF($D65*SUM(Inputs!$C$13:$L$13)=0,0,M65/($D65*SUM(Inputs!$C$13:$L$13)))</f>
        <v>1.68902015843673</v>
      </c>
      <c r="O65" s="42" t="n">
        <f aca="false">$D65*$E65*COLUMNS(Inputs!$C$13:$L$13)</f>
        <v>2700</v>
      </c>
      <c r="P65" s="45" t="n">
        <f aca="false">SUM(BG65,BW65,CM65,DC65,DS65,EI65,EY65,FO65,GE65,GU65)</f>
        <v>3445.10079218366</v>
      </c>
      <c r="Q65" s="42" t="n">
        <f aca="false">PV($J65,COLUMNS(Inputs!$C$13:$L$13),-$D65*$E65,0,1)</f>
        <v>1558.32765832774</v>
      </c>
      <c r="R65" s="45" t="n">
        <f aca="false">NPV($J65,BG65,BW65,CM65,DC65,DS65,EI65,EY65,FO65,GE65,GU65)</f>
        <v>866.368967570352</v>
      </c>
      <c r="S65" s="45" t="n">
        <f aca="false">Q65+R65</f>
        <v>2424.69662589809</v>
      </c>
      <c r="T65" s="32" t="n">
        <f aca="false">IF(S65=0,0,Q65/S65)</f>
        <v>0.642689745877196</v>
      </c>
      <c r="U65" s="45" t="n">
        <f aca="false">ROUND(ABS(GK65)+ABS(SUM(AV65,BL65,CB65,CR65,DH65,DX65,EN65,FD65,FT65,GJ65)-M65-P65)+ABS(S65-(AH65+NPV($J65,AI65:AR65))),6)</f>
        <v>0</v>
      </c>
      <c r="W65" s="133" t="n">
        <f aca="false">-$D65*Inputs!$C$13</f>
        <v>-4000</v>
      </c>
      <c r="X65" s="133" t="n">
        <f aca="false">BF65-$D65*Inputs!$D$13</f>
        <v>-4000</v>
      </c>
      <c r="Y65" s="133" t="n">
        <f aca="false">BV65-$D65*Inputs!$E$13</f>
        <v>-4000</v>
      </c>
      <c r="Z65" s="133" t="n">
        <f aca="false">CL65-$D65*Inputs!$F$13</f>
        <v>-4000</v>
      </c>
      <c r="AA65" s="133" t="n">
        <f aca="false">DB65-$D65*Inputs!$G$13</f>
        <v>-4000</v>
      </c>
      <c r="AB65" s="133" t="n">
        <f aca="false">DR65-$D65*Inputs!$H$13</f>
        <v>5462.7385188178</v>
      </c>
      <c r="AC65" s="133" t="n">
        <f aca="false">EH65-$D65*Inputs!$I$13</f>
        <v>4877.29562101129</v>
      </c>
      <c r="AD65" s="133" t="n">
        <f aca="false">EX65-$D65*Inputs!$J$13</f>
        <v>4348.05524139421</v>
      </c>
      <c r="AE65" s="133" t="n">
        <f aca="false">FN65-$D65*Inputs!$K$13</f>
        <v>3869.62193822036</v>
      </c>
      <c r="AF65" s="133" t="n">
        <f aca="false">GD65-$D65*Inputs!$L$13</f>
        <v>3038.15232183223</v>
      </c>
      <c r="AG65" s="84" t="n">
        <f aca="false">GT65</f>
        <v>12184.5395274588</v>
      </c>
      <c r="AH65" s="84" t="n">
        <f aca="false">$D65*$E65</f>
        <v>270</v>
      </c>
      <c r="AI65" s="84" t="n">
        <f aca="false">BG65+$D65*$E65</f>
        <v>270</v>
      </c>
      <c r="AJ65" s="84" t="n">
        <f aca="false">BW65+$D65*$E65</f>
        <v>270</v>
      </c>
      <c r="AK65" s="84" t="n">
        <f aca="false">CM65+$D65*$E65</f>
        <v>270</v>
      </c>
      <c r="AL65" s="84" t="n">
        <f aca="false">DC65+$D65*$E65</f>
        <v>270</v>
      </c>
      <c r="AM65" s="84" t="n">
        <f aca="false">DS65+$D65*$E65</f>
        <v>270</v>
      </c>
      <c r="AN65" s="84" t="n">
        <f aca="false">EI65+$D65*$E65</f>
        <v>270</v>
      </c>
      <c r="AO65" s="84" t="n">
        <f aca="false">EY65+$D65*$E65</f>
        <v>270</v>
      </c>
      <c r="AP65" s="84" t="n">
        <f aca="false">FO65+$D65*$E65</f>
        <v>270</v>
      </c>
      <c r="AQ65" s="84" t="n">
        <f aca="false">GE65+$D65*$E65</f>
        <v>668.965910318972</v>
      </c>
      <c r="AR65" s="84" t="n">
        <f aca="false">GU65</f>
        <v>3046.13488186469</v>
      </c>
      <c r="AT65" s="133" t="n">
        <f aca="false">$D65*Inputs!$C$13-$D65*$E65</f>
        <v>3730</v>
      </c>
      <c r="AU65" s="84" t="n">
        <f aca="false">AT65*(1+$I65)</f>
        <v>4214.9</v>
      </c>
      <c r="AV65" s="133" t="n">
        <f aca="false">AU65*Inputs!$C$14</f>
        <v>0</v>
      </c>
      <c r="AW65" s="84" t="n">
        <f aca="false">AU65-AV65</f>
        <v>4214.9</v>
      </c>
      <c r="AX65" s="133" t="n">
        <f aca="false">$D65*Inputs!$C$13</f>
        <v>4000</v>
      </c>
      <c r="AY65" s="84" t="n">
        <f aca="false">MIN(AV65,AX65)</f>
        <v>0</v>
      </c>
      <c r="AZ65" s="84" t="n">
        <f aca="false">AX65-AY65</f>
        <v>4000</v>
      </c>
      <c r="BA65" s="84" t="n">
        <f aca="false">$G65*AX65</f>
        <v>0</v>
      </c>
      <c r="BB65" s="84" t="n">
        <f aca="false">MIN(AV65-AY65,BA65)</f>
        <v>0</v>
      </c>
      <c r="BC65" s="84" t="n">
        <f aca="false">BA65-BB65</f>
        <v>0</v>
      </c>
      <c r="BD65" s="84" t="n">
        <f aca="false">IF($H65=1,MIN(AV65-AY65-BB65,MAX(0,$F65/(1-$F65)*BB65)),0)</f>
        <v>0</v>
      </c>
      <c r="BE65" s="84" t="n">
        <f aca="false">AV65-AY65-BB65-BD65</f>
        <v>0</v>
      </c>
      <c r="BF65" s="84" t="n">
        <f aca="false">AY65+BB65+(1-$F65)*BE65</f>
        <v>0</v>
      </c>
      <c r="BG65" s="84" t="n">
        <f aca="false">BD65+$F65*BE65</f>
        <v>0</v>
      </c>
      <c r="BH65" s="84" t="n">
        <f aca="false">BB65+(1-$F65)*BE65</f>
        <v>0</v>
      </c>
      <c r="BI65" s="84" t="n">
        <f aca="false">BG65</f>
        <v>0</v>
      </c>
      <c r="BJ65" s="133" t="n">
        <f aca="false">AW65+$D65*Inputs!$D$13-$D65*$E65</f>
        <v>7944.9</v>
      </c>
      <c r="BK65" s="84" t="n">
        <f aca="false">BJ65*(1+$I65)</f>
        <v>8977.737</v>
      </c>
      <c r="BL65" s="133" t="n">
        <f aca="false">BK65*Inputs!$D$14</f>
        <v>0</v>
      </c>
      <c r="BM65" s="84" t="n">
        <f aca="false">BK65-BL65</f>
        <v>8977.737</v>
      </c>
      <c r="BN65" s="133" t="n">
        <f aca="false">AZ65+$D65*Inputs!$D$13</f>
        <v>8000</v>
      </c>
      <c r="BO65" s="84" t="n">
        <f aca="false">MIN(BL65,BN65)</f>
        <v>0</v>
      </c>
      <c r="BP65" s="84" t="n">
        <f aca="false">BN65-BO65</f>
        <v>8000</v>
      </c>
      <c r="BQ65" s="84" t="n">
        <f aca="false">BC65+$G65*(BN65+BC65)</f>
        <v>0</v>
      </c>
      <c r="BR65" s="84" t="n">
        <f aca="false">MIN(BL65-BO65,BQ65)</f>
        <v>0</v>
      </c>
      <c r="BS65" s="84" t="n">
        <f aca="false">BQ65-BR65</f>
        <v>0</v>
      </c>
      <c r="BT65" s="84" t="n">
        <f aca="false">IF($H65=1,MIN(BL65-BO65-BR65,MAX(0,$F65/(1-$F65)*(BH65+BR65)-BI65)),0)</f>
        <v>0</v>
      </c>
      <c r="BU65" s="84" t="n">
        <f aca="false">BL65-BO65-BR65-BT65</f>
        <v>0</v>
      </c>
      <c r="BV65" s="84" t="n">
        <f aca="false">BO65+BR65+(1-$F65)*BU65</f>
        <v>0</v>
      </c>
      <c r="BW65" s="84" t="n">
        <f aca="false">BT65+$F65*BU65</f>
        <v>0</v>
      </c>
      <c r="BX65" s="84" t="n">
        <f aca="false">BH65+BR65+(1-$F65)*BU65</f>
        <v>0</v>
      </c>
      <c r="BY65" s="84" t="n">
        <f aca="false">BI65+BW65</f>
        <v>0</v>
      </c>
      <c r="BZ65" s="133" t="n">
        <f aca="false">BM65+$D65*Inputs!$E$13-$D65*$E65</f>
        <v>12707.737</v>
      </c>
      <c r="CA65" s="84" t="n">
        <f aca="false">BZ65*(1+$I65)</f>
        <v>14359.74281</v>
      </c>
      <c r="CB65" s="133" t="n">
        <f aca="false">CA65*Inputs!$E$14</f>
        <v>0</v>
      </c>
      <c r="CC65" s="84" t="n">
        <f aca="false">CA65-CB65</f>
        <v>14359.74281</v>
      </c>
      <c r="CD65" s="133" t="n">
        <f aca="false">BP65+$D65*Inputs!$E$13</f>
        <v>12000</v>
      </c>
      <c r="CE65" s="84" t="n">
        <f aca="false">MIN(CB65,CD65)</f>
        <v>0</v>
      </c>
      <c r="CF65" s="84" t="n">
        <f aca="false">CD65-CE65</f>
        <v>12000</v>
      </c>
      <c r="CG65" s="84" t="n">
        <f aca="false">BS65+$G65*(CD65+BS65)</f>
        <v>0</v>
      </c>
      <c r="CH65" s="84" t="n">
        <f aca="false">MIN(CB65-CE65,CG65)</f>
        <v>0</v>
      </c>
      <c r="CI65" s="84" t="n">
        <f aca="false">CG65-CH65</f>
        <v>0</v>
      </c>
      <c r="CJ65" s="84" t="n">
        <f aca="false">IF($H65=1,MIN(CB65-CE65-CH65,MAX(0,$F65/(1-$F65)*(BX65+CH65)-BY65)),0)</f>
        <v>0</v>
      </c>
      <c r="CK65" s="84" t="n">
        <f aca="false">CB65-CE65-CH65-CJ65</f>
        <v>0</v>
      </c>
      <c r="CL65" s="84" t="n">
        <f aca="false">CE65+CH65+(1-$F65)*CK65</f>
        <v>0</v>
      </c>
      <c r="CM65" s="84" t="n">
        <f aca="false">CJ65+$F65*CK65</f>
        <v>0</v>
      </c>
      <c r="CN65" s="84" t="n">
        <f aca="false">BX65+CH65+(1-$F65)*CK65</f>
        <v>0</v>
      </c>
      <c r="CO65" s="84" t="n">
        <f aca="false">BY65+CM65</f>
        <v>0</v>
      </c>
      <c r="CP65" s="133" t="n">
        <f aca="false">CC65+$D65*Inputs!$F$13-$D65*$E65</f>
        <v>18089.74281</v>
      </c>
      <c r="CQ65" s="84" t="n">
        <f aca="false">CP65*(1+$I65)</f>
        <v>20441.4093753</v>
      </c>
      <c r="CR65" s="133" t="n">
        <f aca="false">CQ65*Inputs!$F$14</f>
        <v>0</v>
      </c>
      <c r="CS65" s="84" t="n">
        <f aca="false">CQ65-CR65</f>
        <v>20441.4093753</v>
      </c>
      <c r="CT65" s="133" t="n">
        <f aca="false">CF65+$D65*Inputs!$F$13</f>
        <v>16000</v>
      </c>
      <c r="CU65" s="84" t="n">
        <f aca="false">MIN(CR65,CT65)</f>
        <v>0</v>
      </c>
      <c r="CV65" s="84" t="n">
        <f aca="false">CT65-CU65</f>
        <v>16000</v>
      </c>
      <c r="CW65" s="84" t="n">
        <f aca="false">CI65+$G65*(CT65+CI65)</f>
        <v>0</v>
      </c>
      <c r="CX65" s="84" t="n">
        <f aca="false">MIN(CR65-CU65,CW65)</f>
        <v>0</v>
      </c>
      <c r="CY65" s="84" t="n">
        <f aca="false">CW65-CX65</f>
        <v>0</v>
      </c>
      <c r="CZ65" s="84" t="n">
        <f aca="false">IF($H65=1,MIN(CR65-CU65-CX65,MAX(0,$F65/(1-$F65)*(CN65+CX65)-CO65)),0)</f>
        <v>0</v>
      </c>
      <c r="DA65" s="84" t="n">
        <f aca="false">CR65-CU65-CX65-CZ65</f>
        <v>0</v>
      </c>
      <c r="DB65" s="84" t="n">
        <f aca="false">CU65+CX65+(1-$F65)*DA65</f>
        <v>0</v>
      </c>
      <c r="DC65" s="84" t="n">
        <f aca="false">CZ65+$F65*DA65</f>
        <v>0</v>
      </c>
      <c r="DD65" s="84" t="n">
        <f aca="false">CN65+CX65+(1-$F65)*DA65</f>
        <v>0</v>
      </c>
      <c r="DE65" s="84" t="n">
        <f aca="false">CO65+DC65</f>
        <v>0</v>
      </c>
      <c r="DF65" s="133" t="n">
        <f aca="false">CS65+$D65*Inputs!$G$13-$D65*$E65</f>
        <v>24171.4093753</v>
      </c>
      <c r="DG65" s="84" t="n">
        <f aca="false">DF65*(1+$I65)</f>
        <v>27313.692594089</v>
      </c>
      <c r="DH65" s="133" t="n">
        <f aca="false">DG65*Inputs!$G$14</f>
        <v>5462.7385188178</v>
      </c>
      <c r="DI65" s="84" t="n">
        <f aca="false">DG65-DH65</f>
        <v>21850.9540752712</v>
      </c>
      <c r="DJ65" s="133" t="n">
        <f aca="false">CV65+$D65*Inputs!$G$13</f>
        <v>20000</v>
      </c>
      <c r="DK65" s="84" t="n">
        <f aca="false">MIN(DH65,DJ65)</f>
        <v>5462.7385188178</v>
      </c>
      <c r="DL65" s="84" t="n">
        <f aca="false">DJ65-DK65</f>
        <v>14537.2614811822</v>
      </c>
      <c r="DM65" s="84" t="n">
        <f aca="false">CY65+$G65*(DJ65+CY65)</f>
        <v>0</v>
      </c>
      <c r="DN65" s="84" t="n">
        <f aca="false">MIN(DH65-DK65,DM65)</f>
        <v>0</v>
      </c>
      <c r="DO65" s="84" t="n">
        <f aca="false">DM65-DN65</f>
        <v>0</v>
      </c>
      <c r="DP65" s="84" t="n">
        <f aca="false">IF($H65=1,MIN(DH65-DK65-DN65,MAX(0,$F65/(1-$F65)*(DD65+DN65)-DE65)),0)</f>
        <v>0</v>
      </c>
      <c r="DQ65" s="84" t="n">
        <f aca="false">DH65-DK65-DN65-DP65</f>
        <v>0</v>
      </c>
      <c r="DR65" s="84" t="n">
        <f aca="false">DK65+DN65+(1-$F65)*DQ65</f>
        <v>5462.7385188178</v>
      </c>
      <c r="DS65" s="84" t="n">
        <f aca="false">DP65+$F65*DQ65</f>
        <v>0</v>
      </c>
      <c r="DT65" s="84" t="n">
        <f aca="false">DD65+DN65+(1-$F65)*DQ65</f>
        <v>0</v>
      </c>
      <c r="DU65" s="84" t="n">
        <f aca="false">DE65+DS65</f>
        <v>0</v>
      </c>
      <c r="DV65" s="133" t="n">
        <f aca="false">DI65+$D65*Inputs!$H$13-$D65*$E65</f>
        <v>21580.9540752712</v>
      </c>
      <c r="DW65" s="84" t="n">
        <f aca="false">DV65*(1+$I65)</f>
        <v>24386.4781050565</v>
      </c>
      <c r="DX65" s="133" t="n">
        <f aca="false">DW65*Inputs!$H$14</f>
        <v>4877.29562101129</v>
      </c>
      <c r="DY65" s="84" t="n">
        <f aca="false">DW65-DX65</f>
        <v>19509.1824840452</v>
      </c>
      <c r="DZ65" s="133" t="n">
        <f aca="false">DL65+$D65*Inputs!$H$13</f>
        <v>14537.2614811822</v>
      </c>
      <c r="EA65" s="84" t="n">
        <f aca="false">MIN(DX65,DZ65)</f>
        <v>4877.29562101129</v>
      </c>
      <c r="EB65" s="84" t="n">
        <f aca="false">DZ65-EA65</f>
        <v>9659.96586017091</v>
      </c>
      <c r="EC65" s="84" t="n">
        <f aca="false">DO65+$G65*(DZ65+DO65)</f>
        <v>0</v>
      </c>
      <c r="ED65" s="84" t="n">
        <f aca="false">MIN(DX65-EA65,EC65)</f>
        <v>0</v>
      </c>
      <c r="EE65" s="84" t="n">
        <f aca="false">EC65-ED65</f>
        <v>0</v>
      </c>
      <c r="EF65" s="84" t="n">
        <f aca="false">IF($H65=1,MIN(DX65-EA65-ED65,MAX(0,$F65/(1-$F65)*(DT65+ED65)-DU65)),0)</f>
        <v>0</v>
      </c>
      <c r="EG65" s="84" t="n">
        <f aca="false">DX65-EA65-ED65-EF65</f>
        <v>0</v>
      </c>
      <c r="EH65" s="84" t="n">
        <f aca="false">EA65+ED65+(1-$F65)*EG65</f>
        <v>4877.29562101129</v>
      </c>
      <c r="EI65" s="84" t="n">
        <f aca="false">EF65+$F65*EG65</f>
        <v>0</v>
      </c>
      <c r="EJ65" s="84" t="n">
        <f aca="false">DT65+ED65+(1-$F65)*EG65</f>
        <v>0</v>
      </c>
      <c r="EK65" s="84" t="n">
        <f aca="false">DU65+EI65</f>
        <v>0</v>
      </c>
      <c r="EL65" s="133" t="n">
        <f aca="false">DY65+$D65*Inputs!$I$13-$D65*$E65</f>
        <v>19239.1824840452</v>
      </c>
      <c r="EM65" s="84" t="n">
        <f aca="false">EL65*(1+$I65)</f>
        <v>21740.276206971</v>
      </c>
      <c r="EN65" s="133" t="n">
        <f aca="false">EM65*Inputs!$I$14</f>
        <v>4348.05524139421</v>
      </c>
      <c r="EO65" s="84" t="n">
        <f aca="false">EM65-EN65</f>
        <v>17392.2209655768</v>
      </c>
      <c r="EP65" s="133" t="n">
        <f aca="false">EB65+$D65*Inputs!$I$13</f>
        <v>9659.96586017091</v>
      </c>
      <c r="EQ65" s="84" t="n">
        <f aca="false">MIN(EN65,EP65)</f>
        <v>4348.05524139421</v>
      </c>
      <c r="ER65" s="84" t="n">
        <f aca="false">EP65-EQ65</f>
        <v>5311.91061877671</v>
      </c>
      <c r="ES65" s="84" t="n">
        <f aca="false">EE65+$G65*(EP65+EE65)</f>
        <v>0</v>
      </c>
      <c r="ET65" s="84" t="n">
        <f aca="false">MIN(EN65-EQ65,ES65)</f>
        <v>0</v>
      </c>
      <c r="EU65" s="84" t="n">
        <f aca="false">ES65-ET65</f>
        <v>0</v>
      </c>
      <c r="EV65" s="84" t="n">
        <f aca="false">IF($H65=1,MIN(EN65-EQ65-ET65,MAX(0,$F65/(1-$F65)*(EJ65+ET65)-EK65)),0)</f>
        <v>0</v>
      </c>
      <c r="EW65" s="84" t="n">
        <f aca="false">EN65-EQ65-ET65-EV65</f>
        <v>0</v>
      </c>
      <c r="EX65" s="84" t="n">
        <f aca="false">EQ65+ET65+(1-$F65)*EW65</f>
        <v>4348.05524139421</v>
      </c>
      <c r="EY65" s="84" t="n">
        <f aca="false">EV65+$F65*EW65</f>
        <v>0</v>
      </c>
      <c r="EZ65" s="84" t="n">
        <f aca="false">EJ65+ET65+(1-$F65)*EW65</f>
        <v>0</v>
      </c>
      <c r="FA65" s="84" t="n">
        <f aca="false">EK65+EY65</f>
        <v>0</v>
      </c>
      <c r="FB65" s="133" t="n">
        <f aca="false">EO65+$D65*Inputs!$J$13-$D65*$E65</f>
        <v>17122.2209655768</v>
      </c>
      <c r="FC65" s="84" t="n">
        <f aca="false">FB65*(1+$I65)</f>
        <v>19348.1096911018</v>
      </c>
      <c r="FD65" s="133" t="n">
        <f aca="false">FC65*Inputs!$J$14</f>
        <v>3869.62193822036</v>
      </c>
      <c r="FE65" s="84" t="n">
        <f aca="false">FC65-FD65</f>
        <v>15478.4877528814</v>
      </c>
      <c r="FF65" s="133" t="n">
        <f aca="false">ER65+$D65*Inputs!$J$13</f>
        <v>5311.91061877671</v>
      </c>
      <c r="FG65" s="84" t="n">
        <f aca="false">MIN(FD65,FF65)</f>
        <v>3869.62193822036</v>
      </c>
      <c r="FH65" s="84" t="n">
        <f aca="false">FF65-FG65</f>
        <v>1442.28868055635</v>
      </c>
      <c r="FI65" s="84" t="n">
        <f aca="false">EU65+$G65*(FF65+EU65)</f>
        <v>0</v>
      </c>
      <c r="FJ65" s="84" t="n">
        <f aca="false">MIN(FD65-FG65,FI65)</f>
        <v>0</v>
      </c>
      <c r="FK65" s="84" t="n">
        <f aca="false">FI65-FJ65</f>
        <v>0</v>
      </c>
      <c r="FL65" s="84" t="n">
        <f aca="false">IF($H65=1,MIN(FD65-FG65-FJ65,MAX(0,$F65/(1-$F65)*(EZ65+FJ65)-FA65)),0)</f>
        <v>0</v>
      </c>
      <c r="FM65" s="84" t="n">
        <f aca="false">FD65-FG65-FJ65-FL65</f>
        <v>0</v>
      </c>
      <c r="FN65" s="84" t="n">
        <f aca="false">FG65+FJ65+(1-$F65)*FM65</f>
        <v>3869.62193822036</v>
      </c>
      <c r="FO65" s="84" t="n">
        <f aca="false">FL65+$F65*FM65</f>
        <v>0</v>
      </c>
      <c r="FP65" s="84" t="n">
        <f aca="false">EZ65+FJ65+(1-$F65)*FM65</f>
        <v>0</v>
      </c>
      <c r="FQ65" s="84" t="n">
        <f aca="false">FA65+FO65</f>
        <v>0</v>
      </c>
      <c r="FR65" s="133" t="n">
        <f aca="false">FE65+$D65*Inputs!$K$13-$D65*$E65</f>
        <v>15208.4877528814</v>
      </c>
      <c r="FS65" s="84" t="n">
        <f aca="false">FR65*(1+$I65)</f>
        <v>17185.591160756</v>
      </c>
      <c r="FT65" s="133" t="n">
        <f aca="false">FS65*Inputs!$K$14</f>
        <v>3437.11823215121</v>
      </c>
      <c r="FU65" s="84" t="n">
        <f aca="false">FS65-FT65</f>
        <v>13748.4729286048</v>
      </c>
      <c r="FV65" s="133" t="n">
        <f aca="false">FH65+$D65*Inputs!$K$13</f>
        <v>1442.28868055635</v>
      </c>
      <c r="FW65" s="84" t="n">
        <f aca="false">MIN(FT65,FV65)</f>
        <v>1442.28868055635</v>
      </c>
      <c r="FX65" s="84" t="n">
        <f aca="false">FV65-FW65</f>
        <v>0</v>
      </c>
      <c r="FY65" s="84" t="n">
        <f aca="false">FK65+$G65*(FV65+FK65)</f>
        <v>0</v>
      </c>
      <c r="FZ65" s="84" t="n">
        <f aca="false">MIN(FT65-FW65,FY65)</f>
        <v>0</v>
      </c>
      <c r="GA65" s="84" t="n">
        <f aca="false">FY65-FZ65</f>
        <v>0</v>
      </c>
      <c r="GB65" s="84" t="n">
        <f aca="false">IF($H65=1,MIN(FT65-FW65-FZ65,MAX(0,$F65/(1-$F65)*(FP65+FZ65)-FQ65)),0)</f>
        <v>0</v>
      </c>
      <c r="GC65" s="84" t="n">
        <f aca="false">FT65-FW65-FZ65-GB65</f>
        <v>1994.82955159486</v>
      </c>
      <c r="GD65" s="84" t="n">
        <f aca="false">FW65+FZ65+(1-$F65)*GC65</f>
        <v>3038.15232183223</v>
      </c>
      <c r="GE65" s="84" t="n">
        <f aca="false">GB65+$F65*GC65</f>
        <v>398.965910318972</v>
      </c>
      <c r="GF65" s="84" t="n">
        <f aca="false">FP65+FZ65+(1-$F65)*GC65</f>
        <v>1595.86364127589</v>
      </c>
      <c r="GG65" s="84" t="n">
        <f aca="false">FQ65+GE65</f>
        <v>398.965910318972</v>
      </c>
      <c r="GH65" s="133" t="n">
        <f aca="false">FU65+$D65*Inputs!$L$13-$D65*$E65</f>
        <v>13478.4729286048</v>
      </c>
      <c r="GI65" s="84" t="n">
        <f aca="false">GH65*(1+$I65)</f>
        <v>15230.6744093235</v>
      </c>
      <c r="GJ65" s="133" t="n">
        <f aca="false">GI65*Inputs!$L$14</f>
        <v>15230.6744093235</v>
      </c>
      <c r="GK65" s="84" t="n">
        <f aca="false">GI65-GJ65</f>
        <v>0</v>
      </c>
      <c r="GL65" s="133" t="n">
        <f aca="false">FX65+$D65*Inputs!$L$13</f>
        <v>0</v>
      </c>
      <c r="GM65" s="84" t="n">
        <f aca="false">MIN(GJ65,GL65)</f>
        <v>0</v>
      </c>
      <c r="GN65" s="84" t="n">
        <f aca="false">GL65-GM65</f>
        <v>0</v>
      </c>
      <c r="GO65" s="84" t="n">
        <f aca="false">GA65+$G65*(GL65+GA65)</f>
        <v>0</v>
      </c>
      <c r="GP65" s="84" t="n">
        <f aca="false">MIN(GJ65-GM65,GO65)</f>
        <v>0</v>
      </c>
      <c r="GQ65" s="84" t="n">
        <f aca="false">GO65-GP65</f>
        <v>0</v>
      </c>
      <c r="GR65" s="84" t="n">
        <f aca="false">IF($H65=1,MIN(GJ65-GM65-GP65,MAX(0,$F65/(1-$F65)*(GF65+GP65)-GG65)),0)</f>
        <v>0</v>
      </c>
      <c r="GS65" s="84" t="n">
        <f aca="false">GJ65-GM65-GP65-GR65</f>
        <v>15230.6744093235</v>
      </c>
      <c r="GT65" s="84" t="n">
        <f aca="false">GM65+GP65+(1-$F65)*GS65</f>
        <v>12184.5395274588</v>
      </c>
      <c r="GU65" s="84" t="n">
        <f aca="false">GR65+$F65*GS65</f>
        <v>3046.13488186469</v>
      </c>
      <c r="GV65" s="84" t="n">
        <f aca="false">GF65+GP65+(1-$F65)*GS65</f>
        <v>13780.4031687346</v>
      </c>
      <c r="GW65" s="84" t="n">
        <f aca="false">GG65+GU65</f>
        <v>3445.10079218366</v>
      </c>
    </row>
    <row r="66" customFormat="false" ht="15" hidden="false" customHeight="false" outlineLevel="0" collapsed="false">
      <c r="A66" s="5" t="s">
        <v>637</v>
      </c>
      <c r="B66" s="5" t="s">
        <v>638</v>
      </c>
      <c r="C66" s="135" t="n">
        <v>14</v>
      </c>
      <c r="D66" s="47" t="n">
        <f aca="false">Inputs!$C$6</f>
        <v>20000</v>
      </c>
      <c r="E66" s="35" t="n">
        <f aca="false">Inputs!$C$19</f>
        <v>0.0135</v>
      </c>
      <c r="F66" s="36" t="n">
        <f aca="false">Inputs!$C$20</f>
        <v>0.2</v>
      </c>
      <c r="G66" s="30" t="n">
        <v>0</v>
      </c>
      <c r="H66" s="27" t="n">
        <v>0</v>
      </c>
      <c r="I66" s="132" t="n">
        <f aca="false">Inputs!$C$38+$C66*Inputs!$C$39</f>
        <v>0.14</v>
      </c>
      <c r="J66" s="36" t="n">
        <f aca="false">Inputs!$C$9</f>
        <v>0.15</v>
      </c>
      <c r="K66" s="89" t="n">
        <f aca="false">IRR(W66:AG66,0.1)</f>
        <v>0.103329604808712</v>
      </c>
      <c r="L66" s="45" t="n">
        <f aca="false">W66+NPV($J66,X66:AG66)</f>
        <v>-3258.56373833278</v>
      </c>
      <c r="M66" s="45" t="n">
        <f aca="false">SUM(BF66,BV66,CL66,DB66,DR66,EH66,EX66,FN66,GD66,GT66)</f>
        <v>35564.7508495412</v>
      </c>
      <c r="N66" s="43" t="n">
        <f aca="false">IF($D66*SUM(Inputs!$C$13:$L$13)=0,0,M66/($D66*SUM(Inputs!$C$13:$L$13)))</f>
        <v>1.77823754247706</v>
      </c>
      <c r="O66" s="42" t="n">
        <f aca="false">$D66*$E66*COLUMNS(Inputs!$C$13:$L$13)</f>
        <v>2700</v>
      </c>
      <c r="P66" s="45" t="n">
        <f aca="false">SUM(BG66,BW66,CM66,DC66,DS66,EI66,EY66,FO66,GE66,GU66)</f>
        <v>3891.1877123853</v>
      </c>
      <c r="Q66" s="42" t="n">
        <f aca="false">PV($J66,COLUMNS(Inputs!$C$13:$L$13),-$D66*$E66,0,1)</f>
        <v>1558.32765832774</v>
      </c>
      <c r="R66" s="45" t="n">
        <f aca="false">NPV($J66,BG66,BW66,CM66,DC66,DS66,EI66,EY66,FO66,GE66,GU66)</f>
        <v>984.18741625394</v>
      </c>
      <c r="S66" s="45" t="n">
        <f aca="false">Q66+R66</f>
        <v>2542.51507458168</v>
      </c>
      <c r="T66" s="32" t="n">
        <f aca="false">IF(S66=0,0,Q66/S66)</f>
        <v>0.612907932742201</v>
      </c>
      <c r="U66" s="45" t="n">
        <f aca="false">ROUND(ABS(GK66)+ABS(SUM(AV66,BL66,CB66,CR66,DH66,DX66,EN66,FD66,FT66,GJ66)-M66-P66)+ABS(S66-(AH66+NPV($J66,AI66:AR66))),6)</f>
        <v>0</v>
      </c>
      <c r="W66" s="133" t="n">
        <f aca="false">-$D66*Inputs!$C$13</f>
        <v>-4000</v>
      </c>
      <c r="X66" s="133" t="n">
        <f aca="false">BF66-$D66*Inputs!$D$13</f>
        <v>-4000</v>
      </c>
      <c r="Y66" s="133" t="n">
        <f aca="false">BV66-$D66*Inputs!$E$13</f>
        <v>-4000</v>
      </c>
      <c r="Z66" s="133" t="n">
        <f aca="false">CL66-$D66*Inputs!$F$13</f>
        <v>-4000</v>
      </c>
      <c r="AA66" s="133" t="n">
        <f aca="false">DB66-$D66*Inputs!$G$13</f>
        <v>-4000</v>
      </c>
      <c r="AB66" s="133" t="n">
        <f aca="false">DR66-$D66*Inputs!$H$13</f>
        <v>5621.4969818304</v>
      </c>
      <c r="AC66" s="133" t="n">
        <f aca="false">EH66-$D66*Inputs!$I$13</f>
        <v>5065.24524742933</v>
      </c>
      <c r="AD66" s="133" t="n">
        <f aca="false">EX66-$D66*Inputs!$J$13</f>
        <v>4557.94366565555</v>
      </c>
      <c r="AE66" s="133" t="n">
        <f aca="false">FN66-$D66*Inputs!$K$13</f>
        <v>4095.28462307786</v>
      </c>
      <c r="AF66" s="133" t="n">
        <f aca="false">GD66-$D66*Inputs!$L$13</f>
        <v>3070.67755739898</v>
      </c>
      <c r="AG66" s="84" t="n">
        <f aca="false">GT66</f>
        <v>13154.1027741491</v>
      </c>
      <c r="AH66" s="84" t="n">
        <f aca="false">$D66*$E66</f>
        <v>270</v>
      </c>
      <c r="AI66" s="84" t="n">
        <f aca="false">BG66+$D66*$E66</f>
        <v>270</v>
      </c>
      <c r="AJ66" s="84" t="n">
        <f aca="false">BW66+$D66*$E66</f>
        <v>270</v>
      </c>
      <c r="AK66" s="84" t="n">
        <f aca="false">CM66+$D66*$E66</f>
        <v>270</v>
      </c>
      <c r="AL66" s="84" t="n">
        <f aca="false">DC66+$D66*$E66</f>
        <v>270</v>
      </c>
      <c r="AM66" s="84" t="n">
        <f aca="false">DS66+$D66*$E66</f>
        <v>270</v>
      </c>
      <c r="AN66" s="84" t="n">
        <f aca="false">EI66+$D66*$E66</f>
        <v>270</v>
      </c>
      <c r="AO66" s="84" t="n">
        <f aca="false">EY66+$D66*$E66</f>
        <v>270</v>
      </c>
      <c r="AP66" s="84" t="n">
        <f aca="false">FO66+$D66*$E66</f>
        <v>270</v>
      </c>
      <c r="AQ66" s="84" t="n">
        <f aca="false">GE66+$D66*$E66</f>
        <v>872.662018848029</v>
      </c>
      <c r="AR66" s="84" t="n">
        <f aca="false">GU66</f>
        <v>3288.52569353727</v>
      </c>
      <c r="AT66" s="133" t="n">
        <f aca="false">$D66*Inputs!$C$13-$D66*$E66</f>
        <v>3730</v>
      </c>
      <c r="AU66" s="84" t="n">
        <f aca="false">AT66*(1+$I66)</f>
        <v>4252.2</v>
      </c>
      <c r="AV66" s="133" t="n">
        <f aca="false">AU66*Inputs!$C$14</f>
        <v>0</v>
      </c>
      <c r="AW66" s="84" t="n">
        <f aca="false">AU66-AV66</f>
        <v>4252.2</v>
      </c>
      <c r="AX66" s="133" t="n">
        <f aca="false">$D66*Inputs!$C$13</f>
        <v>4000</v>
      </c>
      <c r="AY66" s="84" t="n">
        <f aca="false">MIN(AV66,AX66)</f>
        <v>0</v>
      </c>
      <c r="AZ66" s="84" t="n">
        <f aca="false">AX66-AY66</f>
        <v>4000</v>
      </c>
      <c r="BA66" s="84" t="n">
        <f aca="false">$G66*AX66</f>
        <v>0</v>
      </c>
      <c r="BB66" s="84" t="n">
        <f aca="false">MIN(AV66-AY66,BA66)</f>
        <v>0</v>
      </c>
      <c r="BC66" s="84" t="n">
        <f aca="false">BA66-BB66</f>
        <v>0</v>
      </c>
      <c r="BD66" s="84" t="n">
        <f aca="false">IF($H66=1,MIN(AV66-AY66-BB66,MAX(0,$F66/(1-$F66)*BB66)),0)</f>
        <v>0</v>
      </c>
      <c r="BE66" s="84" t="n">
        <f aca="false">AV66-AY66-BB66-BD66</f>
        <v>0</v>
      </c>
      <c r="BF66" s="84" t="n">
        <f aca="false">AY66+BB66+(1-$F66)*BE66</f>
        <v>0</v>
      </c>
      <c r="BG66" s="84" t="n">
        <f aca="false">BD66+$F66*BE66</f>
        <v>0</v>
      </c>
      <c r="BH66" s="84" t="n">
        <f aca="false">BB66+(1-$F66)*BE66</f>
        <v>0</v>
      </c>
      <c r="BI66" s="84" t="n">
        <f aca="false">BG66</f>
        <v>0</v>
      </c>
      <c r="BJ66" s="133" t="n">
        <f aca="false">AW66+$D66*Inputs!$D$13-$D66*$E66</f>
        <v>7982.2</v>
      </c>
      <c r="BK66" s="84" t="n">
        <f aca="false">BJ66*(1+$I66)</f>
        <v>9099.708</v>
      </c>
      <c r="BL66" s="133" t="n">
        <f aca="false">BK66*Inputs!$D$14</f>
        <v>0</v>
      </c>
      <c r="BM66" s="84" t="n">
        <f aca="false">BK66-BL66</f>
        <v>9099.708</v>
      </c>
      <c r="BN66" s="133" t="n">
        <f aca="false">AZ66+$D66*Inputs!$D$13</f>
        <v>8000</v>
      </c>
      <c r="BO66" s="84" t="n">
        <f aca="false">MIN(BL66,BN66)</f>
        <v>0</v>
      </c>
      <c r="BP66" s="84" t="n">
        <f aca="false">BN66-BO66</f>
        <v>8000</v>
      </c>
      <c r="BQ66" s="84" t="n">
        <f aca="false">BC66+$G66*(BN66+BC66)</f>
        <v>0</v>
      </c>
      <c r="BR66" s="84" t="n">
        <f aca="false">MIN(BL66-BO66,BQ66)</f>
        <v>0</v>
      </c>
      <c r="BS66" s="84" t="n">
        <f aca="false">BQ66-BR66</f>
        <v>0</v>
      </c>
      <c r="BT66" s="84" t="n">
        <f aca="false">IF($H66=1,MIN(BL66-BO66-BR66,MAX(0,$F66/(1-$F66)*(BH66+BR66)-BI66)),0)</f>
        <v>0</v>
      </c>
      <c r="BU66" s="84" t="n">
        <f aca="false">BL66-BO66-BR66-BT66</f>
        <v>0</v>
      </c>
      <c r="BV66" s="84" t="n">
        <f aca="false">BO66+BR66+(1-$F66)*BU66</f>
        <v>0</v>
      </c>
      <c r="BW66" s="84" t="n">
        <f aca="false">BT66+$F66*BU66</f>
        <v>0</v>
      </c>
      <c r="BX66" s="84" t="n">
        <f aca="false">BH66+BR66+(1-$F66)*BU66</f>
        <v>0</v>
      </c>
      <c r="BY66" s="84" t="n">
        <f aca="false">BI66+BW66</f>
        <v>0</v>
      </c>
      <c r="BZ66" s="133" t="n">
        <f aca="false">BM66+$D66*Inputs!$E$13-$D66*$E66</f>
        <v>12829.708</v>
      </c>
      <c r="CA66" s="84" t="n">
        <f aca="false">BZ66*(1+$I66)</f>
        <v>14625.86712</v>
      </c>
      <c r="CB66" s="133" t="n">
        <f aca="false">CA66*Inputs!$E$14</f>
        <v>0</v>
      </c>
      <c r="CC66" s="84" t="n">
        <f aca="false">CA66-CB66</f>
        <v>14625.86712</v>
      </c>
      <c r="CD66" s="133" t="n">
        <f aca="false">BP66+$D66*Inputs!$E$13</f>
        <v>12000</v>
      </c>
      <c r="CE66" s="84" t="n">
        <f aca="false">MIN(CB66,CD66)</f>
        <v>0</v>
      </c>
      <c r="CF66" s="84" t="n">
        <f aca="false">CD66-CE66</f>
        <v>12000</v>
      </c>
      <c r="CG66" s="84" t="n">
        <f aca="false">BS66+$G66*(CD66+BS66)</f>
        <v>0</v>
      </c>
      <c r="CH66" s="84" t="n">
        <f aca="false">MIN(CB66-CE66,CG66)</f>
        <v>0</v>
      </c>
      <c r="CI66" s="84" t="n">
        <f aca="false">CG66-CH66</f>
        <v>0</v>
      </c>
      <c r="CJ66" s="84" t="n">
        <f aca="false">IF($H66=1,MIN(CB66-CE66-CH66,MAX(0,$F66/(1-$F66)*(BX66+CH66)-BY66)),0)</f>
        <v>0</v>
      </c>
      <c r="CK66" s="84" t="n">
        <f aca="false">CB66-CE66-CH66-CJ66</f>
        <v>0</v>
      </c>
      <c r="CL66" s="84" t="n">
        <f aca="false">CE66+CH66+(1-$F66)*CK66</f>
        <v>0</v>
      </c>
      <c r="CM66" s="84" t="n">
        <f aca="false">CJ66+$F66*CK66</f>
        <v>0</v>
      </c>
      <c r="CN66" s="84" t="n">
        <f aca="false">BX66+CH66+(1-$F66)*CK66</f>
        <v>0</v>
      </c>
      <c r="CO66" s="84" t="n">
        <f aca="false">BY66+CM66</f>
        <v>0</v>
      </c>
      <c r="CP66" s="133" t="n">
        <f aca="false">CC66+$D66*Inputs!$F$13-$D66*$E66</f>
        <v>18355.86712</v>
      </c>
      <c r="CQ66" s="84" t="n">
        <f aca="false">CP66*(1+$I66)</f>
        <v>20925.6885168</v>
      </c>
      <c r="CR66" s="133" t="n">
        <f aca="false">CQ66*Inputs!$F$14</f>
        <v>0</v>
      </c>
      <c r="CS66" s="84" t="n">
        <f aca="false">CQ66-CR66</f>
        <v>20925.6885168</v>
      </c>
      <c r="CT66" s="133" t="n">
        <f aca="false">CF66+$D66*Inputs!$F$13</f>
        <v>16000</v>
      </c>
      <c r="CU66" s="84" t="n">
        <f aca="false">MIN(CR66,CT66)</f>
        <v>0</v>
      </c>
      <c r="CV66" s="84" t="n">
        <f aca="false">CT66-CU66</f>
        <v>16000</v>
      </c>
      <c r="CW66" s="84" t="n">
        <f aca="false">CI66+$G66*(CT66+CI66)</f>
        <v>0</v>
      </c>
      <c r="CX66" s="84" t="n">
        <f aca="false">MIN(CR66-CU66,CW66)</f>
        <v>0</v>
      </c>
      <c r="CY66" s="84" t="n">
        <f aca="false">CW66-CX66</f>
        <v>0</v>
      </c>
      <c r="CZ66" s="84" t="n">
        <f aca="false">IF($H66=1,MIN(CR66-CU66-CX66,MAX(0,$F66/(1-$F66)*(CN66+CX66)-CO66)),0)</f>
        <v>0</v>
      </c>
      <c r="DA66" s="84" t="n">
        <f aca="false">CR66-CU66-CX66-CZ66</f>
        <v>0</v>
      </c>
      <c r="DB66" s="84" t="n">
        <f aca="false">CU66+CX66+(1-$F66)*DA66</f>
        <v>0</v>
      </c>
      <c r="DC66" s="84" t="n">
        <f aca="false">CZ66+$F66*DA66</f>
        <v>0</v>
      </c>
      <c r="DD66" s="84" t="n">
        <f aca="false">CN66+CX66+(1-$F66)*DA66</f>
        <v>0</v>
      </c>
      <c r="DE66" s="84" t="n">
        <f aca="false">CO66+DC66</f>
        <v>0</v>
      </c>
      <c r="DF66" s="133" t="n">
        <f aca="false">CS66+$D66*Inputs!$G$13-$D66*$E66</f>
        <v>24655.6885168</v>
      </c>
      <c r="DG66" s="84" t="n">
        <f aca="false">DF66*(1+$I66)</f>
        <v>28107.484909152</v>
      </c>
      <c r="DH66" s="133" t="n">
        <f aca="false">DG66*Inputs!$G$14</f>
        <v>5621.4969818304</v>
      </c>
      <c r="DI66" s="84" t="n">
        <f aca="false">DG66-DH66</f>
        <v>22485.9879273216</v>
      </c>
      <c r="DJ66" s="133" t="n">
        <f aca="false">CV66+$D66*Inputs!$G$13</f>
        <v>20000</v>
      </c>
      <c r="DK66" s="84" t="n">
        <f aca="false">MIN(DH66,DJ66)</f>
        <v>5621.4969818304</v>
      </c>
      <c r="DL66" s="84" t="n">
        <f aca="false">DJ66-DK66</f>
        <v>14378.5030181696</v>
      </c>
      <c r="DM66" s="84" t="n">
        <f aca="false">CY66+$G66*(DJ66+CY66)</f>
        <v>0</v>
      </c>
      <c r="DN66" s="84" t="n">
        <f aca="false">MIN(DH66-DK66,DM66)</f>
        <v>0</v>
      </c>
      <c r="DO66" s="84" t="n">
        <f aca="false">DM66-DN66</f>
        <v>0</v>
      </c>
      <c r="DP66" s="84" t="n">
        <f aca="false">IF($H66=1,MIN(DH66-DK66-DN66,MAX(0,$F66/(1-$F66)*(DD66+DN66)-DE66)),0)</f>
        <v>0</v>
      </c>
      <c r="DQ66" s="84" t="n">
        <f aca="false">DH66-DK66-DN66-DP66</f>
        <v>0</v>
      </c>
      <c r="DR66" s="84" t="n">
        <f aca="false">DK66+DN66+(1-$F66)*DQ66</f>
        <v>5621.4969818304</v>
      </c>
      <c r="DS66" s="84" t="n">
        <f aca="false">DP66+$F66*DQ66</f>
        <v>0</v>
      </c>
      <c r="DT66" s="84" t="n">
        <f aca="false">DD66+DN66+(1-$F66)*DQ66</f>
        <v>0</v>
      </c>
      <c r="DU66" s="84" t="n">
        <f aca="false">DE66+DS66</f>
        <v>0</v>
      </c>
      <c r="DV66" s="133" t="n">
        <f aca="false">DI66+$D66*Inputs!$H$13-$D66*$E66</f>
        <v>22215.9879273216</v>
      </c>
      <c r="DW66" s="84" t="n">
        <f aca="false">DV66*(1+$I66)</f>
        <v>25326.2262371466</v>
      </c>
      <c r="DX66" s="133" t="n">
        <f aca="false">DW66*Inputs!$H$14</f>
        <v>5065.24524742933</v>
      </c>
      <c r="DY66" s="84" t="n">
        <f aca="false">DW66-DX66</f>
        <v>20260.9809897173</v>
      </c>
      <c r="DZ66" s="133" t="n">
        <f aca="false">DL66+$D66*Inputs!$H$13</f>
        <v>14378.5030181696</v>
      </c>
      <c r="EA66" s="84" t="n">
        <f aca="false">MIN(DX66,DZ66)</f>
        <v>5065.24524742933</v>
      </c>
      <c r="EB66" s="84" t="n">
        <f aca="false">DZ66-EA66</f>
        <v>9313.25777074027</v>
      </c>
      <c r="EC66" s="84" t="n">
        <f aca="false">DO66+$G66*(DZ66+DO66)</f>
        <v>0</v>
      </c>
      <c r="ED66" s="84" t="n">
        <f aca="false">MIN(DX66-EA66,EC66)</f>
        <v>0</v>
      </c>
      <c r="EE66" s="84" t="n">
        <f aca="false">EC66-ED66</f>
        <v>0</v>
      </c>
      <c r="EF66" s="84" t="n">
        <f aca="false">IF($H66=1,MIN(DX66-EA66-ED66,MAX(0,$F66/(1-$F66)*(DT66+ED66)-DU66)),0)</f>
        <v>0</v>
      </c>
      <c r="EG66" s="84" t="n">
        <f aca="false">DX66-EA66-ED66-EF66</f>
        <v>0</v>
      </c>
      <c r="EH66" s="84" t="n">
        <f aca="false">EA66+ED66+(1-$F66)*EG66</f>
        <v>5065.24524742933</v>
      </c>
      <c r="EI66" s="84" t="n">
        <f aca="false">EF66+$F66*EG66</f>
        <v>0</v>
      </c>
      <c r="EJ66" s="84" t="n">
        <f aca="false">DT66+ED66+(1-$F66)*EG66</f>
        <v>0</v>
      </c>
      <c r="EK66" s="84" t="n">
        <f aca="false">DU66+EI66</f>
        <v>0</v>
      </c>
      <c r="EL66" s="133" t="n">
        <f aca="false">DY66+$D66*Inputs!$I$13-$D66*$E66</f>
        <v>19990.9809897173</v>
      </c>
      <c r="EM66" s="84" t="n">
        <f aca="false">EL66*(1+$I66)</f>
        <v>22789.7183282777</v>
      </c>
      <c r="EN66" s="133" t="n">
        <f aca="false">EM66*Inputs!$I$14</f>
        <v>4557.94366565555</v>
      </c>
      <c r="EO66" s="84" t="n">
        <f aca="false">EM66-EN66</f>
        <v>18231.7746626222</v>
      </c>
      <c r="EP66" s="133" t="n">
        <f aca="false">EB66+$D66*Inputs!$I$13</f>
        <v>9313.25777074027</v>
      </c>
      <c r="EQ66" s="84" t="n">
        <f aca="false">MIN(EN66,EP66)</f>
        <v>4557.94366565555</v>
      </c>
      <c r="ER66" s="84" t="n">
        <f aca="false">EP66-EQ66</f>
        <v>4755.31410508472</v>
      </c>
      <c r="ES66" s="84" t="n">
        <f aca="false">EE66+$G66*(EP66+EE66)</f>
        <v>0</v>
      </c>
      <c r="ET66" s="84" t="n">
        <f aca="false">MIN(EN66-EQ66,ES66)</f>
        <v>0</v>
      </c>
      <c r="EU66" s="84" t="n">
        <f aca="false">ES66-ET66</f>
        <v>0</v>
      </c>
      <c r="EV66" s="84" t="n">
        <f aca="false">IF($H66=1,MIN(EN66-EQ66-ET66,MAX(0,$F66/(1-$F66)*(EJ66+ET66)-EK66)),0)</f>
        <v>0</v>
      </c>
      <c r="EW66" s="84" t="n">
        <f aca="false">EN66-EQ66-ET66-EV66</f>
        <v>0</v>
      </c>
      <c r="EX66" s="84" t="n">
        <f aca="false">EQ66+ET66+(1-$F66)*EW66</f>
        <v>4557.94366565555</v>
      </c>
      <c r="EY66" s="84" t="n">
        <f aca="false">EV66+$F66*EW66</f>
        <v>0</v>
      </c>
      <c r="EZ66" s="84" t="n">
        <f aca="false">EJ66+ET66+(1-$F66)*EW66</f>
        <v>0</v>
      </c>
      <c r="FA66" s="84" t="n">
        <f aca="false">EK66+EY66</f>
        <v>0</v>
      </c>
      <c r="FB66" s="133" t="n">
        <f aca="false">EO66+$D66*Inputs!$J$13-$D66*$E66</f>
        <v>17961.7746626222</v>
      </c>
      <c r="FC66" s="84" t="n">
        <f aca="false">FB66*(1+$I66)</f>
        <v>20476.4231153893</v>
      </c>
      <c r="FD66" s="133" t="n">
        <f aca="false">FC66*Inputs!$J$14</f>
        <v>4095.28462307786</v>
      </c>
      <c r="FE66" s="84" t="n">
        <f aca="false">FC66-FD66</f>
        <v>16381.1384923114</v>
      </c>
      <c r="FF66" s="133" t="n">
        <f aca="false">ER66+$D66*Inputs!$J$13</f>
        <v>4755.31410508472</v>
      </c>
      <c r="FG66" s="84" t="n">
        <f aca="false">MIN(FD66,FF66)</f>
        <v>4095.28462307786</v>
      </c>
      <c r="FH66" s="84" t="n">
        <f aca="false">FF66-FG66</f>
        <v>660.029482006864</v>
      </c>
      <c r="FI66" s="84" t="n">
        <f aca="false">EU66+$G66*(FF66+EU66)</f>
        <v>0</v>
      </c>
      <c r="FJ66" s="84" t="n">
        <f aca="false">MIN(FD66-FG66,FI66)</f>
        <v>0</v>
      </c>
      <c r="FK66" s="84" t="n">
        <f aca="false">FI66-FJ66</f>
        <v>0</v>
      </c>
      <c r="FL66" s="84" t="n">
        <f aca="false">IF($H66=1,MIN(FD66-FG66-FJ66,MAX(0,$F66/(1-$F66)*(EZ66+FJ66)-FA66)),0)</f>
        <v>0</v>
      </c>
      <c r="FM66" s="84" t="n">
        <f aca="false">FD66-FG66-FJ66-FL66</f>
        <v>0</v>
      </c>
      <c r="FN66" s="84" t="n">
        <f aca="false">FG66+FJ66+(1-$F66)*FM66</f>
        <v>4095.28462307786</v>
      </c>
      <c r="FO66" s="84" t="n">
        <f aca="false">FL66+$F66*FM66</f>
        <v>0</v>
      </c>
      <c r="FP66" s="84" t="n">
        <f aca="false">EZ66+FJ66+(1-$F66)*FM66</f>
        <v>0</v>
      </c>
      <c r="FQ66" s="84" t="n">
        <f aca="false">FA66+FO66</f>
        <v>0</v>
      </c>
      <c r="FR66" s="133" t="n">
        <f aca="false">FE66+$D66*Inputs!$K$13-$D66*$E66</f>
        <v>16111.1384923114</v>
      </c>
      <c r="FS66" s="84" t="n">
        <f aca="false">FR66*(1+$I66)</f>
        <v>18366.697881235</v>
      </c>
      <c r="FT66" s="133" t="n">
        <f aca="false">FS66*Inputs!$K$14</f>
        <v>3673.33957624701</v>
      </c>
      <c r="FU66" s="84" t="n">
        <f aca="false">FS66-FT66</f>
        <v>14693.358304988</v>
      </c>
      <c r="FV66" s="133" t="n">
        <f aca="false">FH66+$D66*Inputs!$K$13</f>
        <v>660.029482006864</v>
      </c>
      <c r="FW66" s="84" t="n">
        <f aca="false">MIN(FT66,FV66)</f>
        <v>660.029482006864</v>
      </c>
      <c r="FX66" s="84" t="n">
        <f aca="false">FV66-FW66</f>
        <v>0</v>
      </c>
      <c r="FY66" s="84" t="n">
        <f aca="false">FK66+$G66*(FV66+FK66)</f>
        <v>0</v>
      </c>
      <c r="FZ66" s="84" t="n">
        <f aca="false">MIN(FT66-FW66,FY66)</f>
        <v>0</v>
      </c>
      <c r="GA66" s="84" t="n">
        <f aca="false">FY66-FZ66</f>
        <v>0</v>
      </c>
      <c r="GB66" s="84" t="n">
        <f aca="false">IF($H66=1,MIN(FT66-FW66-FZ66,MAX(0,$F66/(1-$F66)*(FP66+FZ66)-FQ66)),0)</f>
        <v>0</v>
      </c>
      <c r="GC66" s="84" t="n">
        <f aca="false">FT66-FW66-FZ66-GB66</f>
        <v>3013.31009424014</v>
      </c>
      <c r="GD66" s="84" t="n">
        <f aca="false">FW66+FZ66+(1-$F66)*GC66</f>
        <v>3070.67755739898</v>
      </c>
      <c r="GE66" s="84" t="n">
        <f aca="false">GB66+$F66*GC66</f>
        <v>602.662018848029</v>
      </c>
      <c r="GF66" s="84" t="n">
        <f aca="false">FP66+FZ66+(1-$F66)*GC66</f>
        <v>2410.64807539212</v>
      </c>
      <c r="GG66" s="84" t="n">
        <f aca="false">FQ66+GE66</f>
        <v>602.662018848029</v>
      </c>
      <c r="GH66" s="133" t="n">
        <f aca="false">FU66+$D66*Inputs!$L$13-$D66*$E66</f>
        <v>14423.358304988</v>
      </c>
      <c r="GI66" s="84" t="n">
        <f aca="false">GH66*(1+$I66)</f>
        <v>16442.6284676864</v>
      </c>
      <c r="GJ66" s="133" t="n">
        <f aca="false">GI66*Inputs!$L$14</f>
        <v>16442.6284676864</v>
      </c>
      <c r="GK66" s="84" t="n">
        <f aca="false">GI66-GJ66</f>
        <v>0</v>
      </c>
      <c r="GL66" s="133" t="n">
        <f aca="false">FX66+$D66*Inputs!$L$13</f>
        <v>0</v>
      </c>
      <c r="GM66" s="84" t="n">
        <f aca="false">MIN(GJ66,GL66)</f>
        <v>0</v>
      </c>
      <c r="GN66" s="84" t="n">
        <f aca="false">GL66-GM66</f>
        <v>0</v>
      </c>
      <c r="GO66" s="84" t="n">
        <f aca="false">GA66+$G66*(GL66+GA66)</f>
        <v>0</v>
      </c>
      <c r="GP66" s="84" t="n">
        <f aca="false">MIN(GJ66-GM66,GO66)</f>
        <v>0</v>
      </c>
      <c r="GQ66" s="84" t="n">
        <f aca="false">GO66-GP66</f>
        <v>0</v>
      </c>
      <c r="GR66" s="84" t="n">
        <f aca="false">IF($H66=1,MIN(GJ66-GM66-GP66,MAX(0,$F66/(1-$F66)*(GF66+GP66)-GG66)),0)</f>
        <v>0</v>
      </c>
      <c r="GS66" s="84" t="n">
        <f aca="false">GJ66-GM66-GP66-GR66</f>
        <v>16442.6284676864</v>
      </c>
      <c r="GT66" s="84" t="n">
        <f aca="false">GM66+GP66+(1-$F66)*GS66</f>
        <v>13154.1027741491</v>
      </c>
      <c r="GU66" s="84" t="n">
        <f aca="false">GR66+$F66*GS66</f>
        <v>3288.52569353727</v>
      </c>
      <c r="GV66" s="84" t="n">
        <f aca="false">GF66+GP66+(1-$F66)*GS66</f>
        <v>15564.7508495412</v>
      </c>
      <c r="GW66" s="84" t="n">
        <f aca="false">GG66+GU66</f>
        <v>3891.1877123853</v>
      </c>
    </row>
    <row r="67" customFormat="false" ht="15" hidden="false" customHeight="false" outlineLevel="0" collapsed="false">
      <c r="A67" s="5" t="s">
        <v>637</v>
      </c>
      <c r="B67" s="5" t="s">
        <v>638</v>
      </c>
      <c r="C67" s="135" t="n">
        <v>15</v>
      </c>
      <c r="D67" s="47" t="n">
        <f aca="false">Inputs!$C$6</f>
        <v>20000</v>
      </c>
      <c r="E67" s="35" t="n">
        <f aca="false">Inputs!$C$19</f>
        <v>0.0135</v>
      </c>
      <c r="F67" s="36" t="n">
        <f aca="false">Inputs!$C$20</f>
        <v>0.2</v>
      </c>
      <c r="G67" s="30" t="n">
        <v>0</v>
      </c>
      <c r="H67" s="27" t="n">
        <v>0</v>
      </c>
      <c r="I67" s="132" t="n">
        <f aca="false">Inputs!$C$38+$C67*Inputs!$C$39</f>
        <v>0.15</v>
      </c>
      <c r="J67" s="36" t="n">
        <f aca="false">Inputs!$C$9</f>
        <v>0.15</v>
      </c>
      <c r="K67" s="89" t="n">
        <f aca="false">IRR(W67:AG67,0.1)</f>
        <v>0.11263957351201</v>
      </c>
      <c r="L67" s="45" t="n">
        <f aca="false">W67+NPV($J67,X67:AG67)</f>
        <v>-2668.31325643015</v>
      </c>
      <c r="M67" s="45" t="n">
        <f aca="false">SUM(BF67,BV67,CL67,DB67,DR67,EH67,EX67,FN67,GD67,GT67)</f>
        <v>37451.8090177347</v>
      </c>
      <c r="N67" s="43" t="n">
        <f aca="false">IF($D67*SUM(Inputs!$C$13:$L$13)=0,0,M67/($D67*SUM(Inputs!$C$13:$L$13)))</f>
        <v>1.87259045088673</v>
      </c>
      <c r="O67" s="42" t="n">
        <f aca="false">$D67*$E67*COLUMNS(Inputs!$C$13:$L$13)</f>
        <v>2700</v>
      </c>
      <c r="P67" s="45" t="n">
        <f aca="false">SUM(BG67,BW67,CM67,DC67,DS67,EI67,EY67,FO67,GE67,GU67)</f>
        <v>4362.95225443366</v>
      </c>
      <c r="Q67" s="42" t="n">
        <f aca="false">PV($J67,COLUMNS(Inputs!$C$13:$L$13),-$D67*$E67,0,1)</f>
        <v>1558.32765832774</v>
      </c>
      <c r="R67" s="45" t="n">
        <f aca="false">NPV($J67,BG67,BW67,CM67,DC67,DS67,EI67,EY67,FO67,GE67,GU67)</f>
        <v>1109.98559810242</v>
      </c>
      <c r="S67" s="45" t="n">
        <f aca="false">Q67+R67</f>
        <v>2668.31325643016</v>
      </c>
      <c r="T67" s="32" t="n">
        <f aca="false">IF(S67=0,0,Q67/S67)</f>
        <v>0.584012261143795</v>
      </c>
      <c r="U67" s="45" t="n">
        <f aca="false">ROUND(ABS(GK67)+ABS(SUM(AV67,BL67,CB67,CR67,DH67,DX67,EN67,FD67,FT67,GJ67)-M67-P67)+ABS(S67-(AH67+NPV($J67,AI67:AR67))),6)</f>
        <v>0</v>
      </c>
      <c r="W67" s="133" t="n">
        <f aca="false">-$D67*Inputs!$C$13</f>
        <v>-4000</v>
      </c>
      <c r="X67" s="133" t="n">
        <f aca="false">BF67-$D67*Inputs!$D$13</f>
        <v>-4000</v>
      </c>
      <c r="Y67" s="133" t="n">
        <f aca="false">BV67-$D67*Inputs!$E$13</f>
        <v>-4000</v>
      </c>
      <c r="Z67" s="133" t="n">
        <f aca="false">CL67-$D67*Inputs!$F$13</f>
        <v>-4000</v>
      </c>
      <c r="AA67" s="133" t="n">
        <f aca="false">DB67-$D67*Inputs!$G$13</f>
        <v>-4000</v>
      </c>
      <c r="AB67" s="133" t="n">
        <f aca="false">DR67-$D67*Inputs!$H$13</f>
        <v>5784.288874375</v>
      </c>
      <c r="AC67" s="133" t="n">
        <f aca="false">EH67-$D67*Inputs!$I$13</f>
        <v>5259.445764425</v>
      </c>
      <c r="AD67" s="133" t="n">
        <f aca="false">EX67-$D67*Inputs!$J$13</f>
        <v>4776.590103271</v>
      </c>
      <c r="AE67" s="133" t="n">
        <f aca="false">FN67-$D67*Inputs!$K$13</f>
        <v>4301.82536759326</v>
      </c>
      <c r="AF67" s="133" t="n">
        <f aca="false">GD67-$D67*Inputs!$L$13</f>
        <v>3138.93909072686</v>
      </c>
      <c r="AG67" s="84" t="n">
        <f aca="false">GT67</f>
        <v>14190.7198173435</v>
      </c>
      <c r="AH67" s="84" t="n">
        <f aca="false">$D67*$E67</f>
        <v>270</v>
      </c>
      <c r="AI67" s="84" t="n">
        <f aca="false">BG67+$D67*$E67</f>
        <v>270</v>
      </c>
      <c r="AJ67" s="84" t="n">
        <f aca="false">BW67+$D67*$E67</f>
        <v>270</v>
      </c>
      <c r="AK67" s="84" t="n">
        <f aca="false">CM67+$D67*$E67</f>
        <v>270</v>
      </c>
      <c r="AL67" s="84" t="n">
        <f aca="false">DC67+$D67*$E67</f>
        <v>270</v>
      </c>
      <c r="AM67" s="84" t="n">
        <f aca="false">DS67+$D67*$E67</f>
        <v>270</v>
      </c>
      <c r="AN67" s="84" t="n">
        <f aca="false">EI67+$D67*$E67</f>
        <v>270</v>
      </c>
      <c r="AO67" s="84" t="n">
        <f aca="false">EY67+$D67*$E67</f>
        <v>270</v>
      </c>
      <c r="AP67" s="84" t="n">
        <f aca="false">FO67+$D67*$E67</f>
        <v>300.537527416063</v>
      </c>
      <c r="AQ67" s="84" t="n">
        <f aca="false">GE67+$D67*$E67</f>
        <v>1054.73477268171</v>
      </c>
      <c r="AR67" s="84" t="n">
        <f aca="false">GU67</f>
        <v>3547.67995433589</v>
      </c>
      <c r="AT67" s="133" t="n">
        <f aca="false">$D67*Inputs!$C$13-$D67*$E67</f>
        <v>3730</v>
      </c>
      <c r="AU67" s="84" t="n">
        <f aca="false">AT67*(1+$I67)</f>
        <v>4289.5</v>
      </c>
      <c r="AV67" s="133" t="n">
        <f aca="false">AU67*Inputs!$C$14</f>
        <v>0</v>
      </c>
      <c r="AW67" s="84" t="n">
        <f aca="false">AU67-AV67</f>
        <v>4289.5</v>
      </c>
      <c r="AX67" s="133" t="n">
        <f aca="false">$D67*Inputs!$C$13</f>
        <v>4000</v>
      </c>
      <c r="AY67" s="84" t="n">
        <f aca="false">MIN(AV67,AX67)</f>
        <v>0</v>
      </c>
      <c r="AZ67" s="84" t="n">
        <f aca="false">AX67-AY67</f>
        <v>4000</v>
      </c>
      <c r="BA67" s="84" t="n">
        <f aca="false">$G67*AX67</f>
        <v>0</v>
      </c>
      <c r="BB67" s="84" t="n">
        <f aca="false">MIN(AV67-AY67,BA67)</f>
        <v>0</v>
      </c>
      <c r="BC67" s="84" t="n">
        <f aca="false">BA67-BB67</f>
        <v>0</v>
      </c>
      <c r="BD67" s="84" t="n">
        <f aca="false">IF($H67=1,MIN(AV67-AY67-BB67,MAX(0,$F67/(1-$F67)*BB67)),0)</f>
        <v>0</v>
      </c>
      <c r="BE67" s="84" t="n">
        <f aca="false">AV67-AY67-BB67-BD67</f>
        <v>0</v>
      </c>
      <c r="BF67" s="84" t="n">
        <f aca="false">AY67+BB67+(1-$F67)*BE67</f>
        <v>0</v>
      </c>
      <c r="BG67" s="84" t="n">
        <f aca="false">BD67+$F67*BE67</f>
        <v>0</v>
      </c>
      <c r="BH67" s="84" t="n">
        <f aca="false">BB67+(1-$F67)*BE67</f>
        <v>0</v>
      </c>
      <c r="BI67" s="84" t="n">
        <f aca="false">BG67</f>
        <v>0</v>
      </c>
      <c r="BJ67" s="133" t="n">
        <f aca="false">AW67+$D67*Inputs!$D$13-$D67*$E67</f>
        <v>8019.5</v>
      </c>
      <c r="BK67" s="84" t="n">
        <f aca="false">BJ67*(1+$I67)</f>
        <v>9222.425</v>
      </c>
      <c r="BL67" s="133" t="n">
        <f aca="false">BK67*Inputs!$D$14</f>
        <v>0</v>
      </c>
      <c r="BM67" s="84" t="n">
        <f aca="false">BK67-BL67</f>
        <v>9222.425</v>
      </c>
      <c r="BN67" s="133" t="n">
        <f aca="false">AZ67+$D67*Inputs!$D$13</f>
        <v>8000</v>
      </c>
      <c r="BO67" s="84" t="n">
        <f aca="false">MIN(BL67,BN67)</f>
        <v>0</v>
      </c>
      <c r="BP67" s="84" t="n">
        <f aca="false">BN67-BO67</f>
        <v>8000</v>
      </c>
      <c r="BQ67" s="84" t="n">
        <f aca="false">BC67+$G67*(BN67+BC67)</f>
        <v>0</v>
      </c>
      <c r="BR67" s="84" t="n">
        <f aca="false">MIN(BL67-BO67,BQ67)</f>
        <v>0</v>
      </c>
      <c r="BS67" s="84" t="n">
        <f aca="false">BQ67-BR67</f>
        <v>0</v>
      </c>
      <c r="BT67" s="84" t="n">
        <f aca="false">IF($H67=1,MIN(BL67-BO67-BR67,MAX(0,$F67/(1-$F67)*(BH67+BR67)-BI67)),0)</f>
        <v>0</v>
      </c>
      <c r="BU67" s="84" t="n">
        <f aca="false">BL67-BO67-BR67-BT67</f>
        <v>0</v>
      </c>
      <c r="BV67" s="84" t="n">
        <f aca="false">BO67+BR67+(1-$F67)*BU67</f>
        <v>0</v>
      </c>
      <c r="BW67" s="84" t="n">
        <f aca="false">BT67+$F67*BU67</f>
        <v>0</v>
      </c>
      <c r="BX67" s="84" t="n">
        <f aca="false">BH67+BR67+(1-$F67)*BU67</f>
        <v>0</v>
      </c>
      <c r="BY67" s="84" t="n">
        <f aca="false">BI67+BW67</f>
        <v>0</v>
      </c>
      <c r="BZ67" s="133" t="n">
        <f aca="false">BM67+$D67*Inputs!$E$13-$D67*$E67</f>
        <v>12952.425</v>
      </c>
      <c r="CA67" s="84" t="n">
        <f aca="false">BZ67*(1+$I67)</f>
        <v>14895.28875</v>
      </c>
      <c r="CB67" s="133" t="n">
        <f aca="false">CA67*Inputs!$E$14</f>
        <v>0</v>
      </c>
      <c r="CC67" s="84" t="n">
        <f aca="false">CA67-CB67</f>
        <v>14895.28875</v>
      </c>
      <c r="CD67" s="133" t="n">
        <f aca="false">BP67+$D67*Inputs!$E$13</f>
        <v>12000</v>
      </c>
      <c r="CE67" s="84" t="n">
        <f aca="false">MIN(CB67,CD67)</f>
        <v>0</v>
      </c>
      <c r="CF67" s="84" t="n">
        <f aca="false">CD67-CE67</f>
        <v>12000</v>
      </c>
      <c r="CG67" s="84" t="n">
        <f aca="false">BS67+$G67*(CD67+BS67)</f>
        <v>0</v>
      </c>
      <c r="CH67" s="84" t="n">
        <f aca="false">MIN(CB67-CE67,CG67)</f>
        <v>0</v>
      </c>
      <c r="CI67" s="84" t="n">
        <f aca="false">CG67-CH67</f>
        <v>0</v>
      </c>
      <c r="CJ67" s="84" t="n">
        <f aca="false">IF($H67=1,MIN(CB67-CE67-CH67,MAX(0,$F67/(1-$F67)*(BX67+CH67)-BY67)),0)</f>
        <v>0</v>
      </c>
      <c r="CK67" s="84" t="n">
        <f aca="false">CB67-CE67-CH67-CJ67</f>
        <v>0</v>
      </c>
      <c r="CL67" s="84" t="n">
        <f aca="false">CE67+CH67+(1-$F67)*CK67</f>
        <v>0</v>
      </c>
      <c r="CM67" s="84" t="n">
        <f aca="false">CJ67+$F67*CK67</f>
        <v>0</v>
      </c>
      <c r="CN67" s="84" t="n">
        <f aca="false">BX67+CH67+(1-$F67)*CK67</f>
        <v>0</v>
      </c>
      <c r="CO67" s="84" t="n">
        <f aca="false">BY67+CM67</f>
        <v>0</v>
      </c>
      <c r="CP67" s="133" t="n">
        <f aca="false">CC67+$D67*Inputs!$F$13-$D67*$E67</f>
        <v>18625.28875</v>
      </c>
      <c r="CQ67" s="84" t="n">
        <f aca="false">CP67*(1+$I67)</f>
        <v>21419.0820625</v>
      </c>
      <c r="CR67" s="133" t="n">
        <f aca="false">CQ67*Inputs!$F$14</f>
        <v>0</v>
      </c>
      <c r="CS67" s="84" t="n">
        <f aca="false">CQ67-CR67</f>
        <v>21419.0820625</v>
      </c>
      <c r="CT67" s="133" t="n">
        <f aca="false">CF67+$D67*Inputs!$F$13</f>
        <v>16000</v>
      </c>
      <c r="CU67" s="84" t="n">
        <f aca="false">MIN(CR67,CT67)</f>
        <v>0</v>
      </c>
      <c r="CV67" s="84" t="n">
        <f aca="false">CT67-CU67</f>
        <v>16000</v>
      </c>
      <c r="CW67" s="84" t="n">
        <f aca="false">CI67+$G67*(CT67+CI67)</f>
        <v>0</v>
      </c>
      <c r="CX67" s="84" t="n">
        <f aca="false">MIN(CR67-CU67,CW67)</f>
        <v>0</v>
      </c>
      <c r="CY67" s="84" t="n">
        <f aca="false">CW67-CX67</f>
        <v>0</v>
      </c>
      <c r="CZ67" s="84" t="n">
        <f aca="false">IF($H67=1,MIN(CR67-CU67-CX67,MAX(0,$F67/(1-$F67)*(CN67+CX67)-CO67)),0)</f>
        <v>0</v>
      </c>
      <c r="DA67" s="84" t="n">
        <f aca="false">CR67-CU67-CX67-CZ67</f>
        <v>0</v>
      </c>
      <c r="DB67" s="84" t="n">
        <f aca="false">CU67+CX67+(1-$F67)*DA67</f>
        <v>0</v>
      </c>
      <c r="DC67" s="84" t="n">
        <f aca="false">CZ67+$F67*DA67</f>
        <v>0</v>
      </c>
      <c r="DD67" s="84" t="n">
        <f aca="false">CN67+CX67+(1-$F67)*DA67</f>
        <v>0</v>
      </c>
      <c r="DE67" s="84" t="n">
        <f aca="false">CO67+DC67</f>
        <v>0</v>
      </c>
      <c r="DF67" s="133" t="n">
        <f aca="false">CS67+$D67*Inputs!$G$13-$D67*$E67</f>
        <v>25149.0820625</v>
      </c>
      <c r="DG67" s="84" t="n">
        <f aca="false">DF67*(1+$I67)</f>
        <v>28921.444371875</v>
      </c>
      <c r="DH67" s="133" t="n">
        <f aca="false">DG67*Inputs!$G$14</f>
        <v>5784.288874375</v>
      </c>
      <c r="DI67" s="84" t="n">
        <f aca="false">DG67-DH67</f>
        <v>23137.1554975</v>
      </c>
      <c r="DJ67" s="133" t="n">
        <f aca="false">CV67+$D67*Inputs!$G$13</f>
        <v>20000</v>
      </c>
      <c r="DK67" s="84" t="n">
        <f aca="false">MIN(DH67,DJ67)</f>
        <v>5784.288874375</v>
      </c>
      <c r="DL67" s="84" t="n">
        <f aca="false">DJ67-DK67</f>
        <v>14215.711125625</v>
      </c>
      <c r="DM67" s="84" t="n">
        <f aca="false">CY67+$G67*(DJ67+CY67)</f>
        <v>0</v>
      </c>
      <c r="DN67" s="84" t="n">
        <f aca="false">MIN(DH67-DK67,DM67)</f>
        <v>0</v>
      </c>
      <c r="DO67" s="84" t="n">
        <f aca="false">DM67-DN67</f>
        <v>0</v>
      </c>
      <c r="DP67" s="84" t="n">
        <f aca="false">IF($H67=1,MIN(DH67-DK67-DN67,MAX(0,$F67/(1-$F67)*(DD67+DN67)-DE67)),0)</f>
        <v>0</v>
      </c>
      <c r="DQ67" s="84" t="n">
        <f aca="false">DH67-DK67-DN67-DP67</f>
        <v>0</v>
      </c>
      <c r="DR67" s="84" t="n">
        <f aca="false">DK67+DN67+(1-$F67)*DQ67</f>
        <v>5784.288874375</v>
      </c>
      <c r="DS67" s="84" t="n">
        <f aca="false">DP67+$F67*DQ67</f>
        <v>0</v>
      </c>
      <c r="DT67" s="84" t="n">
        <f aca="false">DD67+DN67+(1-$F67)*DQ67</f>
        <v>0</v>
      </c>
      <c r="DU67" s="84" t="n">
        <f aca="false">DE67+DS67</f>
        <v>0</v>
      </c>
      <c r="DV67" s="133" t="n">
        <f aca="false">DI67+$D67*Inputs!$H$13-$D67*$E67</f>
        <v>22867.1554975</v>
      </c>
      <c r="DW67" s="84" t="n">
        <f aca="false">DV67*(1+$I67)</f>
        <v>26297.228822125</v>
      </c>
      <c r="DX67" s="133" t="n">
        <f aca="false">DW67*Inputs!$H$14</f>
        <v>5259.445764425</v>
      </c>
      <c r="DY67" s="84" t="n">
        <f aca="false">DW67-DX67</f>
        <v>21037.7830577</v>
      </c>
      <c r="DZ67" s="133" t="n">
        <f aca="false">DL67+$D67*Inputs!$H$13</f>
        <v>14215.711125625</v>
      </c>
      <c r="EA67" s="84" t="n">
        <f aca="false">MIN(DX67,DZ67)</f>
        <v>5259.445764425</v>
      </c>
      <c r="EB67" s="84" t="n">
        <f aca="false">DZ67-EA67</f>
        <v>8956.2653612</v>
      </c>
      <c r="EC67" s="84" t="n">
        <f aca="false">DO67+$G67*(DZ67+DO67)</f>
        <v>0</v>
      </c>
      <c r="ED67" s="84" t="n">
        <f aca="false">MIN(DX67-EA67,EC67)</f>
        <v>0</v>
      </c>
      <c r="EE67" s="84" t="n">
        <f aca="false">EC67-ED67</f>
        <v>0</v>
      </c>
      <c r="EF67" s="84" t="n">
        <f aca="false">IF($H67=1,MIN(DX67-EA67-ED67,MAX(0,$F67/(1-$F67)*(DT67+ED67)-DU67)),0)</f>
        <v>0</v>
      </c>
      <c r="EG67" s="84" t="n">
        <f aca="false">DX67-EA67-ED67-EF67</f>
        <v>0</v>
      </c>
      <c r="EH67" s="84" t="n">
        <f aca="false">EA67+ED67+(1-$F67)*EG67</f>
        <v>5259.445764425</v>
      </c>
      <c r="EI67" s="84" t="n">
        <f aca="false">EF67+$F67*EG67</f>
        <v>0</v>
      </c>
      <c r="EJ67" s="84" t="n">
        <f aca="false">DT67+ED67+(1-$F67)*EG67</f>
        <v>0</v>
      </c>
      <c r="EK67" s="84" t="n">
        <f aca="false">DU67+EI67</f>
        <v>0</v>
      </c>
      <c r="EL67" s="133" t="n">
        <f aca="false">DY67+$D67*Inputs!$I$13-$D67*$E67</f>
        <v>20767.7830577</v>
      </c>
      <c r="EM67" s="84" t="n">
        <f aca="false">EL67*(1+$I67)</f>
        <v>23882.950516355</v>
      </c>
      <c r="EN67" s="133" t="n">
        <f aca="false">EM67*Inputs!$I$14</f>
        <v>4776.590103271</v>
      </c>
      <c r="EO67" s="84" t="n">
        <f aca="false">EM67-EN67</f>
        <v>19106.360413084</v>
      </c>
      <c r="EP67" s="133" t="n">
        <f aca="false">EB67+$D67*Inputs!$I$13</f>
        <v>8956.2653612</v>
      </c>
      <c r="EQ67" s="84" t="n">
        <f aca="false">MIN(EN67,EP67)</f>
        <v>4776.590103271</v>
      </c>
      <c r="ER67" s="84" t="n">
        <f aca="false">EP67-EQ67</f>
        <v>4179.675257929</v>
      </c>
      <c r="ES67" s="84" t="n">
        <f aca="false">EE67+$G67*(EP67+EE67)</f>
        <v>0</v>
      </c>
      <c r="ET67" s="84" t="n">
        <f aca="false">MIN(EN67-EQ67,ES67)</f>
        <v>0</v>
      </c>
      <c r="EU67" s="84" t="n">
        <f aca="false">ES67-ET67</f>
        <v>0</v>
      </c>
      <c r="EV67" s="84" t="n">
        <f aca="false">IF($H67=1,MIN(EN67-EQ67-ET67,MAX(0,$F67/(1-$F67)*(EJ67+ET67)-EK67)),0)</f>
        <v>0</v>
      </c>
      <c r="EW67" s="84" t="n">
        <f aca="false">EN67-EQ67-ET67-EV67</f>
        <v>0</v>
      </c>
      <c r="EX67" s="84" t="n">
        <f aca="false">EQ67+ET67+(1-$F67)*EW67</f>
        <v>4776.590103271</v>
      </c>
      <c r="EY67" s="84" t="n">
        <f aca="false">EV67+$F67*EW67</f>
        <v>0</v>
      </c>
      <c r="EZ67" s="84" t="n">
        <f aca="false">EJ67+ET67+(1-$F67)*EW67</f>
        <v>0</v>
      </c>
      <c r="FA67" s="84" t="n">
        <f aca="false">EK67+EY67</f>
        <v>0</v>
      </c>
      <c r="FB67" s="133" t="n">
        <f aca="false">EO67+$D67*Inputs!$J$13-$D67*$E67</f>
        <v>18836.360413084</v>
      </c>
      <c r="FC67" s="84" t="n">
        <f aca="false">FB67*(1+$I67)</f>
        <v>21661.8144750466</v>
      </c>
      <c r="FD67" s="133" t="n">
        <f aca="false">FC67*Inputs!$J$14</f>
        <v>4332.36289500932</v>
      </c>
      <c r="FE67" s="84" t="n">
        <f aca="false">FC67-FD67</f>
        <v>17329.4515800373</v>
      </c>
      <c r="FF67" s="133" t="n">
        <f aca="false">ER67+$D67*Inputs!$J$13</f>
        <v>4179.675257929</v>
      </c>
      <c r="FG67" s="84" t="n">
        <f aca="false">MIN(FD67,FF67)</f>
        <v>4179.675257929</v>
      </c>
      <c r="FH67" s="84" t="n">
        <f aca="false">FF67-FG67</f>
        <v>0</v>
      </c>
      <c r="FI67" s="84" t="n">
        <f aca="false">EU67+$G67*(FF67+EU67)</f>
        <v>0</v>
      </c>
      <c r="FJ67" s="84" t="n">
        <f aca="false">MIN(FD67-FG67,FI67)</f>
        <v>0</v>
      </c>
      <c r="FK67" s="84" t="n">
        <f aca="false">FI67-FJ67</f>
        <v>0</v>
      </c>
      <c r="FL67" s="84" t="n">
        <f aca="false">IF($H67=1,MIN(FD67-FG67-FJ67,MAX(0,$F67/(1-$F67)*(EZ67+FJ67)-FA67)),0)</f>
        <v>0</v>
      </c>
      <c r="FM67" s="84" t="n">
        <f aca="false">FD67-FG67-FJ67-FL67</f>
        <v>152.687637080315</v>
      </c>
      <c r="FN67" s="84" t="n">
        <f aca="false">FG67+FJ67+(1-$F67)*FM67</f>
        <v>4301.82536759326</v>
      </c>
      <c r="FO67" s="84" t="n">
        <f aca="false">FL67+$F67*FM67</f>
        <v>30.537527416063</v>
      </c>
      <c r="FP67" s="84" t="n">
        <f aca="false">EZ67+FJ67+(1-$F67)*FM67</f>
        <v>122.150109664252</v>
      </c>
      <c r="FQ67" s="84" t="n">
        <f aca="false">FA67+FO67</f>
        <v>30.537527416063</v>
      </c>
      <c r="FR67" s="133" t="n">
        <f aca="false">FE67+$D67*Inputs!$K$13-$D67*$E67</f>
        <v>17059.4515800373</v>
      </c>
      <c r="FS67" s="84" t="n">
        <f aca="false">FR67*(1+$I67)</f>
        <v>19618.3693170429</v>
      </c>
      <c r="FT67" s="133" t="n">
        <f aca="false">FS67*Inputs!$K$14</f>
        <v>3923.67386340857</v>
      </c>
      <c r="FU67" s="84" t="n">
        <f aca="false">FS67-FT67</f>
        <v>15694.6954536343</v>
      </c>
      <c r="FV67" s="133" t="n">
        <f aca="false">FH67+$D67*Inputs!$K$13</f>
        <v>0</v>
      </c>
      <c r="FW67" s="84" t="n">
        <f aca="false">MIN(FT67,FV67)</f>
        <v>0</v>
      </c>
      <c r="FX67" s="84" t="n">
        <f aca="false">FV67-FW67</f>
        <v>0</v>
      </c>
      <c r="FY67" s="84" t="n">
        <f aca="false">FK67+$G67*(FV67+FK67)</f>
        <v>0</v>
      </c>
      <c r="FZ67" s="84" t="n">
        <f aca="false">MIN(FT67-FW67,FY67)</f>
        <v>0</v>
      </c>
      <c r="GA67" s="84" t="n">
        <f aca="false">FY67-FZ67</f>
        <v>0</v>
      </c>
      <c r="GB67" s="84" t="n">
        <f aca="false">IF($H67=1,MIN(FT67-FW67-FZ67,MAX(0,$F67/(1-$F67)*(FP67+FZ67)-FQ67)),0)</f>
        <v>0</v>
      </c>
      <c r="GC67" s="84" t="n">
        <f aca="false">FT67-FW67-FZ67-GB67</f>
        <v>3923.67386340857</v>
      </c>
      <c r="GD67" s="84" t="n">
        <f aca="false">FW67+FZ67+(1-$F67)*GC67</f>
        <v>3138.93909072686</v>
      </c>
      <c r="GE67" s="84" t="n">
        <f aca="false">GB67+$F67*GC67</f>
        <v>784.734772681715</v>
      </c>
      <c r="GF67" s="84" t="n">
        <f aca="false">FP67+FZ67+(1-$F67)*GC67</f>
        <v>3261.08920039111</v>
      </c>
      <c r="GG67" s="84" t="n">
        <f aca="false">FQ67+GE67</f>
        <v>815.272300097778</v>
      </c>
      <c r="GH67" s="133" t="n">
        <f aca="false">FU67+$D67*Inputs!$L$13-$D67*$E67</f>
        <v>15424.6954536343</v>
      </c>
      <c r="GI67" s="84" t="n">
        <f aca="false">GH67*(1+$I67)</f>
        <v>17738.3997716794</v>
      </c>
      <c r="GJ67" s="133" t="n">
        <f aca="false">GI67*Inputs!$L$14</f>
        <v>17738.3997716794</v>
      </c>
      <c r="GK67" s="84" t="n">
        <f aca="false">GI67-GJ67</f>
        <v>0</v>
      </c>
      <c r="GL67" s="133" t="n">
        <f aca="false">FX67+$D67*Inputs!$L$13</f>
        <v>0</v>
      </c>
      <c r="GM67" s="84" t="n">
        <f aca="false">MIN(GJ67,GL67)</f>
        <v>0</v>
      </c>
      <c r="GN67" s="84" t="n">
        <f aca="false">GL67-GM67</f>
        <v>0</v>
      </c>
      <c r="GO67" s="84" t="n">
        <f aca="false">GA67+$G67*(GL67+GA67)</f>
        <v>0</v>
      </c>
      <c r="GP67" s="84" t="n">
        <f aca="false">MIN(GJ67-GM67,GO67)</f>
        <v>0</v>
      </c>
      <c r="GQ67" s="84" t="n">
        <f aca="false">GO67-GP67</f>
        <v>0</v>
      </c>
      <c r="GR67" s="84" t="n">
        <f aca="false">IF($H67=1,MIN(GJ67-GM67-GP67,MAX(0,$F67/(1-$F67)*(GF67+GP67)-GG67)),0)</f>
        <v>0</v>
      </c>
      <c r="GS67" s="84" t="n">
        <f aca="false">GJ67-GM67-GP67-GR67</f>
        <v>17738.3997716794</v>
      </c>
      <c r="GT67" s="84" t="n">
        <f aca="false">GM67+GP67+(1-$F67)*GS67</f>
        <v>14190.7198173435</v>
      </c>
      <c r="GU67" s="84" t="n">
        <f aca="false">GR67+$F67*GS67</f>
        <v>3547.67995433589</v>
      </c>
      <c r="GV67" s="84" t="n">
        <f aca="false">GF67+GP67+(1-$F67)*GS67</f>
        <v>17451.8090177347</v>
      </c>
      <c r="GW67" s="84" t="n">
        <f aca="false">GG67+GU67</f>
        <v>4362.95225443366</v>
      </c>
    </row>
    <row r="68" customFormat="false" ht="15" hidden="false" customHeight="false" outlineLevel="0" collapsed="false">
      <c r="A68" s="5" t="s">
        <v>637</v>
      </c>
      <c r="B68" s="5" t="s">
        <v>638</v>
      </c>
      <c r="C68" s="135" t="n">
        <v>16</v>
      </c>
      <c r="D68" s="47" t="n">
        <f aca="false">Inputs!$C$6</f>
        <v>20000</v>
      </c>
      <c r="E68" s="35" t="n">
        <f aca="false">Inputs!$C$19</f>
        <v>0.0135</v>
      </c>
      <c r="F68" s="36" t="n">
        <f aca="false">Inputs!$C$20</f>
        <v>0.2</v>
      </c>
      <c r="G68" s="30" t="n">
        <v>0</v>
      </c>
      <c r="H68" s="27" t="n">
        <v>0</v>
      </c>
      <c r="I68" s="132" t="n">
        <f aca="false">Inputs!$C$38+$C68*Inputs!$C$39</f>
        <v>0.16</v>
      </c>
      <c r="J68" s="36" t="n">
        <f aca="false">Inputs!$C$9</f>
        <v>0.15</v>
      </c>
      <c r="K68" s="89" t="n">
        <f aca="false">IRR(W68:AG68,0.1)</f>
        <v>0.121920448362269</v>
      </c>
      <c r="L68" s="45" t="n">
        <f aca="false">W68+NPV($J68,X68:AG68)</f>
        <v>-2052.65955826398</v>
      </c>
      <c r="M68" s="45" t="n">
        <f aca="false">SUM(BF68,BV68,CL68,DB68,DR68,EH68,EX68,FN68,GD68,GT68)</f>
        <v>39447.116431139</v>
      </c>
      <c r="N68" s="43" t="n">
        <f aca="false">IF($D68*SUM(Inputs!$C$13:$L$13)=0,0,M68/($D68*SUM(Inputs!$C$13:$L$13)))</f>
        <v>1.97235582155695</v>
      </c>
      <c r="O68" s="42" t="n">
        <f aca="false">$D68*$E68*COLUMNS(Inputs!$C$13:$L$13)</f>
        <v>2700</v>
      </c>
      <c r="P68" s="45" t="n">
        <f aca="false">SUM(BG68,BW68,CM68,DC68,DS68,EI68,EY68,FO68,GE68,GU68)</f>
        <v>4861.77910778475</v>
      </c>
      <c r="Q68" s="42" t="n">
        <f aca="false">PV($J68,COLUMNS(Inputs!$C$13:$L$13),-$D68*$E68,0,1)</f>
        <v>1558.32765832774</v>
      </c>
      <c r="R68" s="45" t="n">
        <f aca="false">NPV($J68,BG68,BW68,CM68,DC68,DS68,EI68,EY68,FO68,GE68,GU68)</f>
        <v>1248.71459845723</v>
      </c>
      <c r="S68" s="45" t="n">
        <f aca="false">Q68+R68</f>
        <v>2807.04225678497</v>
      </c>
      <c r="T68" s="32" t="n">
        <f aca="false">IF(S68=0,0,Q68/S68)</f>
        <v>0.555149340755761</v>
      </c>
      <c r="U68" s="45" t="n">
        <f aca="false">ROUND(ABS(GK68)+ABS(SUM(AV68,BL68,CB68,CR68,DH68,DX68,EN68,FD68,FT68,GJ68)-M68-P68)+ABS(S68-(AH68+NPV($J68,AI68:AR68))),6)</f>
        <v>0</v>
      </c>
      <c r="W68" s="133" t="n">
        <f aca="false">-$D68*Inputs!$C$13</f>
        <v>-4000</v>
      </c>
      <c r="X68" s="133" t="n">
        <f aca="false">BF68-$D68*Inputs!$D$13</f>
        <v>-4000</v>
      </c>
      <c r="Y68" s="133" t="n">
        <f aca="false">BV68-$D68*Inputs!$E$13</f>
        <v>-4000</v>
      </c>
      <c r="Z68" s="133" t="n">
        <f aca="false">CL68-$D68*Inputs!$F$13</f>
        <v>-4000</v>
      </c>
      <c r="AA68" s="133" t="n">
        <f aca="false">DB68-$D68*Inputs!$G$13</f>
        <v>-4000</v>
      </c>
      <c r="AB68" s="133" t="n">
        <f aca="false">DR68-$D68*Inputs!$H$13</f>
        <v>5951.1978551296</v>
      </c>
      <c r="AC68" s="133" t="n">
        <f aca="false">EH68-$D68*Inputs!$I$13</f>
        <v>5460.07160956027</v>
      </c>
      <c r="AD68" s="133" t="n">
        <f aca="false">EX68-$D68*Inputs!$J$13</f>
        <v>5004.30645367193</v>
      </c>
      <c r="AE68" s="133" t="n">
        <f aca="false">FN68-$D68*Inputs!$K$13</f>
        <v>4381.96992753368</v>
      </c>
      <c r="AF68" s="133" t="n">
        <f aca="false">GD68-$D68*Inputs!$L$13</f>
        <v>3351.0869831992</v>
      </c>
      <c r="AG68" s="84" t="n">
        <f aca="false">GT68</f>
        <v>15298.4836020443</v>
      </c>
      <c r="AH68" s="84" t="n">
        <f aca="false">$D68*$E68</f>
        <v>270</v>
      </c>
      <c r="AI68" s="84" t="n">
        <f aca="false">BG68+$D68*$E68</f>
        <v>270</v>
      </c>
      <c r="AJ68" s="84" t="n">
        <f aca="false">BW68+$D68*$E68</f>
        <v>270</v>
      </c>
      <c r="AK68" s="84" t="n">
        <f aca="false">CM68+$D68*$E68</f>
        <v>270</v>
      </c>
      <c r="AL68" s="84" t="n">
        <f aca="false">DC68+$D68*$E68</f>
        <v>270</v>
      </c>
      <c r="AM68" s="84" t="n">
        <f aca="false">DS68+$D68*$E68</f>
        <v>270</v>
      </c>
      <c r="AN68" s="84" t="n">
        <f aca="false">EI68+$D68*$E68</f>
        <v>270</v>
      </c>
      <c r="AO68" s="84" t="n">
        <f aca="false">EY68+$D68*$E68</f>
        <v>270</v>
      </c>
      <c r="AP68" s="84" t="n">
        <f aca="false">FO68+$D68*$E68</f>
        <v>469.386461473868</v>
      </c>
      <c r="AQ68" s="84" t="n">
        <f aca="false">GE68+$D68*$E68</f>
        <v>1107.7717457998</v>
      </c>
      <c r="AR68" s="84" t="n">
        <f aca="false">GU68</f>
        <v>3824.62090051108</v>
      </c>
      <c r="AT68" s="133" t="n">
        <f aca="false">$D68*Inputs!$C$13-$D68*$E68</f>
        <v>3730</v>
      </c>
      <c r="AU68" s="84" t="n">
        <f aca="false">AT68*(1+$I68)</f>
        <v>4326.8</v>
      </c>
      <c r="AV68" s="133" t="n">
        <f aca="false">AU68*Inputs!$C$14</f>
        <v>0</v>
      </c>
      <c r="AW68" s="84" t="n">
        <f aca="false">AU68-AV68</f>
        <v>4326.8</v>
      </c>
      <c r="AX68" s="133" t="n">
        <f aca="false">$D68*Inputs!$C$13</f>
        <v>4000</v>
      </c>
      <c r="AY68" s="84" t="n">
        <f aca="false">MIN(AV68,AX68)</f>
        <v>0</v>
      </c>
      <c r="AZ68" s="84" t="n">
        <f aca="false">AX68-AY68</f>
        <v>4000</v>
      </c>
      <c r="BA68" s="84" t="n">
        <f aca="false">$G68*AX68</f>
        <v>0</v>
      </c>
      <c r="BB68" s="84" t="n">
        <f aca="false">MIN(AV68-AY68,BA68)</f>
        <v>0</v>
      </c>
      <c r="BC68" s="84" t="n">
        <f aca="false">BA68-BB68</f>
        <v>0</v>
      </c>
      <c r="BD68" s="84" t="n">
        <f aca="false">IF($H68=1,MIN(AV68-AY68-BB68,MAX(0,$F68/(1-$F68)*BB68)),0)</f>
        <v>0</v>
      </c>
      <c r="BE68" s="84" t="n">
        <f aca="false">AV68-AY68-BB68-BD68</f>
        <v>0</v>
      </c>
      <c r="BF68" s="84" t="n">
        <f aca="false">AY68+BB68+(1-$F68)*BE68</f>
        <v>0</v>
      </c>
      <c r="BG68" s="84" t="n">
        <f aca="false">BD68+$F68*BE68</f>
        <v>0</v>
      </c>
      <c r="BH68" s="84" t="n">
        <f aca="false">BB68+(1-$F68)*BE68</f>
        <v>0</v>
      </c>
      <c r="BI68" s="84" t="n">
        <f aca="false">BG68</f>
        <v>0</v>
      </c>
      <c r="BJ68" s="133" t="n">
        <f aca="false">AW68+$D68*Inputs!$D$13-$D68*$E68</f>
        <v>8056.8</v>
      </c>
      <c r="BK68" s="84" t="n">
        <f aca="false">BJ68*(1+$I68)</f>
        <v>9345.888</v>
      </c>
      <c r="BL68" s="133" t="n">
        <f aca="false">BK68*Inputs!$D$14</f>
        <v>0</v>
      </c>
      <c r="BM68" s="84" t="n">
        <f aca="false">BK68-BL68</f>
        <v>9345.888</v>
      </c>
      <c r="BN68" s="133" t="n">
        <f aca="false">AZ68+$D68*Inputs!$D$13</f>
        <v>8000</v>
      </c>
      <c r="BO68" s="84" t="n">
        <f aca="false">MIN(BL68,BN68)</f>
        <v>0</v>
      </c>
      <c r="BP68" s="84" t="n">
        <f aca="false">BN68-BO68</f>
        <v>8000</v>
      </c>
      <c r="BQ68" s="84" t="n">
        <f aca="false">BC68+$G68*(BN68+BC68)</f>
        <v>0</v>
      </c>
      <c r="BR68" s="84" t="n">
        <f aca="false">MIN(BL68-BO68,BQ68)</f>
        <v>0</v>
      </c>
      <c r="BS68" s="84" t="n">
        <f aca="false">BQ68-BR68</f>
        <v>0</v>
      </c>
      <c r="BT68" s="84" t="n">
        <f aca="false">IF($H68=1,MIN(BL68-BO68-BR68,MAX(0,$F68/(1-$F68)*(BH68+BR68)-BI68)),0)</f>
        <v>0</v>
      </c>
      <c r="BU68" s="84" t="n">
        <f aca="false">BL68-BO68-BR68-BT68</f>
        <v>0</v>
      </c>
      <c r="BV68" s="84" t="n">
        <f aca="false">BO68+BR68+(1-$F68)*BU68</f>
        <v>0</v>
      </c>
      <c r="BW68" s="84" t="n">
        <f aca="false">BT68+$F68*BU68</f>
        <v>0</v>
      </c>
      <c r="BX68" s="84" t="n">
        <f aca="false">BH68+BR68+(1-$F68)*BU68</f>
        <v>0</v>
      </c>
      <c r="BY68" s="84" t="n">
        <f aca="false">BI68+BW68</f>
        <v>0</v>
      </c>
      <c r="BZ68" s="133" t="n">
        <f aca="false">BM68+$D68*Inputs!$E$13-$D68*$E68</f>
        <v>13075.888</v>
      </c>
      <c r="CA68" s="84" t="n">
        <f aca="false">BZ68*(1+$I68)</f>
        <v>15168.03008</v>
      </c>
      <c r="CB68" s="133" t="n">
        <f aca="false">CA68*Inputs!$E$14</f>
        <v>0</v>
      </c>
      <c r="CC68" s="84" t="n">
        <f aca="false">CA68-CB68</f>
        <v>15168.03008</v>
      </c>
      <c r="CD68" s="133" t="n">
        <f aca="false">BP68+$D68*Inputs!$E$13</f>
        <v>12000</v>
      </c>
      <c r="CE68" s="84" t="n">
        <f aca="false">MIN(CB68,CD68)</f>
        <v>0</v>
      </c>
      <c r="CF68" s="84" t="n">
        <f aca="false">CD68-CE68</f>
        <v>12000</v>
      </c>
      <c r="CG68" s="84" t="n">
        <f aca="false">BS68+$G68*(CD68+BS68)</f>
        <v>0</v>
      </c>
      <c r="CH68" s="84" t="n">
        <f aca="false">MIN(CB68-CE68,CG68)</f>
        <v>0</v>
      </c>
      <c r="CI68" s="84" t="n">
        <f aca="false">CG68-CH68</f>
        <v>0</v>
      </c>
      <c r="CJ68" s="84" t="n">
        <f aca="false">IF($H68=1,MIN(CB68-CE68-CH68,MAX(0,$F68/(1-$F68)*(BX68+CH68)-BY68)),0)</f>
        <v>0</v>
      </c>
      <c r="CK68" s="84" t="n">
        <f aca="false">CB68-CE68-CH68-CJ68</f>
        <v>0</v>
      </c>
      <c r="CL68" s="84" t="n">
        <f aca="false">CE68+CH68+(1-$F68)*CK68</f>
        <v>0</v>
      </c>
      <c r="CM68" s="84" t="n">
        <f aca="false">CJ68+$F68*CK68</f>
        <v>0</v>
      </c>
      <c r="CN68" s="84" t="n">
        <f aca="false">BX68+CH68+(1-$F68)*CK68</f>
        <v>0</v>
      </c>
      <c r="CO68" s="84" t="n">
        <f aca="false">BY68+CM68</f>
        <v>0</v>
      </c>
      <c r="CP68" s="133" t="n">
        <f aca="false">CC68+$D68*Inputs!$F$13-$D68*$E68</f>
        <v>18898.03008</v>
      </c>
      <c r="CQ68" s="84" t="n">
        <f aca="false">CP68*(1+$I68)</f>
        <v>21921.7148928</v>
      </c>
      <c r="CR68" s="133" t="n">
        <f aca="false">CQ68*Inputs!$F$14</f>
        <v>0</v>
      </c>
      <c r="CS68" s="84" t="n">
        <f aca="false">CQ68-CR68</f>
        <v>21921.7148928</v>
      </c>
      <c r="CT68" s="133" t="n">
        <f aca="false">CF68+$D68*Inputs!$F$13</f>
        <v>16000</v>
      </c>
      <c r="CU68" s="84" t="n">
        <f aca="false">MIN(CR68,CT68)</f>
        <v>0</v>
      </c>
      <c r="CV68" s="84" t="n">
        <f aca="false">CT68-CU68</f>
        <v>16000</v>
      </c>
      <c r="CW68" s="84" t="n">
        <f aca="false">CI68+$G68*(CT68+CI68)</f>
        <v>0</v>
      </c>
      <c r="CX68" s="84" t="n">
        <f aca="false">MIN(CR68-CU68,CW68)</f>
        <v>0</v>
      </c>
      <c r="CY68" s="84" t="n">
        <f aca="false">CW68-CX68</f>
        <v>0</v>
      </c>
      <c r="CZ68" s="84" t="n">
        <f aca="false">IF($H68=1,MIN(CR68-CU68-CX68,MAX(0,$F68/(1-$F68)*(CN68+CX68)-CO68)),0)</f>
        <v>0</v>
      </c>
      <c r="DA68" s="84" t="n">
        <f aca="false">CR68-CU68-CX68-CZ68</f>
        <v>0</v>
      </c>
      <c r="DB68" s="84" t="n">
        <f aca="false">CU68+CX68+(1-$F68)*DA68</f>
        <v>0</v>
      </c>
      <c r="DC68" s="84" t="n">
        <f aca="false">CZ68+$F68*DA68</f>
        <v>0</v>
      </c>
      <c r="DD68" s="84" t="n">
        <f aca="false">CN68+CX68+(1-$F68)*DA68</f>
        <v>0</v>
      </c>
      <c r="DE68" s="84" t="n">
        <f aca="false">CO68+DC68</f>
        <v>0</v>
      </c>
      <c r="DF68" s="133" t="n">
        <f aca="false">CS68+$D68*Inputs!$G$13-$D68*$E68</f>
        <v>25651.7148928</v>
      </c>
      <c r="DG68" s="84" t="n">
        <f aca="false">DF68*(1+$I68)</f>
        <v>29755.989275648</v>
      </c>
      <c r="DH68" s="133" t="n">
        <f aca="false">DG68*Inputs!$G$14</f>
        <v>5951.1978551296</v>
      </c>
      <c r="DI68" s="84" t="n">
        <f aca="false">DG68-DH68</f>
        <v>23804.7914205184</v>
      </c>
      <c r="DJ68" s="133" t="n">
        <f aca="false">CV68+$D68*Inputs!$G$13</f>
        <v>20000</v>
      </c>
      <c r="DK68" s="84" t="n">
        <f aca="false">MIN(DH68,DJ68)</f>
        <v>5951.1978551296</v>
      </c>
      <c r="DL68" s="84" t="n">
        <f aca="false">DJ68-DK68</f>
        <v>14048.8021448704</v>
      </c>
      <c r="DM68" s="84" t="n">
        <f aca="false">CY68+$G68*(DJ68+CY68)</f>
        <v>0</v>
      </c>
      <c r="DN68" s="84" t="n">
        <f aca="false">MIN(DH68-DK68,DM68)</f>
        <v>0</v>
      </c>
      <c r="DO68" s="84" t="n">
        <f aca="false">DM68-DN68</f>
        <v>0</v>
      </c>
      <c r="DP68" s="84" t="n">
        <f aca="false">IF($H68=1,MIN(DH68-DK68-DN68,MAX(0,$F68/(1-$F68)*(DD68+DN68)-DE68)),0)</f>
        <v>0</v>
      </c>
      <c r="DQ68" s="84" t="n">
        <f aca="false">DH68-DK68-DN68-DP68</f>
        <v>0</v>
      </c>
      <c r="DR68" s="84" t="n">
        <f aca="false">DK68+DN68+(1-$F68)*DQ68</f>
        <v>5951.1978551296</v>
      </c>
      <c r="DS68" s="84" t="n">
        <f aca="false">DP68+$F68*DQ68</f>
        <v>0</v>
      </c>
      <c r="DT68" s="84" t="n">
        <f aca="false">DD68+DN68+(1-$F68)*DQ68</f>
        <v>0</v>
      </c>
      <c r="DU68" s="84" t="n">
        <f aca="false">DE68+DS68</f>
        <v>0</v>
      </c>
      <c r="DV68" s="133" t="n">
        <f aca="false">DI68+$D68*Inputs!$H$13-$D68*$E68</f>
        <v>23534.7914205184</v>
      </c>
      <c r="DW68" s="84" t="n">
        <f aca="false">DV68*(1+$I68)</f>
        <v>27300.3580478013</v>
      </c>
      <c r="DX68" s="133" t="n">
        <f aca="false">DW68*Inputs!$H$14</f>
        <v>5460.07160956027</v>
      </c>
      <c r="DY68" s="84" t="n">
        <f aca="false">DW68-DX68</f>
        <v>21840.2864382411</v>
      </c>
      <c r="DZ68" s="133" t="n">
        <f aca="false">DL68+$D68*Inputs!$H$13</f>
        <v>14048.8021448704</v>
      </c>
      <c r="EA68" s="84" t="n">
        <f aca="false">MIN(DX68,DZ68)</f>
        <v>5460.07160956027</v>
      </c>
      <c r="EB68" s="84" t="n">
        <f aca="false">DZ68-EA68</f>
        <v>8588.73053531014</v>
      </c>
      <c r="EC68" s="84" t="n">
        <f aca="false">DO68+$G68*(DZ68+DO68)</f>
        <v>0</v>
      </c>
      <c r="ED68" s="84" t="n">
        <f aca="false">MIN(DX68-EA68,EC68)</f>
        <v>0</v>
      </c>
      <c r="EE68" s="84" t="n">
        <f aca="false">EC68-ED68</f>
        <v>0</v>
      </c>
      <c r="EF68" s="84" t="n">
        <f aca="false">IF($H68=1,MIN(DX68-EA68-ED68,MAX(0,$F68/(1-$F68)*(DT68+ED68)-DU68)),0)</f>
        <v>0</v>
      </c>
      <c r="EG68" s="84" t="n">
        <f aca="false">DX68-EA68-ED68-EF68</f>
        <v>0</v>
      </c>
      <c r="EH68" s="84" t="n">
        <f aca="false">EA68+ED68+(1-$F68)*EG68</f>
        <v>5460.07160956027</v>
      </c>
      <c r="EI68" s="84" t="n">
        <f aca="false">EF68+$F68*EG68</f>
        <v>0</v>
      </c>
      <c r="EJ68" s="84" t="n">
        <f aca="false">DT68+ED68+(1-$F68)*EG68</f>
        <v>0</v>
      </c>
      <c r="EK68" s="84" t="n">
        <f aca="false">DU68+EI68</f>
        <v>0</v>
      </c>
      <c r="EL68" s="133" t="n">
        <f aca="false">DY68+$D68*Inputs!$I$13-$D68*$E68</f>
        <v>21570.2864382411</v>
      </c>
      <c r="EM68" s="84" t="n">
        <f aca="false">EL68*(1+$I68)</f>
        <v>25021.5322683596</v>
      </c>
      <c r="EN68" s="133" t="n">
        <f aca="false">EM68*Inputs!$I$14</f>
        <v>5004.30645367193</v>
      </c>
      <c r="EO68" s="84" t="n">
        <f aca="false">EM68-EN68</f>
        <v>20017.2258146877</v>
      </c>
      <c r="EP68" s="133" t="n">
        <f aca="false">EB68+$D68*Inputs!$I$13</f>
        <v>8588.73053531014</v>
      </c>
      <c r="EQ68" s="84" t="n">
        <f aca="false">MIN(EN68,EP68)</f>
        <v>5004.30645367193</v>
      </c>
      <c r="ER68" s="84" t="n">
        <f aca="false">EP68-EQ68</f>
        <v>3584.42408163821</v>
      </c>
      <c r="ES68" s="84" t="n">
        <f aca="false">EE68+$G68*(EP68+EE68)</f>
        <v>0</v>
      </c>
      <c r="ET68" s="84" t="n">
        <f aca="false">MIN(EN68-EQ68,ES68)</f>
        <v>0</v>
      </c>
      <c r="EU68" s="84" t="n">
        <f aca="false">ES68-ET68</f>
        <v>0</v>
      </c>
      <c r="EV68" s="84" t="n">
        <f aca="false">IF($H68=1,MIN(EN68-EQ68-ET68,MAX(0,$F68/(1-$F68)*(EJ68+ET68)-EK68)),0)</f>
        <v>0</v>
      </c>
      <c r="EW68" s="84" t="n">
        <f aca="false">EN68-EQ68-ET68-EV68</f>
        <v>0</v>
      </c>
      <c r="EX68" s="84" t="n">
        <f aca="false">EQ68+ET68+(1-$F68)*EW68</f>
        <v>5004.30645367193</v>
      </c>
      <c r="EY68" s="84" t="n">
        <f aca="false">EV68+$F68*EW68</f>
        <v>0</v>
      </c>
      <c r="EZ68" s="84" t="n">
        <f aca="false">EJ68+ET68+(1-$F68)*EW68</f>
        <v>0</v>
      </c>
      <c r="FA68" s="84" t="n">
        <f aca="false">EK68+EY68</f>
        <v>0</v>
      </c>
      <c r="FB68" s="133" t="n">
        <f aca="false">EO68+$D68*Inputs!$J$13-$D68*$E68</f>
        <v>19747.2258146877</v>
      </c>
      <c r="FC68" s="84" t="n">
        <f aca="false">FB68*(1+$I68)</f>
        <v>22906.7819450377</v>
      </c>
      <c r="FD68" s="133" t="n">
        <f aca="false">FC68*Inputs!$J$14</f>
        <v>4581.35638900755</v>
      </c>
      <c r="FE68" s="84" t="n">
        <f aca="false">FC68-FD68</f>
        <v>18325.4255560302</v>
      </c>
      <c r="FF68" s="133" t="n">
        <f aca="false">ER68+$D68*Inputs!$J$13</f>
        <v>3584.42408163821</v>
      </c>
      <c r="FG68" s="84" t="n">
        <f aca="false">MIN(FD68,FF68)</f>
        <v>3584.42408163821</v>
      </c>
      <c r="FH68" s="84" t="n">
        <f aca="false">FF68-FG68</f>
        <v>0</v>
      </c>
      <c r="FI68" s="84" t="n">
        <f aca="false">EU68+$G68*(FF68+EU68)</f>
        <v>0</v>
      </c>
      <c r="FJ68" s="84" t="n">
        <f aca="false">MIN(FD68-FG68,FI68)</f>
        <v>0</v>
      </c>
      <c r="FK68" s="84" t="n">
        <f aca="false">FI68-FJ68</f>
        <v>0</v>
      </c>
      <c r="FL68" s="84" t="n">
        <f aca="false">IF($H68=1,MIN(FD68-FG68-FJ68,MAX(0,$F68/(1-$F68)*(EZ68+FJ68)-FA68)),0)</f>
        <v>0</v>
      </c>
      <c r="FM68" s="84" t="n">
        <f aca="false">FD68-FG68-FJ68-FL68</f>
        <v>996.932307369342</v>
      </c>
      <c r="FN68" s="84" t="n">
        <f aca="false">FG68+FJ68+(1-$F68)*FM68</f>
        <v>4381.96992753368</v>
      </c>
      <c r="FO68" s="84" t="n">
        <f aca="false">FL68+$F68*FM68</f>
        <v>199.386461473868</v>
      </c>
      <c r="FP68" s="84" t="n">
        <f aca="false">EZ68+FJ68+(1-$F68)*FM68</f>
        <v>797.545845895474</v>
      </c>
      <c r="FQ68" s="84" t="n">
        <f aca="false">FA68+FO68</f>
        <v>199.386461473868</v>
      </c>
      <c r="FR68" s="133" t="n">
        <f aca="false">FE68+$D68*Inputs!$K$13-$D68*$E68</f>
        <v>18055.4255560302</v>
      </c>
      <c r="FS68" s="84" t="n">
        <f aca="false">FR68*(1+$I68)</f>
        <v>20944.293644995</v>
      </c>
      <c r="FT68" s="133" t="n">
        <f aca="false">FS68*Inputs!$K$14</f>
        <v>4188.85872899901</v>
      </c>
      <c r="FU68" s="84" t="n">
        <f aca="false">FS68-FT68</f>
        <v>16755.434915996</v>
      </c>
      <c r="FV68" s="133" t="n">
        <f aca="false">FH68+$D68*Inputs!$K$13</f>
        <v>0</v>
      </c>
      <c r="FW68" s="84" t="n">
        <f aca="false">MIN(FT68,FV68)</f>
        <v>0</v>
      </c>
      <c r="FX68" s="84" t="n">
        <f aca="false">FV68-FW68</f>
        <v>0</v>
      </c>
      <c r="FY68" s="84" t="n">
        <f aca="false">FK68+$G68*(FV68+FK68)</f>
        <v>0</v>
      </c>
      <c r="FZ68" s="84" t="n">
        <f aca="false">MIN(FT68-FW68,FY68)</f>
        <v>0</v>
      </c>
      <c r="GA68" s="84" t="n">
        <f aca="false">FY68-FZ68</f>
        <v>0</v>
      </c>
      <c r="GB68" s="84" t="n">
        <f aca="false">IF($H68=1,MIN(FT68-FW68-FZ68,MAX(0,$F68/(1-$F68)*(FP68+FZ68)-FQ68)),0)</f>
        <v>0</v>
      </c>
      <c r="GC68" s="84" t="n">
        <f aca="false">FT68-FW68-FZ68-GB68</f>
        <v>4188.85872899901</v>
      </c>
      <c r="GD68" s="84" t="n">
        <f aca="false">FW68+FZ68+(1-$F68)*GC68</f>
        <v>3351.0869831992</v>
      </c>
      <c r="GE68" s="84" t="n">
        <f aca="false">GB68+$F68*GC68</f>
        <v>837.771745799801</v>
      </c>
      <c r="GF68" s="84" t="n">
        <f aca="false">FP68+FZ68+(1-$F68)*GC68</f>
        <v>4148.63282909468</v>
      </c>
      <c r="GG68" s="84" t="n">
        <f aca="false">FQ68+GE68</f>
        <v>1037.15820727367</v>
      </c>
      <c r="GH68" s="133" t="n">
        <f aca="false">FU68+$D68*Inputs!$L$13-$D68*$E68</f>
        <v>16485.434915996</v>
      </c>
      <c r="GI68" s="84" t="n">
        <f aca="false">GH68*(1+$I68)</f>
        <v>19123.1045025554</v>
      </c>
      <c r="GJ68" s="133" t="n">
        <f aca="false">GI68*Inputs!$L$14</f>
        <v>19123.1045025554</v>
      </c>
      <c r="GK68" s="84" t="n">
        <f aca="false">GI68-GJ68</f>
        <v>0</v>
      </c>
      <c r="GL68" s="133" t="n">
        <f aca="false">FX68+$D68*Inputs!$L$13</f>
        <v>0</v>
      </c>
      <c r="GM68" s="84" t="n">
        <f aca="false">MIN(GJ68,GL68)</f>
        <v>0</v>
      </c>
      <c r="GN68" s="84" t="n">
        <f aca="false">GL68-GM68</f>
        <v>0</v>
      </c>
      <c r="GO68" s="84" t="n">
        <f aca="false">GA68+$G68*(GL68+GA68)</f>
        <v>0</v>
      </c>
      <c r="GP68" s="84" t="n">
        <f aca="false">MIN(GJ68-GM68,GO68)</f>
        <v>0</v>
      </c>
      <c r="GQ68" s="84" t="n">
        <f aca="false">GO68-GP68</f>
        <v>0</v>
      </c>
      <c r="GR68" s="84" t="n">
        <f aca="false">IF($H68=1,MIN(GJ68-GM68-GP68,MAX(0,$F68/(1-$F68)*(GF68+GP68)-GG68)),0)</f>
        <v>0</v>
      </c>
      <c r="GS68" s="84" t="n">
        <f aca="false">GJ68-GM68-GP68-GR68</f>
        <v>19123.1045025554</v>
      </c>
      <c r="GT68" s="84" t="n">
        <f aca="false">GM68+GP68+(1-$F68)*GS68</f>
        <v>15298.4836020443</v>
      </c>
      <c r="GU68" s="84" t="n">
        <f aca="false">GR68+$F68*GS68</f>
        <v>3824.62090051108</v>
      </c>
      <c r="GV68" s="84" t="n">
        <f aca="false">GF68+GP68+(1-$F68)*GS68</f>
        <v>19447.116431139</v>
      </c>
      <c r="GW68" s="84" t="n">
        <f aca="false">GG68+GU68</f>
        <v>4861.77910778475</v>
      </c>
    </row>
    <row r="69" customFormat="false" ht="15" hidden="false" customHeight="false" outlineLevel="0" collapsed="false">
      <c r="A69" s="5" t="s">
        <v>637</v>
      </c>
      <c r="B69" s="5" t="s">
        <v>638</v>
      </c>
      <c r="C69" s="135" t="n">
        <v>17</v>
      </c>
      <c r="D69" s="47" t="n">
        <f aca="false">Inputs!$C$6</f>
        <v>20000</v>
      </c>
      <c r="E69" s="35" t="n">
        <f aca="false">Inputs!$C$19</f>
        <v>0.0135</v>
      </c>
      <c r="F69" s="36" t="n">
        <f aca="false">Inputs!$C$20</f>
        <v>0.2</v>
      </c>
      <c r="G69" s="30" t="n">
        <v>0</v>
      </c>
      <c r="H69" s="27" t="n">
        <v>0</v>
      </c>
      <c r="I69" s="132" t="n">
        <f aca="false">Inputs!$C$38+$C69*Inputs!$C$39</f>
        <v>0.17</v>
      </c>
      <c r="J69" s="36" t="n">
        <f aca="false">Inputs!$C$9</f>
        <v>0.15</v>
      </c>
      <c r="K69" s="89" t="n">
        <f aca="false">IRR(W69:AG69,0.1)</f>
        <v>0.131235034752179</v>
      </c>
      <c r="L69" s="45" t="n">
        <f aca="false">W69+NPV($J69,X69:AG69)</f>
        <v>-1404.39548885311</v>
      </c>
      <c r="M69" s="45" t="n">
        <f aca="false">SUM(BF69,BV69,CL69,DB69,DR69,EH69,EX69,FN69,GD69,GT69)</f>
        <v>41556.4839422543</v>
      </c>
      <c r="N69" s="43" t="n">
        <f aca="false">IF($D69*SUM(Inputs!$C$13:$L$13)=0,0,M69/($D69*SUM(Inputs!$C$13:$L$13)))</f>
        <v>2.07782419711272</v>
      </c>
      <c r="O69" s="42" t="n">
        <f aca="false">$D69*$E69*COLUMNS(Inputs!$C$13:$L$13)</f>
        <v>2700</v>
      </c>
      <c r="P69" s="45" t="n">
        <f aca="false">SUM(BG69,BW69,CM69,DC69,DS69,EI69,EY69,FO69,GE69,GU69)</f>
        <v>5389.12098556358</v>
      </c>
      <c r="Q69" s="42" t="n">
        <f aca="false">PV($J69,COLUMNS(Inputs!$C$13:$L$13),-$D69*$E69,0,1)</f>
        <v>1558.32765832774</v>
      </c>
      <c r="R69" s="45" t="n">
        <f aca="false">NPV($J69,BG69,BW69,CM69,DC69,DS69,EI69,EY69,FO69,GE69,GU69)</f>
        <v>1395.1281508311</v>
      </c>
      <c r="S69" s="45" t="n">
        <f aca="false">Q69+R69</f>
        <v>2953.45580915883</v>
      </c>
      <c r="T69" s="32" t="n">
        <f aca="false">IF(S69=0,0,Q69/S69)</f>
        <v>0.52762856769188</v>
      </c>
      <c r="U69" s="45" t="n">
        <f aca="false">ROUND(ABS(GK69)+ABS(SUM(AV69,BL69,CB69,CR69,DH69,DX69,EN69,FD69,FT69,GJ69)-M69-P69)+ABS(S69-(AH69+NPV($J69,AI69:AR69))),6)</f>
        <v>0</v>
      </c>
      <c r="W69" s="133" t="n">
        <f aca="false">-$D69*Inputs!$C$13</f>
        <v>-4000</v>
      </c>
      <c r="X69" s="133" t="n">
        <f aca="false">BF69-$D69*Inputs!$D$13</f>
        <v>-4000</v>
      </c>
      <c r="Y69" s="133" t="n">
        <f aca="false">BV69-$D69*Inputs!$E$13</f>
        <v>-4000</v>
      </c>
      <c r="Z69" s="133" t="n">
        <f aca="false">CL69-$D69*Inputs!$F$13</f>
        <v>-4000</v>
      </c>
      <c r="AA69" s="133" t="n">
        <f aca="false">DB69-$D69*Inputs!$G$13</f>
        <v>-4000</v>
      </c>
      <c r="AB69" s="133" t="n">
        <f aca="false">DR69-$D69*Inputs!$H$13</f>
        <v>6122.3087912922</v>
      </c>
      <c r="AC69" s="133" t="n">
        <f aca="false">EH69-$D69*Inputs!$I$13</f>
        <v>5667.3010286495</v>
      </c>
      <c r="AD69" s="133" t="n">
        <f aca="false">EX69-$D69*Inputs!$J$13</f>
        <v>5241.41376281593</v>
      </c>
      <c r="AE69" s="133" t="n">
        <f aca="false">FN69-$D69*Inputs!$K$13</f>
        <v>4468.02190904504</v>
      </c>
      <c r="AF69" s="133" t="n">
        <f aca="false">GD69-$D69*Inputs!$L$13</f>
        <v>3575.73212155839</v>
      </c>
      <c r="AG69" s="84" t="n">
        <f aca="false">GT69</f>
        <v>16481.7063288933</v>
      </c>
      <c r="AH69" s="84" t="n">
        <f aca="false">$D69*$E69</f>
        <v>270</v>
      </c>
      <c r="AI69" s="84" t="n">
        <f aca="false">BG69+$D69*$E69</f>
        <v>270</v>
      </c>
      <c r="AJ69" s="84" t="n">
        <f aca="false">BW69+$D69*$E69</f>
        <v>270</v>
      </c>
      <c r="AK69" s="84" t="n">
        <f aca="false">CM69+$D69*$E69</f>
        <v>270</v>
      </c>
      <c r="AL69" s="84" t="n">
        <f aca="false">DC69+$D69*$E69</f>
        <v>270</v>
      </c>
      <c r="AM69" s="84" t="n">
        <f aca="false">DS69+$D69*$E69</f>
        <v>270</v>
      </c>
      <c r="AN69" s="84" t="n">
        <f aca="false">EI69+$D69*$E69</f>
        <v>270</v>
      </c>
      <c r="AO69" s="84" t="n">
        <f aca="false">EY69+$D69*$E69</f>
        <v>270</v>
      </c>
      <c r="AP69" s="84" t="n">
        <f aca="false">FO69+$D69*$E69</f>
        <v>644.761372950667</v>
      </c>
      <c r="AQ69" s="84" t="n">
        <f aca="false">GE69+$D69*$E69</f>
        <v>1163.9330303896</v>
      </c>
      <c r="AR69" s="84" t="n">
        <f aca="false">GU69</f>
        <v>4120.42658222331</v>
      </c>
      <c r="AT69" s="133" t="n">
        <f aca="false">$D69*Inputs!$C$13-$D69*$E69</f>
        <v>3730</v>
      </c>
      <c r="AU69" s="84" t="n">
        <f aca="false">AT69*(1+$I69)</f>
        <v>4364.1</v>
      </c>
      <c r="AV69" s="133" t="n">
        <f aca="false">AU69*Inputs!$C$14</f>
        <v>0</v>
      </c>
      <c r="AW69" s="84" t="n">
        <f aca="false">AU69-AV69</f>
        <v>4364.1</v>
      </c>
      <c r="AX69" s="133" t="n">
        <f aca="false">$D69*Inputs!$C$13</f>
        <v>4000</v>
      </c>
      <c r="AY69" s="84" t="n">
        <f aca="false">MIN(AV69,AX69)</f>
        <v>0</v>
      </c>
      <c r="AZ69" s="84" t="n">
        <f aca="false">AX69-AY69</f>
        <v>4000</v>
      </c>
      <c r="BA69" s="84" t="n">
        <f aca="false">$G69*AX69</f>
        <v>0</v>
      </c>
      <c r="BB69" s="84" t="n">
        <f aca="false">MIN(AV69-AY69,BA69)</f>
        <v>0</v>
      </c>
      <c r="BC69" s="84" t="n">
        <f aca="false">BA69-BB69</f>
        <v>0</v>
      </c>
      <c r="BD69" s="84" t="n">
        <f aca="false">IF($H69=1,MIN(AV69-AY69-BB69,MAX(0,$F69/(1-$F69)*BB69)),0)</f>
        <v>0</v>
      </c>
      <c r="BE69" s="84" t="n">
        <f aca="false">AV69-AY69-BB69-BD69</f>
        <v>0</v>
      </c>
      <c r="BF69" s="84" t="n">
        <f aca="false">AY69+BB69+(1-$F69)*BE69</f>
        <v>0</v>
      </c>
      <c r="BG69" s="84" t="n">
        <f aca="false">BD69+$F69*BE69</f>
        <v>0</v>
      </c>
      <c r="BH69" s="84" t="n">
        <f aca="false">BB69+(1-$F69)*BE69</f>
        <v>0</v>
      </c>
      <c r="BI69" s="84" t="n">
        <f aca="false">BG69</f>
        <v>0</v>
      </c>
      <c r="BJ69" s="133" t="n">
        <f aca="false">AW69+$D69*Inputs!$D$13-$D69*$E69</f>
        <v>8094.1</v>
      </c>
      <c r="BK69" s="84" t="n">
        <f aca="false">BJ69*(1+$I69)</f>
        <v>9470.097</v>
      </c>
      <c r="BL69" s="133" t="n">
        <f aca="false">BK69*Inputs!$D$14</f>
        <v>0</v>
      </c>
      <c r="BM69" s="84" t="n">
        <f aca="false">BK69-BL69</f>
        <v>9470.097</v>
      </c>
      <c r="BN69" s="133" t="n">
        <f aca="false">AZ69+$D69*Inputs!$D$13</f>
        <v>8000</v>
      </c>
      <c r="BO69" s="84" t="n">
        <f aca="false">MIN(BL69,BN69)</f>
        <v>0</v>
      </c>
      <c r="BP69" s="84" t="n">
        <f aca="false">BN69-BO69</f>
        <v>8000</v>
      </c>
      <c r="BQ69" s="84" t="n">
        <f aca="false">BC69+$G69*(BN69+BC69)</f>
        <v>0</v>
      </c>
      <c r="BR69" s="84" t="n">
        <f aca="false">MIN(BL69-BO69,BQ69)</f>
        <v>0</v>
      </c>
      <c r="BS69" s="84" t="n">
        <f aca="false">BQ69-BR69</f>
        <v>0</v>
      </c>
      <c r="BT69" s="84" t="n">
        <f aca="false">IF($H69=1,MIN(BL69-BO69-BR69,MAX(0,$F69/(1-$F69)*(BH69+BR69)-BI69)),0)</f>
        <v>0</v>
      </c>
      <c r="BU69" s="84" t="n">
        <f aca="false">BL69-BO69-BR69-BT69</f>
        <v>0</v>
      </c>
      <c r="BV69" s="84" t="n">
        <f aca="false">BO69+BR69+(1-$F69)*BU69</f>
        <v>0</v>
      </c>
      <c r="BW69" s="84" t="n">
        <f aca="false">BT69+$F69*BU69</f>
        <v>0</v>
      </c>
      <c r="BX69" s="84" t="n">
        <f aca="false">BH69+BR69+(1-$F69)*BU69</f>
        <v>0</v>
      </c>
      <c r="BY69" s="84" t="n">
        <f aca="false">BI69+BW69</f>
        <v>0</v>
      </c>
      <c r="BZ69" s="133" t="n">
        <f aca="false">BM69+$D69*Inputs!$E$13-$D69*$E69</f>
        <v>13200.097</v>
      </c>
      <c r="CA69" s="84" t="n">
        <f aca="false">BZ69*(1+$I69)</f>
        <v>15444.11349</v>
      </c>
      <c r="CB69" s="133" t="n">
        <f aca="false">CA69*Inputs!$E$14</f>
        <v>0</v>
      </c>
      <c r="CC69" s="84" t="n">
        <f aca="false">CA69-CB69</f>
        <v>15444.11349</v>
      </c>
      <c r="CD69" s="133" t="n">
        <f aca="false">BP69+$D69*Inputs!$E$13</f>
        <v>12000</v>
      </c>
      <c r="CE69" s="84" t="n">
        <f aca="false">MIN(CB69,CD69)</f>
        <v>0</v>
      </c>
      <c r="CF69" s="84" t="n">
        <f aca="false">CD69-CE69</f>
        <v>12000</v>
      </c>
      <c r="CG69" s="84" t="n">
        <f aca="false">BS69+$G69*(CD69+BS69)</f>
        <v>0</v>
      </c>
      <c r="CH69" s="84" t="n">
        <f aca="false">MIN(CB69-CE69,CG69)</f>
        <v>0</v>
      </c>
      <c r="CI69" s="84" t="n">
        <f aca="false">CG69-CH69</f>
        <v>0</v>
      </c>
      <c r="CJ69" s="84" t="n">
        <f aca="false">IF($H69=1,MIN(CB69-CE69-CH69,MAX(0,$F69/(1-$F69)*(BX69+CH69)-BY69)),0)</f>
        <v>0</v>
      </c>
      <c r="CK69" s="84" t="n">
        <f aca="false">CB69-CE69-CH69-CJ69</f>
        <v>0</v>
      </c>
      <c r="CL69" s="84" t="n">
        <f aca="false">CE69+CH69+(1-$F69)*CK69</f>
        <v>0</v>
      </c>
      <c r="CM69" s="84" t="n">
        <f aca="false">CJ69+$F69*CK69</f>
        <v>0</v>
      </c>
      <c r="CN69" s="84" t="n">
        <f aca="false">BX69+CH69+(1-$F69)*CK69</f>
        <v>0</v>
      </c>
      <c r="CO69" s="84" t="n">
        <f aca="false">BY69+CM69</f>
        <v>0</v>
      </c>
      <c r="CP69" s="133" t="n">
        <f aca="false">CC69+$D69*Inputs!$F$13-$D69*$E69</f>
        <v>19174.11349</v>
      </c>
      <c r="CQ69" s="84" t="n">
        <f aca="false">CP69*(1+$I69)</f>
        <v>22433.7127833</v>
      </c>
      <c r="CR69" s="133" t="n">
        <f aca="false">CQ69*Inputs!$F$14</f>
        <v>0</v>
      </c>
      <c r="CS69" s="84" t="n">
        <f aca="false">CQ69-CR69</f>
        <v>22433.7127833</v>
      </c>
      <c r="CT69" s="133" t="n">
        <f aca="false">CF69+$D69*Inputs!$F$13</f>
        <v>16000</v>
      </c>
      <c r="CU69" s="84" t="n">
        <f aca="false">MIN(CR69,CT69)</f>
        <v>0</v>
      </c>
      <c r="CV69" s="84" t="n">
        <f aca="false">CT69-CU69</f>
        <v>16000</v>
      </c>
      <c r="CW69" s="84" t="n">
        <f aca="false">CI69+$G69*(CT69+CI69)</f>
        <v>0</v>
      </c>
      <c r="CX69" s="84" t="n">
        <f aca="false">MIN(CR69-CU69,CW69)</f>
        <v>0</v>
      </c>
      <c r="CY69" s="84" t="n">
        <f aca="false">CW69-CX69</f>
        <v>0</v>
      </c>
      <c r="CZ69" s="84" t="n">
        <f aca="false">IF($H69=1,MIN(CR69-CU69-CX69,MAX(0,$F69/(1-$F69)*(CN69+CX69)-CO69)),0)</f>
        <v>0</v>
      </c>
      <c r="DA69" s="84" t="n">
        <f aca="false">CR69-CU69-CX69-CZ69</f>
        <v>0</v>
      </c>
      <c r="DB69" s="84" t="n">
        <f aca="false">CU69+CX69+(1-$F69)*DA69</f>
        <v>0</v>
      </c>
      <c r="DC69" s="84" t="n">
        <f aca="false">CZ69+$F69*DA69</f>
        <v>0</v>
      </c>
      <c r="DD69" s="84" t="n">
        <f aca="false">CN69+CX69+(1-$F69)*DA69</f>
        <v>0</v>
      </c>
      <c r="DE69" s="84" t="n">
        <f aca="false">CO69+DC69</f>
        <v>0</v>
      </c>
      <c r="DF69" s="133" t="n">
        <f aca="false">CS69+$D69*Inputs!$G$13-$D69*$E69</f>
        <v>26163.7127833</v>
      </c>
      <c r="DG69" s="84" t="n">
        <f aca="false">DF69*(1+$I69)</f>
        <v>30611.543956461</v>
      </c>
      <c r="DH69" s="133" t="n">
        <f aca="false">DG69*Inputs!$G$14</f>
        <v>6122.3087912922</v>
      </c>
      <c r="DI69" s="84" t="n">
        <f aca="false">DG69-DH69</f>
        <v>24489.2351651688</v>
      </c>
      <c r="DJ69" s="133" t="n">
        <f aca="false">CV69+$D69*Inputs!$G$13</f>
        <v>20000</v>
      </c>
      <c r="DK69" s="84" t="n">
        <f aca="false">MIN(DH69,DJ69)</f>
        <v>6122.3087912922</v>
      </c>
      <c r="DL69" s="84" t="n">
        <f aca="false">DJ69-DK69</f>
        <v>13877.6912087078</v>
      </c>
      <c r="DM69" s="84" t="n">
        <f aca="false">CY69+$G69*(DJ69+CY69)</f>
        <v>0</v>
      </c>
      <c r="DN69" s="84" t="n">
        <f aca="false">MIN(DH69-DK69,DM69)</f>
        <v>0</v>
      </c>
      <c r="DO69" s="84" t="n">
        <f aca="false">DM69-DN69</f>
        <v>0</v>
      </c>
      <c r="DP69" s="84" t="n">
        <f aca="false">IF($H69=1,MIN(DH69-DK69-DN69,MAX(0,$F69/(1-$F69)*(DD69+DN69)-DE69)),0)</f>
        <v>0</v>
      </c>
      <c r="DQ69" s="84" t="n">
        <f aca="false">DH69-DK69-DN69-DP69</f>
        <v>0</v>
      </c>
      <c r="DR69" s="84" t="n">
        <f aca="false">DK69+DN69+(1-$F69)*DQ69</f>
        <v>6122.3087912922</v>
      </c>
      <c r="DS69" s="84" t="n">
        <f aca="false">DP69+$F69*DQ69</f>
        <v>0</v>
      </c>
      <c r="DT69" s="84" t="n">
        <f aca="false">DD69+DN69+(1-$F69)*DQ69</f>
        <v>0</v>
      </c>
      <c r="DU69" s="84" t="n">
        <f aca="false">DE69+DS69</f>
        <v>0</v>
      </c>
      <c r="DV69" s="133" t="n">
        <f aca="false">DI69+$D69*Inputs!$H$13-$D69*$E69</f>
        <v>24219.2351651688</v>
      </c>
      <c r="DW69" s="84" t="n">
        <f aca="false">DV69*(1+$I69)</f>
        <v>28336.5051432475</v>
      </c>
      <c r="DX69" s="133" t="n">
        <f aca="false">DW69*Inputs!$H$14</f>
        <v>5667.3010286495</v>
      </c>
      <c r="DY69" s="84" t="n">
        <f aca="false">DW69-DX69</f>
        <v>22669.204114598</v>
      </c>
      <c r="DZ69" s="133" t="n">
        <f aca="false">DL69+$D69*Inputs!$H$13</f>
        <v>13877.6912087078</v>
      </c>
      <c r="EA69" s="84" t="n">
        <f aca="false">MIN(DX69,DZ69)</f>
        <v>5667.3010286495</v>
      </c>
      <c r="EB69" s="84" t="n">
        <f aca="false">DZ69-EA69</f>
        <v>8210.3901800583</v>
      </c>
      <c r="EC69" s="84" t="n">
        <f aca="false">DO69+$G69*(DZ69+DO69)</f>
        <v>0</v>
      </c>
      <c r="ED69" s="84" t="n">
        <f aca="false">MIN(DX69-EA69,EC69)</f>
        <v>0</v>
      </c>
      <c r="EE69" s="84" t="n">
        <f aca="false">EC69-ED69</f>
        <v>0</v>
      </c>
      <c r="EF69" s="84" t="n">
        <f aca="false">IF($H69=1,MIN(DX69-EA69-ED69,MAX(0,$F69/(1-$F69)*(DT69+ED69)-DU69)),0)</f>
        <v>0</v>
      </c>
      <c r="EG69" s="84" t="n">
        <f aca="false">DX69-EA69-ED69-EF69</f>
        <v>0</v>
      </c>
      <c r="EH69" s="84" t="n">
        <f aca="false">EA69+ED69+(1-$F69)*EG69</f>
        <v>5667.3010286495</v>
      </c>
      <c r="EI69" s="84" t="n">
        <f aca="false">EF69+$F69*EG69</f>
        <v>0</v>
      </c>
      <c r="EJ69" s="84" t="n">
        <f aca="false">DT69+ED69+(1-$F69)*EG69</f>
        <v>0</v>
      </c>
      <c r="EK69" s="84" t="n">
        <f aca="false">DU69+EI69</f>
        <v>0</v>
      </c>
      <c r="EL69" s="133" t="n">
        <f aca="false">DY69+$D69*Inputs!$I$13-$D69*$E69</f>
        <v>22399.204114598</v>
      </c>
      <c r="EM69" s="84" t="n">
        <f aca="false">EL69*(1+$I69)</f>
        <v>26207.0688140796</v>
      </c>
      <c r="EN69" s="133" t="n">
        <f aca="false">EM69*Inputs!$I$14</f>
        <v>5241.41376281593</v>
      </c>
      <c r="EO69" s="84" t="n">
        <f aca="false">EM69-EN69</f>
        <v>20965.6550512637</v>
      </c>
      <c r="EP69" s="133" t="n">
        <f aca="false">EB69+$D69*Inputs!$I$13</f>
        <v>8210.3901800583</v>
      </c>
      <c r="EQ69" s="84" t="n">
        <f aca="false">MIN(EN69,EP69)</f>
        <v>5241.41376281593</v>
      </c>
      <c r="ER69" s="84" t="n">
        <f aca="false">EP69-EQ69</f>
        <v>2968.97641724237</v>
      </c>
      <c r="ES69" s="84" t="n">
        <f aca="false">EE69+$G69*(EP69+EE69)</f>
        <v>0</v>
      </c>
      <c r="ET69" s="84" t="n">
        <f aca="false">MIN(EN69-EQ69,ES69)</f>
        <v>0</v>
      </c>
      <c r="EU69" s="84" t="n">
        <f aca="false">ES69-ET69</f>
        <v>0</v>
      </c>
      <c r="EV69" s="84" t="n">
        <f aca="false">IF($H69=1,MIN(EN69-EQ69-ET69,MAX(0,$F69/(1-$F69)*(EJ69+ET69)-EK69)),0)</f>
        <v>0</v>
      </c>
      <c r="EW69" s="84" t="n">
        <f aca="false">EN69-EQ69-ET69-EV69</f>
        <v>0</v>
      </c>
      <c r="EX69" s="84" t="n">
        <f aca="false">EQ69+ET69+(1-$F69)*EW69</f>
        <v>5241.41376281593</v>
      </c>
      <c r="EY69" s="84" t="n">
        <f aca="false">EV69+$F69*EW69</f>
        <v>0</v>
      </c>
      <c r="EZ69" s="84" t="n">
        <f aca="false">EJ69+ET69+(1-$F69)*EW69</f>
        <v>0</v>
      </c>
      <c r="FA69" s="84" t="n">
        <f aca="false">EK69+EY69</f>
        <v>0</v>
      </c>
      <c r="FB69" s="133" t="n">
        <f aca="false">EO69+$D69*Inputs!$J$13-$D69*$E69</f>
        <v>20695.6550512637</v>
      </c>
      <c r="FC69" s="84" t="n">
        <f aca="false">FB69*(1+$I69)</f>
        <v>24213.9164099785</v>
      </c>
      <c r="FD69" s="133" t="n">
        <f aca="false">FC69*Inputs!$J$14</f>
        <v>4842.78328199571</v>
      </c>
      <c r="FE69" s="84" t="n">
        <f aca="false">FC69-FD69</f>
        <v>19371.1331279828</v>
      </c>
      <c r="FF69" s="133" t="n">
        <f aca="false">ER69+$D69*Inputs!$J$13</f>
        <v>2968.97641724237</v>
      </c>
      <c r="FG69" s="84" t="n">
        <f aca="false">MIN(FD69,FF69)</f>
        <v>2968.97641724237</v>
      </c>
      <c r="FH69" s="84" t="n">
        <f aca="false">FF69-FG69</f>
        <v>0</v>
      </c>
      <c r="FI69" s="84" t="n">
        <f aca="false">EU69+$G69*(FF69+EU69)</f>
        <v>0</v>
      </c>
      <c r="FJ69" s="84" t="n">
        <f aca="false">MIN(FD69-FG69,FI69)</f>
        <v>0</v>
      </c>
      <c r="FK69" s="84" t="n">
        <f aca="false">FI69-FJ69</f>
        <v>0</v>
      </c>
      <c r="FL69" s="84" t="n">
        <f aca="false">IF($H69=1,MIN(FD69-FG69-FJ69,MAX(0,$F69/(1-$F69)*(EZ69+FJ69)-FA69)),0)</f>
        <v>0</v>
      </c>
      <c r="FM69" s="84" t="n">
        <f aca="false">FD69-FG69-FJ69-FL69</f>
        <v>1873.80686475333</v>
      </c>
      <c r="FN69" s="84" t="n">
        <f aca="false">FG69+FJ69+(1-$F69)*FM69</f>
        <v>4468.02190904504</v>
      </c>
      <c r="FO69" s="84" t="n">
        <f aca="false">FL69+$F69*FM69</f>
        <v>374.761372950667</v>
      </c>
      <c r="FP69" s="84" t="n">
        <f aca="false">EZ69+FJ69+(1-$F69)*FM69</f>
        <v>1499.04549180267</v>
      </c>
      <c r="FQ69" s="84" t="n">
        <f aca="false">FA69+FO69</f>
        <v>374.761372950667</v>
      </c>
      <c r="FR69" s="133" t="n">
        <f aca="false">FE69+$D69*Inputs!$K$13-$D69*$E69</f>
        <v>19101.1331279828</v>
      </c>
      <c r="FS69" s="84" t="n">
        <f aca="false">FR69*(1+$I69)</f>
        <v>22348.3257597399</v>
      </c>
      <c r="FT69" s="133" t="n">
        <f aca="false">FS69*Inputs!$K$14</f>
        <v>4469.66515194798</v>
      </c>
      <c r="FU69" s="84" t="n">
        <f aca="false">FS69-FT69</f>
        <v>17878.6606077919</v>
      </c>
      <c r="FV69" s="133" t="n">
        <f aca="false">FH69+$D69*Inputs!$K$13</f>
        <v>0</v>
      </c>
      <c r="FW69" s="84" t="n">
        <f aca="false">MIN(FT69,FV69)</f>
        <v>0</v>
      </c>
      <c r="FX69" s="84" t="n">
        <f aca="false">FV69-FW69</f>
        <v>0</v>
      </c>
      <c r="FY69" s="84" t="n">
        <f aca="false">FK69+$G69*(FV69+FK69)</f>
        <v>0</v>
      </c>
      <c r="FZ69" s="84" t="n">
        <f aca="false">MIN(FT69-FW69,FY69)</f>
        <v>0</v>
      </c>
      <c r="GA69" s="84" t="n">
        <f aca="false">FY69-FZ69</f>
        <v>0</v>
      </c>
      <c r="GB69" s="84" t="n">
        <f aca="false">IF($H69=1,MIN(FT69-FW69-FZ69,MAX(0,$F69/(1-$F69)*(FP69+FZ69)-FQ69)),0)</f>
        <v>0</v>
      </c>
      <c r="GC69" s="84" t="n">
        <f aca="false">FT69-FW69-FZ69-GB69</f>
        <v>4469.66515194798</v>
      </c>
      <c r="GD69" s="84" t="n">
        <f aca="false">FW69+FZ69+(1-$F69)*GC69</f>
        <v>3575.73212155839</v>
      </c>
      <c r="GE69" s="84" t="n">
        <f aca="false">GB69+$F69*GC69</f>
        <v>893.933030389597</v>
      </c>
      <c r="GF69" s="84" t="n">
        <f aca="false">FP69+FZ69+(1-$F69)*GC69</f>
        <v>5074.77761336106</v>
      </c>
      <c r="GG69" s="84" t="n">
        <f aca="false">FQ69+GE69</f>
        <v>1268.69440334026</v>
      </c>
      <c r="GH69" s="133" t="n">
        <f aca="false">FU69+$D69*Inputs!$L$13-$D69*$E69</f>
        <v>17608.6606077919</v>
      </c>
      <c r="GI69" s="84" t="n">
        <f aca="false">GH69*(1+$I69)</f>
        <v>20602.1329111166</v>
      </c>
      <c r="GJ69" s="133" t="n">
        <f aca="false">GI69*Inputs!$L$14</f>
        <v>20602.1329111166</v>
      </c>
      <c r="GK69" s="84" t="n">
        <f aca="false">GI69-GJ69</f>
        <v>0</v>
      </c>
      <c r="GL69" s="133" t="n">
        <f aca="false">FX69+$D69*Inputs!$L$13</f>
        <v>0</v>
      </c>
      <c r="GM69" s="84" t="n">
        <f aca="false">MIN(GJ69,GL69)</f>
        <v>0</v>
      </c>
      <c r="GN69" s="84" t="n">
        <f aca="false">GL69-GM69</f>
        <v>0</v>
      </c>
      <c r="GO69" s="84" t="n">
        <f aca="false">GA69+$G69*(GL69+GA69)</f>
        <v>0</v>
      </c>
      <c r="GP69" s="84" t="n">
        <f aca="false">MIN(GJ69-GM69,GO69)</f>
        <v>0</v>
      </c>
      <c r="GQ69" s="84" t="n">
        <f aca="false">GO69-GP69</f>
        <v>0</v>
      </c>
      <c r="GR69" s="84" t="n">
        <f aca="false">IF($H69=1,MIN(GJ69-GM69-GP69,MAX(0,$F69/(1-$F69)*(GF69+GP69)-GG69)),0)</f>
        <v>0</v>
      </c>
      <c r="GS69" s="84" t="n">
        <f aca="false">GJ69-GM69-GP69-GR69</f>
        <v>20602.1329111166</v>
      </c>
      <c r="GT69" s="84" t="n">
        <f aca="false">GM69+GP69+(1-$F69)*GS69</f>
        <v>16481.7063288933</v>
      </c>
      <c r="GU69" s="84" t="n">
        <f aca="false">GR69+$F69*GS69</f>
        <v>4120.42658222331</v>
      </c>
      <c r="GV69" s="84" t="n">
        <f aca="false">GF69+GP69+(1-$F69)*GS69</f>
        <v>21556.4839422543</v>
      </c>
      <c r="GW69" s="84" t="n">
        <f aca="false">GG69+GU69</f>
        <v>5389.12098556358</v>
      </c>
    </row>
    <row r="70" customFormat="false" ht="15" hidden="false" customHeight="false" outlineLevel="0" collapsed="false">
      <c r="A70" s="5" t="s">
        <v>637</v>
      </c>
      <c r="B70" s="5" t="s">
        <v>638</v>
      </c>
      <c r="C70" s="135" t="n">
        <v>18</v>
      </c>
      <c r="D70" s="47" t="n">
        <f aca="false">Inputs!$C$6</f>
        <v>20000</v>
      </c>
      <c r="E70" s="35" t="n">
        <f aca="false">Inputs!$C$19</f>
        <v>0.0135</v>
      </c>
      <c r="F70" s="36" t="n">
        <f aca="false">Inputs!$C$20</f>
        <v>0.2</v>
      </c>
      <c r="G70" s="30" t="n">
        <v>0</v>
      </c>
      <c r="H70" s="27" t="n">
        <v>0</v>
      </c>
      <c r="I70" s="132" t="n">
        <f aca="false">Inputs!$C$38+$C70*Inputs!$C$39</f>
        <v>0.18</v>
      </c>
      <c r="J70" s="36" t="n">
        <f aca="false">Inputs!$C$9</f>
        <v>0.15</v>
      </c>
      <c r="K70" s="89" t="n">
        <f aca="false">IRR(W70:AG70,0.1)</f>
        <v>0.140581309673615</v>
      </c>
      <c r="L70" s="45" t="n">
        <f aca="false">W70+NPV($J70,X70:AG70)</f>
        <v>-721.868123445032</v>
      </c>
      <c r="M70" s="45" t="n">
        <f aca="false">SUM(BF70,BV70,CL70,DB70,DR70,EH70,EX70,FN70,GD70,GT70)</f>
        <v>43786.0063129274</v>
      </c>
      <c r="N70" s="43" t="n">
        <f aca="false">IF($D70*SUM(Inputs!$C$13:$L$13)=0,0,M70/($D70*SUM(Inputs!$C$13:$L$13)))</f>
        <v>2.18930031564637</v>
      </c>
      <c r="O70" s="42" t="n">
        <f aca="false">$D70*$E70*COLUMNS(Inputs!$C$13:$L$13)</f>
        <v>2700</v>
      </c>
      <c r="P70" s="45" t="n">
        <f aca="false">SUM(BG70,BW70,CM70,DC70,DS70,EI70,EY70,FO70,GE70,GU70)</f>
        <v>5946.50157823185</v>
      </c>
      <c r="Q70" s="42" t="n">
        <f aca="false">PV($J70,COLUMNS(Inputs!$C$13:$L$13),-$D70*$E70,0,1)</f>
        <v>1558.32765832774</v>
      </c>
      <c r="R70" s="45" t="n">
        <f aca="false">NPV($J70,BG70,BW70,CM70,DC70,DS70,EI70,EY70,FO70,GE70,GU70)</f>
        <v>1549.62697180578</v>
      </c>
      <c r="S70" s="45" t="n">
        <f aca="false">Q70+R70</f>
        <v>3107.95463013351</v>
      </c>
      <c r="T70" s="32" t="n">
        <f aca="false">IF(S70=0,0,Q70/S70)</f>
        <v>0.501399744777096</v>
      </c>
      <c r="U70" s="45" t="n">
        <f aca="false">ROUND(ABS(GK70)+ABS(SUM(AV70,BL70,CB70,CR70,DH70,DX70,EN70,FD70,FT70,GJ70)-M70-P70)+ABS(S70-(AH70+NPV($J70,AI70:AR70))),6)</f>
        <v>0</v>
      </c>
      <c r="W70" s="133" t="n">
        <f aca="false">-$D70*Inputs!$C$13</f>
        <v>-4000</v>
      </c>
      <c r="X70" s="133" t="n">
        <f aca="false">BF70-$D70*Inputs!$D$13</f>
        <v>-4000</v>
      </c>
      <c r="Y70" s="133" t="n">
        <f aca="false">BV70-$D70*Inputs!$E$13</f>
        <v>-4000</v>
      </c>
      <c r="Z70" s="133" t="n">
        <f aca="false">CL70-$D70*Inputs!$F$13</f>
        <v>-4000</v>
      </c>
      <c r="AA70" s="133" t="n">
        <f aca="false">DB70-$D70*Inputs!$G$13</f>
        <v>-4000</v>
      </c>
      <c r="AB70" s="133" t="n">
        <f aca="false">DR70-$D70*Inputs!$H$13</f>
        <v>6297.7077675328</v>
      </c>
      <c r="AC70" s="133" t="n">
        <f aca="false">EH70-$D70*Inputs!$I$13</f>
        <v>5881.31613255096</v>
      </c>
      <c r="AD70" s="133" t="n">
        <f aca="false">EX70-$D70*Inputs!$J$13</f>
        <v>5488.24242912811</v>
      </c>
      <c r="AE70" s="133" t="n">
        <f aca="false">FN70-$D70*Inputs!$K$13</f>
        <v>4560.29141663517</v>
      </c>
      <c r="AF70" s="133" t="n">
        <f aca="false">GD70-$D70*Inputs!$L$13</f>
        <v>3813.5189802588</v>
      </c>
      <c r="AG70" s="84" t="n">
        <f aca="false">GT70</f>
        <v>17744.9295868216</v>
      </c>
      <c r="AH70" s="84" t="n">
        <f aca="false">$D70*$E70</f>
        <v>270</v>
      </c>
      <c r="AI70" s="84" t="n">
        <f aca="false">BG70+$D70*$E70</f>
        <v>270</v>
      </c>
      <c r="AJ70" s="84" t="n">
        <f aca="false">BW70+$D70*$E70</f>
        <v>270</v>
      </c>
      <c r="AK70" s="84" t="n">
        <f aca="false">CM70+$D70*$E70</f>
        <v>270</v>
      </c>
      <c r="AL70" s="84" t="n">
        <f aca="false">DC70+$D70*$E70</f>
        <v>270</v>
      </c>
      <c r="AM70" s="84" t="n">
        <f aca="false">DS70+$D70*$E70</f>
        <v>270</v>
      </c>
      <c r="AN70" s="84" t="n">
        <f aca="false">EI70+$D70*$E70</f>
        <v>270</v>
      </c>
      <c r="AO70" s="84" t="n">
        <f aca="false">EY70+$D70*$E70</f>
        <v>270</v>
      </c>
      <c r="AP70" s="84" t="n">
        <f aca="false">FO70+$D70*$E70</f>
        <v>826.889436461761</v>
      </c>
      <c r="AQ70" s="84" t="n">
        <f aca="false">GE70+$D70*$E70</f>
        <v>1223.3797450647</v>
      </c>
      <c r="AR70" s="84" t="n">
        <f aca="false">GU70</f>
        <v>4436.23239670539</v>
      </c>
      <c r="AT70" s="133" t="n">
        <f aca="false">$D70*Inputs!$C$13-$D70*$E70</f>
        <v>3730</v>
      </c>
      <c r="AU70" s="84" t="n">
        <f aca="false">AT70*(1+$I70)</f>
        <v>4401.4</v>
      </c>
      <c r="AV70" s="133" t="n">
        <f aca="false">AU70*Inputs!$C$14</f>
        <v>0</v>
      </c>
      <c r="AW70" s="84" t="n">
        <f aca="false">AU70-AV70</f>
        <v>4401.4</v>
      </c>
      <c r="AX70" s="133" t="n">
        <f aca="false">$D70*Inputs!$C$13</f>
        <v>4000</v>
      </c>
      <c r="AY70" s="84" t="n">
        <f aca="false">MIN(AV70,AX70)</f>
        <v>0</v>
      </c>
      <c r="AZ70" s="84" t="n">
        <f aca="false">AX70-AY70</f>
        <v>4000</v>
      </c>
      <c r="BA70" s="84" t="n">
        <f aca="false">$G70*AX70</f>
        <v>0</v>
      </c>
      <c r="BB70" s="84" t="n">
        <f aca="false">MIN(AV70-AY70,BA70)</f>
        <v>0</v>
      </c>
      <c r="BC70" s="84" t="n">
        <f aca="false">BA70-BB70</f>
        <v>0</v>
      </c>
      <c r="BD70" s="84" t="n">
        <f aca="false">IF($H70=1,MIN(AV70-AY70-BB70,MAX(0,$F70/(1-$F70)*BB70)),0)</f>
        <v>0</v>
      </c>
      <c r="BE70" s="84" t="n">
        <f aca="false">AV70-AY70-BB70-BD70</f>
        <v>0</v>
      </c>
      <c r="BF70" s="84" t="n">
        <f aca="false">AY70+BB70+(1-$F70)*BE70</f>
        <v>0</v>
      </c>
      <c r="BG70" s="84" t="n">
        <f aca="false">BD70+$F70*BE70</f>
        <v>0</v>
      </c>
      <c r="BH70" s="84" t="n">
        <f aca="false">BB70+(1-$F70)*BE70</f>
        <v>0</v>
      </c>
      <c r="BI70" s="84" t="n">
        <f aca="false">BG70</f>
        <v>0</v>
      </c>
      <c r="BJ70" s="133" t="n">
        <f aca="false">AW70+$D70*Inputs!$D$13-$D70*$E70</f>
        <v>8131.4</v>
      </c>
      <c r="BK70" s="84" t="n">
        <f aca="false">BJ70*(1+$I70)</f>
        <v>9595.052</v>
      </c>
      <c r="BL70" s="133" t="n">
        <f aca="false">BK70*Inputs!$D$14</f>
        <v>0</v>
      </c>
      <c r="BM70" s="84" t="n">
        <f aca="false">BK70-BL70</f>
        <v>9595.052</v>
      </c>
      <c r="BN70" s="133" t="n">
        <f aca="false">AZ70+$D70*Inputs!$D$13</f>
        <v>8000</v>
      </c>
      <c r="BO70" s="84" t="n">
        <f aca="false">MIN(BL70,BN70)</f>
        <v>0</v>
      </c>
      <c r="BP70" s="84" t="n">
        <f aca="false">BN70-BO70</f>
        <v>8000</v>
      </c>
      <c r="BQ70" s="84" t="n">
        <f aca="false">BC70+$G70*(BN70+BC70)</f>
        <v>0</v>
      </c>
      <c r="BR70" s="84" t="n">
        <f aca="false">MIN(BL70-BO70,BQ70)</f>
        <v>0</v>
      </c>
      <c r="BS70" s="84" t="n">
        <f aca="false">BQ70-BR70</f>
        <v>0</v>
      </c>
      <c r="BT70" s="84" t="n">
        <f aca="false">IF($H70=1,MIN(BL70-BO70-BR70,MAX(0,$F70/(1-$F70)*(BH70+BR70)-BI70)),0)</f>
        <v>0</v>
      </c>
      <c r="BU70" s="84" t="n">
        <f aca="false">BL70-BO70-BR70-BT70</f>
        <v>0</v>
      </c>
      <c r="BV70" s="84" t="n">
        <f aca="false">BO70+BR70+(1-$F70)*BU70</f>
        <v>0</v>
      </c>
      <c r="BW70" s="84" t="n">
        <f aca="false">BT70+$F70*BU70</f>
        <v>0</v>
      </c>
      <c r="BX70" s="84" t="n">
        <f aca="false">BH70+BR70+(1-$F70)*BU70</f>
        <v>0</v>
      </c>
      <c r="BY70" s="84" t="n">
        <f aca="false">BI70+BW70</f>
        <v>0</v>
      </c>
      <c r="BZ70" s="133" t="n">
        <f aca="false">BM70+$D70*Inputs!$E$13-$D70*$E70</f>
        <v>13325.052</v>
      </c>
      <c r="CA70" s="84" t="n">
        <f aca="false">BZ70*(1+$I70)</f>
        <v>15723.56136</v>
      </c>
      <c r="CB70" s="133" t="n">
        <f aca="false">CA70*Inputs!$E$14</f>
        <v>0</v>
      </c>
      <c r="CC70" s="84" t="n">
        <f aca="false">CA70-CB70</f>
        <v>15723.56136</v>
      </c>
      <c r="CD70" s="133" t="n">
        <f aca="false">BP70+$D70*Inputs!$E$13</f>
        <v>12000</v>
      </c>
      <c r="CE70" s="84" t="n">
        <f aca="false">MIN(CB70,CD70)</f>
        <v>0</v>
      </c>
      <c r="CF70" s="84" t="n">
        <f aca="false">CD70-CE70</f>
        <v>12000</v>
      </c>
      <c r="CG70" s="84" t="n">
        <f aca="false">BS70+$G70*(CD70+BS70)</f>
        <v>0</v>
      </c>
      <c r="CH70" s="84" t="n">
        <f aca="false">MIN(CB70-CE70,CG70)</f>
        <v>0</v>
      </c>
      <c r="CI70" s="84" t="n">
        <f aca="false">CG70-CH70</f>
        <v>0</v>
      </c>
      <c r="CJ70" s="84" t="n">
        <f aca="false">IF($H70=1,MIN(CB70-CE70-CH70,MAX(0,$F70/(1-$F70)*(BX70+CH70)-BY70)),0)</f>
        <v>0</v>
      </c>
      <c r="CK70" s="84" t="n">
        <f aca="false">CB70-CE70-CH70-CJ70</f>
        <v>0</v>
      </c>
      <c r="CL70" s="84" t="n">
        <f aca="false">CE70+CH70+(1-$F70)*CK70</f>
        <v>0</v>
      </c>
      <c r="CM70" s="84" t="n">
        <f aca="false">CJ70+$F70*CK70</f>
        <v>0</v>
      </c>
      <c r="CN70" s="84" t="n">
        <f aca="false">BX70+CH70+(1-$F70)*CK70</f>
        <v>0</v>
      </c>
      <c r="CO70" s="84" t="n">
        <f aca="false">BY70+CM70</f>
        <v>0</v>
      </c>
      <c r="CP70" s="133" t="n">
        <f aca="false">CC70+$D70*Inputs!$F$13-$D70*$E70</f>
        <v>19453.56136</v>
      </c>
      <c r="CQ70" s="84" t="n">
        <f aca="false">CP70*(1+$I70)</f>
        <v>22955.2024048</v>
      </c>
      <c r="CR70" s="133" t="n">
        <f aca="false">CQ70*Inputs!$F$14</f>
        <v>0</v>
      </c>
      <c r="CS70" s="84" t="n">
        <f aca="false">CQ70-CR70</f>
        <v>22955.2024048</v>
      </c>
      <c r="CT70" s="133" t="n">
        <f aca="false">CF70+$D70*Inputs!$F$13</f>
        <v>16000</v>
      </c>
      <c r="CU70" s="84" t="n">
        <f aca="false">MIN(CR70,CT70)</f>
        <v>0</v>
      </c>
      <c r="CV70" s="84" t="n">
        <f aca="false">CT70-CU70</f>
        <v>16000</v>
      </c>
      <c r="CW70" s="84" t="n">
        <f aca="false">CI70+$G70*(CT70+CI70)</f>
        <v>0</v>
      </c>
      <c r="CX70" s="84" t="n">
        <f aca="false">MIN(CR70-CU70,CW70)</f>
        <v>0</v>
      </c>
      <c r="CY70" s="84" t="n">
        <f aca="false">CW70-CX70</f>
        <v>0</v>
      </c>
      <c r="CZ70" s="84" t="n">
        <f aca="false">IF($H70=1,MIN(CR70-CU70-CX70,MAX(0,$F70/(1-$F70)*(CN70+CX70)-CO70)),0)</f>
        <v>0</v>
      </c>
      <c r="DA70" s="84" t="n">
        <f aca="false">CR70-CU70-CX70-CZ70</f>
        <v>0</v>
      </c>
      <c r="DB70" s="84" t="n">
        <f aca="false">CU70+CX70+(1-$F70)*DA70</f>
        <v>0</v>
      </c>
      <c r="DC70" s="84" t="n">
        <f aca="false">CZ70+$F70*DA70</f>
        <v>0</v>
      </c>
      <c r="DD70" s="84" t="n">
        <f aca="false">CN70+CX70+(1-$F70)*DA70</f>
        <v>0</v>
      </c>
      <c r="DE70" s="84" t="n">
        <f aca="false">CO70+DC70</f>
        <v>0</v>
      </c>
      <c r="DF70" s="133" t="n">
        <f aca="false">CS70+$D70*Inputs!$G$13-$D70*$E70</f>
        <v>26685.2024048</v>
      </c>
      <c r="DG70" s="84" t="n">
        <f aca="false">DF70*(1+$I70)</f>
        <v>31488.538837664</v>
      </c>
      <c r="DH70" s="133" t="n">
        <f aca="false">DG70*Inputs!$G$14</f>
        <v>6297.7077675328</v>
      </c>
      <c r="DI70" s="84" t="n">
        <f aca="false">DG70-DH70</f>
        <v>25190.8310701312</v>
      </c>
      <c r="DJ70" s="133" t="n">
        <f aca="false">CV70+$D70*Inputs!$G$13</f>
        <v>20000</v>
      </c>
      <c r="DK70" s="84" t="n">
        <f aca="false">MIN(DH70,DJ70)</f>
        <v>6297.7077675328</v>
      </c>
      <c r="DL70" s="84" t="n">
        <f aca="false">DJ70-DK70</f>
        <v>13702.2922324672</v>
      </c>
      <c r="DM70" s="84" t="n">
        <f aca="false">CY70+$G70*(DJ70+CY70)</f>
        <v>0</v>
      </c>
      <c r="DN70" s="84" t="n">
        <f aca="false">MIN(DH70-DK70,DM70)</f>
        <v>0</v>
      </c>
      <c r="DO70" s="84" t="n">
        <f aca="false">DM70-DN70</f>
        <v>0</v>
      </c>
      <c r="DP70" s="84" t="n">
        <f aca="false">IF($H70=1,MIN(DH70-DK70-DN70,MAX(0,$F70/(1-$F70)*(DD70+DN70)-DE70)),0)</f>
        <v>0</v>
      </c>
      <c r="DQ70" s="84" t="n">
        <f aca="false">DH70-DK70-DN70-DP70</f>
        <v>0</v>
      </c>
      <c r="DR70" s="84" t="n">
        <f aca="false">DK70+DN70+(1-$F70)*DQ70</f>
        <v>6297.7077675328</v>
      </c>
      <c r="DS70" s="84" t="n">
        <f aca="false">DP70+$F70*DQ70</f>
        <v>0</v>
      </c>
      <c r="DT70" s="84" t="n">
        <f aca="false">DD70+DN70+(1-$F70)*DQ70</f>
        <v>0</v>
      </c>
      <c r="DU70" s="84" t="n">
        <f aca="false">DE70+DS70</f>
        <v>0</v>
      </c>
      <c r="DV70" s="133" t="n">
        <f aca="false">DI70+$D70*Inputs!$H$13-$D70*$E70</f>
        <v>24920.8310701312</v>
      </c>
      <c r="DW70" s="84" t="n">
        <f aca="false">DV70*(1+$I70)</f>
        <v>29406.5806627548</v>
      </c>
      <c r="DX70" s="133" t="n">
        <f aca="false">DW70*Inputs!$H$14</f>
        <v>5881.31613255096</v>
      </c>
      <c r="DY70" s="84" t="n">
        <f aca="false">DW70-DX70</f>
        <v>23525.2645302039</v>
      </c>
      <c r="DZ70" s="133" t="n">
        <f aca="false">DL70+$D70*Inputs!$H$13</f>
        <v>13702.2922324672</v>
      </c>
      <c r="EA70" s="84" t="n">
        <f aca="false">MIN(DX70,DZ70)</f>
        <v>5881.31613255096</v>
      </c>
      <c r="EB70" s="84" t="n">
        <f aca="false">DZ70-EA70</f>
        <v>7820.97609991624</v>
      </c>
      <c r="EC70" s="84" t="n">
        <f aca="false">DO70+$G70*(DZ70+DO70)</f>
        <v>0</v>
      </c>
      <c r="ED70" s="84" t="n">
        <f aca="false">MIN(DX70-EA70,EC70)</f>
        <v>0</v>
      </c>
      <c r="EE70" s="84" t="n">
        <f aca="false">EC70-ED70</f>
        <v>0</v>
      </c>
      <c r="EF70" s="84" t="n">
        <f aca="false">IF($H70=1,MIN(DX70-EA70-ED70,MAX(0,$F70/(1-$F70)*(DT70+ED70)-DU70)),0)</f>
        <v>0</v>
      </c>
      <c r="EG70" s="84" t="n">
        <f aca="false">DX70-EA70-ED70-EF70</f>
        <v>0</v>
      </c>
      <c r="EH70" s="84" t="n">
        <f aca="false">EA70+ED70+(1-$F70)*EG70</f>
        <v>5881.31613255096</v>
      </c>
      <c r="EI70" s="84" t="n">
        <f aca="false">EF70+$F70*EG70</f>
        <v>0</v>
      </c>
      <c r="EJ70" s="84" t="n">
        <f aca="false">DT70+ED70+(1-$F70)*EG70</f>
        <v>0</v>
      </c>
      <c r="EK70" s="84" t="n">
        <f aca="false">DU70+EI70</f>
        <v>0</v>
      </c>
      <c r="EL70" s="133" t="n">
        <f aca="false">DY70+$D70*Inputs!$I$13-$D70*$E70</f>
        <v>23255.2645302039</v>
      </c>
      <c r="EM70" s="84" t="n">
        <f aca="false">EL70*(1+$I70)</f>
        <v>27441.2121456405</v>
      </c>
      <c r="EN70" s="133" t="n">
        <f aca="false">EM70*Inputs!$I$14</f>
        <v>5488.24242912811</v>
      </c>
      <c r="EO70" s="84" t="n">
        <f aca="false">EM70-EN70</f>
        <v>21952.9697165124</v>
      </c>
      <c r="EP70" s="133" t="n">
        <f aca="false">EB70+$D70*Inputs!$I$13</f>
        <v>7820.97609991624</v>
      </c>
      <c r="EQ70" s="84" t="n">
        <f aca="false">MIN(EN70,EP70)</f>
        <v>5488.24242912811</v>
      </c>
      <c r="ER70" s="84" t="n">
        <f aca="false">EP70-EQ70</f>
        <v>2332.73367078813</v>
      </c>
      <c r="ES70" s="84" t="n">
        <f aca="false">EE70+$G70*(EP70+EE70)</f>
        <v>0</v>
      </c>
      <c r="ET70" s="84" t="n">
        <f aca="false">MIN(EN70-EQ70,ES70)</f>
        <v>0</v>
      </c>
      <c r="EU70" s="84" t="n">
        <f aca="false">ES70-ET70</f>
        <v>0</v>
      </c>
      <c r="EV70" s="84" t="n">
        <f aca="false">IF($H70=1,MIN(EN70-EQ70-ET70,MAX(0,$F70/(1-$F70)*(EJ70+ET70)-EK70)),0)</f>
        <v>0</v>
      </c>
      <c r="EW70" s="84" t="n">
        <f aca="false">EN70-EQ70-ET70-EV70</f>
        <v>0</v>
      </c>
      <c r="EX70" s="84" t="n">
        <f aca="false">EQ70+ET70+(1-$F70)*EW70</f>
        <v>5488.24242912811</v>
      </c>
      <c r="EY70" s="84" t="n">
        <f aca="false">EV70+$F70*EW70</f>
        <v>0</v>
      </c>
      <c r="EZ70" s="84" t="n">
        <f aca="false">EJ70+ET70+(1-$F70)*EW70</f>
        <v>0</v>
      </c>
      <c r="FA70" s="84" t="n">
        <f aca="false">EK70+EY70</f>
        <v>0</v>
      </c>
      <c r="FB70" s="133" t="n">
        <f aca="false">EO70+$D70*Inputs!$J$13-$D70*$E70</f>
        <v>21682.9697165124</v>
      </c>
      <c r="FC70" s="84" t="n">
        <f aca="false">FB70*(1+$I70)</f>
        <v>25585.9042654847</v>
      </c>
      <c r="FD70" s="133" t="n">
        <f aca="false">FC70*Inputs!$J$14</f>
        <v>5117.18085309694</v>
      </c>
      <c r="FE70" s="84" t="n">
        <f aca="false">FC70-FD70</f>
        <v>20468.7234123877</v>
      </c>
      <c r="FF70" s="133" t="n">
        <f aca="false">ER70+$D70*Inputs!$J$13</f>
        <v>2332.73367078813</v>
      </c>
      <c r="FG70" s="84" t="n">
        <f aca="false">MIN(FD70,FF70)</f>
        <v>2332.73367078813</v>
      </c>
      <c r="FH70" s="84" t="n">
        <f aca="false">FF70-FG70</f>
        <v>0</v>
      </c>
      <c r="FI70" s="84" t="n">
        <f aca="false">EU70+$G70*(FF70+EU70)</f>
        <v>0</v>
      </c>
      <c r="FJ70" s="84" t="n">
        <f aca="false">MIN(FD70-FG70,FI70)</f>
        <v>0</v>
      </c>
      <c r="FK70" s="84" t="n">
        <f aca="false">FI70-FJ70</f>
        <v>0</v>
      </c>
      <c r="FL70" s="84" t="n">
        <f aca="false">IF($H70=1,MIN(FD70-FG70-FJ70,MAX(0,$F70/(1-$F70)*(EZ70+FJ70)-FA70)),0)</f>
        <v>0</v>
      </c>
      <c r="FM70" s="84" t="n">
        <f aca="false">FD70-FG70-FJ70-FL70</f>
        <v>2784.44718230881</v>
      </c>
      <c r="FN70" s="84" t="n">
        <f aca="false">FG70+FJ70+(1-$F70)*FM70</f>
        <v>4560.29141663517</v>
      </c>
      <c r="FO70" s="84" t="n">
        <f aca="false">FL70+$F70*FM70</f>
        <v>556.889436461761</v>
      </c>
      <c r="FP70" s="84" t="n">
        <f aca="false">EZ70+FJ70+(1-$F70)*FM70</f>
        <v>2227.55774584705</v>
      </c>
      <c r="FQ70" s="84" t="n">
        <f aca="false">FA70+FO70</f>
        <v>556.889436461761</v>
      </c>
      <c r="FR70" s="133" t="n">
        <f aca="false">FE70+$D70*Inputs!$K$13-$D70*$E70</f>
        <v>20198.7234123877</v>
      </c>
      <c r="FS70" s="84" t="n">
        <f aca="false">FR70*(1+$I70)</f>
        <v>23834.4936266175</v>
      </c>
      <c r="FT70" s="133" t="n">
        <f aca="false">FS70*Inputs!$K$14</f>
        <v>4766.89872532351</v>
      </c>
      <c r="FU70" s="84" t="n">
        <f aca="false">FS70-FT70</f>
        <v>19067.594901294</v>
      </c>
      <c r="FV70" s="133" t="n">
        <f aca="false">FH70+$D70*Inputs!$K$13</f>
        <v>0</v>
      </c>
      <c r="FW70" s="84" t="n">
        <f aca="false">MIN(FT70,FV70)</f>
        <v>0</v>
      </c>
      <c r="FX70" s="84" t="n">
        <f aca="false">FV70-FW70</f>
        <v>0</v>
      </c>
      <c r="FY70" s="84" t="n">
        <f aca="false">FK70+$G70*(FV70+FK70)</f>
        <v>0</v>
      </c>
      <c r="FZ70" s="84" t="n">
        <f aca="false">MIN(FT70-FW70,FY70)</f>
        <v>0</v>
      </c>
      <c r="GA70" s="84" t="n">
        <f aca="false">FY70-FZ70</f>
        <v>0</v>
      </c>
      <c r="GB70" s="84" t="n">
        <f aca="false">IF($H70=1,MIN(FT70-FW70-FZ70,MAX(0,$F70/(1-$F70)*(FP70+FZ70)-FQ70)),0)</f>
        <v>0</v>
      </c>
      <c r="GC70" s="84" t="n">
        <f aca="false">FT70-FW70-FZ70-GB70</f>
        <v>4766.89872532351</v>
      </c>
      <c r="GD70" s="84" t="n">
        <f aca="false">FW70+FZ70+(1-$F70)*GC70</f>
        <v>3813.5189802588</v>
      </c>
      <c r="GE70" s="84" t="n">
        <f aca="false">GB70+$F70*GC70</f>
        <v>953.379745064701</v>
      </c>
      <c r="GF70" s="84" t="n">
        <f aca="false">FP70+FZ70+(1-$F70)*GC70</f>
        <v>6041.07672610585</v>
      </c>
      <c r="GG70" s="84" t="n">
        <f aca="false">FQ70+GE70</f>
        <v>1510.26918152646</v>
      </c>
      <c r="GH70" s="133" t="n">
        <f aca="false">FU70+$D70*Inputs!$L$13-$D70*$E70</f>
        <v>18797.594901294</v>
      </c>
      <c r="GI70" s="84" t="n">
        <f aca="false">GH70*(1+$I70)</f>
        <v>22181.1619835269</v>
      </c>
      <c r="GJ70" s="133" t="n">
        <f aca="false">GI70*Inputs!$L$14</f>
        <v>22181.1619835269</v>
      </c>
      <c r="GK70" s="84" t="n">
        <f aca="false">GI70-GJ70</f>
        <v>0</v>
      </c>
      <c r="GL70" s="133" t="n">
        <f aca="false">FX70+$D70*Inputs!$L$13</f>
        <v>0</v>
      </c>
      <c r="GM70" s="84" t="n">
        <f aca="false">MIN(GJ70,GL70)</f>
        <v>0</v>
      </c>
      <c r="GN70" s="84" t="n">
        <f aca="false">GL70-GM70</f>
        <v>0</v>
      </c>
      <c r="GO70" s="84" t="n">
        <f aca="false">GA70+$G70*(GL70+GA70)</f>
        <v>0</v>
      </c>
      <c r="GP70" s="84" t="n">
        <f aca="false">MIN(GJ70-GM70,GO70)</f>
        <v>0</v>
      </c>
      <c r="GQ70" s="84" t="n">
        <f aca="false">GO70-GP70</f>
        <v>0</v>
      </c>
      <c r="GR70" s="84" t="n">
        <f aca="false">IF($H70=1,MIN(GJ70-GM70-GP70,MAX(0,$F70/(1-$F70)*(GF70+GP70)-GG70)),0)</f>
        <v>0</v>
      </c>
      <c r="GS70" s="84" t="n">
        <f aca="false">GJ70-GM70-GP70-GR70</f>
        <v>22181.1619835269</v>
      </c>
      <c r="GT70" s="84" t="n">
        <f aca="false">GM70+GP70+(1-$F70)*GS70</f>
        <v>17744.9295868216</v>
      </c>
      <c r="GU70" s="84" t="n">
        <f aca="false">GR70+$F70*GS70</f>
        <v>4436.23239670539</v>
      </c>
      <c r="GV70" s="84" t="n">
        <f aca="false">GF70+GP70+(1-$F70)*GS70</f>
        <v>23786.0063129274</v>
      </c>
      <c r="GW70" s="84" t="n">
        <f aca="false">GG70+GU70</f>
        <v>5946.50157823185</v>
      </c>
    </row>
    <row r="71" customFormat="false" ht="15" hidden="false" customHeight="false" outlineLevel="0" collapsed="false">
      <c r="A71" s="5" t="s">
        <v>637</v>
      </c>
      <c r="B71" s="5" t="s">
        <v>638</v>
      </c>
      <c r="C71" s="135" t="n">
        <v>19</v>
      </c>
      <c r="D71" s="47" t="n">
        <f aca="false">Inputs!$C$6</f>
        <v>20000</v>
      </c>
      <c r="E71" s="35" t="n">
        <f aca="false">Inputs!$C$19</f>
        <v>0.0135</v>
      </c>
      <c r="F71" s="36" t="n">
        <f aca="false">Inputs!$C$20</f>
        <v>0.2</v>
      </c>
      <c r="G71" s="30" t="n">
        <v>0</v>
      </c>
      <c r="H71" s="27" t="n">
        <v>0</v>
      </c>
      <c r="I71" s="132" t="n">
        <f aca="false">Inputs!$C$38+$C71*Inputs!$C$39</f>
        <v>0.19</v>
      </c>
      <c r="J71" s="36" t="n">
        <f aca="false">Inputs!$C$9</f>
        <v>0.15</v>
      </c>
      <c r="K71" s="89" t="n">
        <f aca="false">IRR(W71:AG71,0.1)</f>
        <v>0.149957366423966</v>
      </c>
      <c r="L71" s="45" t="n">
        <f aca="false">W71+NPV($J71,X71:AG71)</f>
        <v>-3.3469810322149</v>
      </c>
      <c r="M71" s="45" t="n">
        <f aca="false">SUM(BF71,BV71,CL71,DB71,DR71,EH71,EX71,FN71,GD71,GT71)</f>
        <v>46142.0744664993</v>
      </c>
      <c r="N71" s="43" t="n">
        <f aca="false">IF($D71*SUM(Inputs!$C$13:$L$13)=0,0,M71/($D71*SUM(Inputs!$C$13:$L$13)))</f>
        <v>2.30710372332496</v>
      </c>
      <c r="O71" s="42" t="n">
        <f aca="false">$D71*$E71*COLUMNS(Inputs!$C$13:$L$13)</f>
        <v>2700</v>
      </c>
      <c r="P71" s="45" t="n">
        <f aca="false">SUM(BG71,BW71,CM71,DC71,DS71,EI71,EY71,FO71,GE71,GU71)</f>
        <v>6535.51861662482</v>
      </c>
      <c r="Q71" s="42" t="n">
        <f aca="false">PV($J71,COLUMNS(Inputs!$C$13:$L$13),-$D71*$E71,0,1)</f>
        <v>1558.32765832774</v>
      </c>
      <c r="R71" s="45" t="n">
        <f aca="false">NPV($J71,BG71,BW71,CM71,DC71,DS71,EI71,EY71,FO71,GE71,GU71)</f>
        <v>1712.63089422923</v>
      </c>
      <c r="S71" s="45" t="n">
        <f aca="false">Q71+R71</f>
        <v>3270.95855255697</v>
      </c>
      <c r="T71" s="32" t="n">
        <f aca="false">IF(S71=0,0,Q71/S71)</f>
        <v>0.47641314718267</v>
      </c>
      <c r="U71" s="45" t="n">
        <f aca="false">ROUND(ABS(GK71)+ABS(SUM(AV71,BL71,CB71,CR71,DH71,DX71,EN71,FD71,FT71,GJ71)-M71-P71)+ABS(S71-(AH71+NPV($J71,AI71:AR71))),6)</f>
        <v>0</v>
      </c>
      <c r="W71" s="133" t="n">
        <f aca="false">-$D71*Inputs!$C$13</f>
        <v>-4000</v>
      </c>
      <c r="X71" s="133" t="n">
        <f aca="false">BF71-$D71*Inputs!$D$13</f>
        <v>-4000</v>
      </c>
      <c r="Y71" s="133" t="n">
        <f aca="false">BV71-$D71*Inputs!$E$13</f>
        <v>-4000</v>
      </c>
      <c r="Z71" s="133" t="n">
        <f aca="false">CL71-$D71*Inputs!$F$13</f>
        <v>-4000</v>
      </c>
      <c r="AA71" s="133" t="n">
        <f aca="false">DB71-$D71*Inputs!$G$13</f>
        <v>-4000</v>
      </c>
      <c r="AB71" s="133" t="n">
        <f aca="false">DR71-$D71*Inputs!$H$13</f>
        <v>6477.4820949454</v>
      </c>
      <c r="AC71" s="133" t="n">
        <f aca="false">EH71-$D71*Inputs!$I$13</f>
        <v>6102.30295438802</v>
      </c>
      <c r="AD71" s="133" t="n">
        <f aca="false">EX71-$D71*Inputs!$J$13</f>
        <v>5745.1324125774</v>
      </c>
      <c r="AE71" s="133" t="n">
        <f aca="false">FN71-$D71*Inputs!$K$13</f>
        <v>4659.10135303678</v>
      </c>
      <c r="AF71" s="133" t="n">
        <f aca="false">GD71-$D71*Inputs!$L$13</f>
        <v>4065.12077283884</v>
      </c>
      <c r="AG71" s="84" t="n">
        <f aca="false">GT71</f>
        <v>19092.9348787129</v>
      </c>
      <c r="AH71" s="84" t="n">
        <f aca="false">$D71*$E71</f>
        <v>270</v>
      </c>
      <c r="AI71" s="84" t="n">
        <f aca="false">BG71+$D71*$E71</f>
        <v>270</v>
      </c>
      <c r="AJ71" s="84" t="n">
        <f aca="false">BW71+$D71*$E71</f>
        <v>270</v>
      </c>
      <c r="AK71" s="84" t="n">
        <f aca="false">CM71+$D71*$E71</f>
        <v>270</v>
      </c>
      <c r="AL71" s="84" t="n">
        <f aca="false">DC71+$D71*$E71</f>
        <v>270</v>
      </c>
      <c r="AM71" s="84" t="n">
        <f aca="false">DS71+$D71*$E71</f>
        <v>270</v>
      </c>
      <c r="AN71" s="84" t="n">
        <f aca="false">EI71+$D71*$E71</f>
        <v>270</v>
      </c>
      <c r="AO71" s="84" t="n">
        <f aca="false">EY71+$D71*$E71</f>
        <v>270</v>
      </c>
      <c r="AP71" s="84" t="n">
        <f aca="false">FO71+$D71*$E71</f>
        <v>1016.0047037369</v>
      </c>
      <c r="AQ71" s="84" t="n">
        <f aca="false">GE71+$D71*$E71</f>
        <v>1286.28019320971</v>
      </c>
      <c r="AR71" s="84" t="n">
        <f aca="false">GU71</f>
        <v>4773.23371967821</v>
      </c>
      <c r="AT71" s="133" t="n">
        <f aca="false">$D71*Inputs!$C$13-$D71*$E71</f>
        <v>3730</v>
      </c>
      <c r="AU71" s="84" t="n">
        <f aca="false">AT71*(1+$I71)</f>
        <v>4438.7</v>
      </c>
      <c r="AV71" s="133" t="n">
        <f aca="false">AU71*Inputs!$C$14</f>
        <v>0</v>
      </c>
      <c r="AW71" s="84" t="n">
        <f aca="false">AU71-AV71</f>
        <v>4438.7</v>
      </c>
      <c r="AX71" s="133" t="n">
        <f aca="false">$D71*Inputs!$C$13</f>
        <v>4000</v>
      </c>
      <c r="AY71" s="84" t="n">
        <f aca="false">MIN(AV71,AX71)</f>
        <v>0</v>
      </c>
      <c r="AZ71" s="84" t="n">
        <f aca="false">AX71-AY71</f>
        <v>4000</v>
      </c>
      <c r="BA71" s="84" t="n">
        <f aca="false">$G71*AX71</f>
        <v>0</v>
      </c>
      <c r="BB71" s="84" t="n">
        <f aca="false">MIN(AV71-AY71,BA71)</f>
        <v>0</v>
      </c>
      <c r="BC71" s="84" t="n">
        <f aca="false">BA71-BB71</f>
        <v>0</v>
      </c>
      <c r="BD71" s="84" t="n">
        <f aca="false">IF($H71=1,MIN(AV71-AY71-BB71,MAX(0,$F71/(1-$F71)*BB71)),0)</f>
        <v>0</v>
      </c>
      <c r="BE71" s="84" t="n">
        <f aca="false">AV71-AY71-BB71-BD71</f>
        <v>0</v>
      </c>
      <c r="BF71" s="84" t="n">
        <f aca="false">AY71+BB71+(1-$F71)*BE71</f>
        <v>0</v>
      </c>
      <c r="BG71" s="84" t="n">
        <f aca="false">BD71+$F71*BE71</f>
        <v>0</v>
      </c>
      <c r="BH71" s="84" t="n">
        <f aca="false">BB71+(1-$F71)*BE71</f>
        <v>0</v>
      </c>
      <c r="BI71" s="84" t="n">
        <f aca="false">BG71</f>
        <v>0</v>
      </c>
      <c r="BJ71" s="133" t="n">
        <f aca="false">AW71+$D71*Inputs!$D$13-$D71*$E71</f>
        <v>8168.7</v>
      </c>
      <c r="BK71" s="84" t="n">
        <f aca="false">BJ71*(1+$I71)</f>
        <v>9720.753</v>
      </c>
      <c r="BL71" s="133" t="n">
        <f aca="false">BK71*Inputs!$D$14</f>
        <v>0</v>
      </c>
      <c r="BM71" s="84" t="n">
        <f aca="false">BK71-BL71</f>
        <v>9720.753</v>
      </c>
      <c r="BN71" s="133" t="n">
        <f aca="false">AZ71+$D71*Inputs!$D$13</f>
        <v>8000</v>
      </c>
      <c r="BO71" s="84" t="n">
        <f aca="false">MIN(BL71,BN71)</f>
        <v>0</v>
      </c>
      <c r="BP71" s="84" t="n">
        <f aca="false">BN71-BO71</f>
        <v>8000</v>
      </c>
      <c r="BQ71" s="84" t="n">
        <f aca="false">BC71+$G71*(BN71+BC71)</f>
        <v>0</v>
      </c>
      <c r="BR71" s="84" t="n">
        <f aca="false">MIN(BL71-BO71,BQ71)</f>
        <v>0</v>
      </c>
      <c r="BS71" s="84" t="n">
        <f aca="false">BQ71-BR71</f>
        <v>0</v>
      </c>
      <c r="BT71" s="84" t="n">
        <f aca="false">IF($H71=1,MIN(BL71-BO71-BR71,MAX(0,$F71/(1-$F71)*(BH71+BR71)-BI71)),0)</f>
        <v>0</v>
      </c>
      <c r="BU71" s="84" t="n">
        <f aca="false">BL71-BO71-BR71-BT71</f>
        <v>0</v>
      </c>
      <c r="BV71" s="84" t="n">
        <f aca="false">BO71+BR71+(1-$F71)*BU71</f>
        <v>0</v>
      </c>
      <c r="BW71" s="84" t="n">
        <f aca="false">BT71+$F71*BU71</f>
        <v>0</v>
      </c>
      <c r="BX71" s="84" t="n">
        <f aca="false">BH71+BR71+(1-$F71)*BU71</f>
        <v>0</v>
      </c>
      <c r="BY71" s="84" t="n">
        <f aca="false">BI71+BW71</f>
        <v>0</v>
      </c>
      <c r="BZ71" s="133" t="n">
        <f aca="false">BM71+$D71*Inputs!$E$13-$D71*$E71</f>
        <v>13450.753</v>
      </c>
      <c r="CA71" s="84" t="n">
        <f aca="false">BZ71*(1+$I71)</f>
        <v>16006.39607</v>
      </c>
      <c r="CB71" s="133" t="n">
        <f aca="false">CA71*Inputs!$E$14</f>
        <v>0</v>
      </c>
      <c r="CC71" s="84" t="n">
        <f aca="false">CA71-CB71</f>
        <v>16006.39607</v>
      </c>
      <c r="CD71" s="133" t="n">
        <f aca="false">BP71+$D71*Inputs!$E$13</f>
        <v>12000</v>
      </c>
      <c r="CE71" s="84" t="n">
        <f aca="false">MIN(CB71,CD71)</f>
        <v>0</v>
      </c>
      <c r="CF71" s="84" t="n">
        <f aca="false">CD71-CE71</f>
        <v>12000</v>
      </c>
      <c r="CG71" s="84" t="n">
        <f aca="false">BS71+$G71*(CD71+BS71)</f>
        <v>0</v>
      </c>
      <c r="CH71" s="84" t="n">
        <f aca="false">MIN(CB71-CE71,CG71)</f>
        <v>0</v>
      </c>
      <c r="CI71" s="84" t="n">
        <f aca="false">CG71-CH71</f>
        <v>0</v>
      </c>
      <c r="CJ71" s="84" t="n">
        <f aca="false">IF($H71=1,MIN(CB71-CE71-CH71,MAX(0,$F71/(1-$F71)*(BX71+CH71)-BY71)),0)</f>
        <v>0</v>
      </c>
      <c r="CK71" s="84" t="n">
        <f aca="false">CB71-CE71-CH71-CJ71</f>
        <v>0</v>
      </c>
      <c r="CL71" s="84" t="n">
        <f aca="false">CE71+CH71+(1-$F71)*CK71</f>
        <v>0</v>
      </c>
      <c r="CM71" s="84" t="n">
        <f aca="false">CJ71+$F71*CK71</f>
        <v>0</v>
      </c>
      <c r="CN71" s="84" t="n">
        <f aca="false">BX71+CH71+(1-$F71)*CK71</f>
        <v>0</v>
      </c>
      <c r="CO71" s="84" t="n">
        <f aca="false">BY71+CM71</f>
        <v>0</v>
      </c>
      <c r="CP71" s="133" t="n">
        <f aca="false">CC71+$D71*Inputs!$F$13-$D71*$E71</f>
        <v>19736.39607</v>
      </c>
      <c r="CQ71" s="84" t="n">
        <f aca="false">CP71*(1+$I71)</f>
        <v>23486.3113233</v>
      </c>
      <c r="CR71" s="133" t="n">
        <f aca="false">CQ71*Inputs!$F$14</f>
        <v>0</v>
      </c>
      <c r="CS71" s="84" t="n">
        <f aca="false">CQ71-CR71</f>
        <v>23486.3113233</v>
      </c>
      <c r="CT71" s="133" t="n">
        <f aca="false">CF71+$D71*Inputs!$F$13</f>
        <v>16000</v>
      </c>
      <c r="CU71" s="84" t="n">
        <f aca="false">MIN(CR71,CT71)</f>
        <v>0</v>
      </c>
      <c r="CV71" s="84" t="n">
        <f aca="false">CT71-CU71</f>
        <v>16000</v>
      </c>
      <c r="CW71" s="84" t="n">
        <f aca="false">CI71+$G71*(CT71+CI71)</f>
        <v>0</v>
      </c>
      <c r="CX71" s="84" t="n">
        <f aca="false">MIN(CR71-CU71,CW71)</f>
        <v>0</v>
      </c>
      <c r="CY71" s="84" t="n">
        <f aca="false">CW71-CX71</f>
        <v>0</v>
      </c>
      <c r="CZ71" s="84" t="n">
        <f aca="false">IF($H71=1,MIN(CR71-CU71-CX71,MAX(0,$F71/(1-$F71)*(CN71+CX71)-CO71)),0)</f>
        <v>0</v>
      </c>
      <c r="DA71" s="84" t="n">
        <f aca="false">CR71-CU71-CX71-CZ71</f>
        <v>0</v>
      </c>
      <c r="DB71" s="84" t="n">
        <f aca="false">CU71+CX71+(1-$F71)*DA71</f>
        <v>0</v>
      </c>
      <c r="DC71" s="84" t="n">
        <f aca="false">CZ71+$F71*DA71</f>
        <v>0</v>
      </c>
      <c r="DD71" s="84" t="n">
        <f aca="false">CN71+CX71+(1-$F71)*DA71</f>
        <v>0</v>
      </c>
      <c r="DE71" s="84" t="n">
        <f aca="false">CO71+DC71</f>
        <v>0</v>
      </c>
      <c r="DF71" s="133" t="n">
        <f aca="false">CS71+$D71*Inputs!$G$13-$D71*$E71</f>
        <v>27216.3113233</v>
      </c>
      <c r="DG71" s="84" t="n">
        <f aca="false">DF71*(1+$I71)</f>
        <v>32387.410474727</v>
      </c>
      <c r="DH71" s="133" t="n">
        <f aca="false">DG71*Inputs!$G$14</f>
        <v>6477.4820949454</v>
      </c>
      <c r="DI71" s="84" t="n">
        <f aca="false">DG71-DH71</f>
        <v>25909.9283797816</v>
      </c>
      <c r="DJ71" s="133" t="n">
        <f aca="false">CV71+$D71*Inputs!$G$13</f>
        <v>20000</v>
      </c>
      <c r="DK71" s="84" t="n">
        <f aca="false">MIN(DH71,DJ71)</f>
        <v>6477.4820949454</v>
      </c>
      <c r="DL71" s="84" t="n">
        <f aca="false">DJ71-DK71</f>
        <v>13522.5179050546</v>
      </c>
      <c r="DM71" s="84" t="n">
        <f aca="false">CY71+$G71*(DJ71+CY71)</f>
        <v>0</v>
      </c>
      <c r="DN71" s="84" t="n">
        <f aca="false">MIN(DH71-DK71,DM71)</f>
        <v>0</v>
      </c>
      <c r="DO71" s="84" t="n">
        <f aca="false">DM71-DN71</f>
        <v>0</v>
      </c>
      <c r="DP71" s="84" t="n">
        <f aca="false">IF($H71=1,MIN(DH71-DK71-DN71,MAX(0,$F71/(1-$F71)*(DD71+DN71)-DE71)),0)</f>
        <v>0</v>
      </c>
      <c r="DQ71" s="84" t="n">
        <f aca="false">DH71-DK71-DN71-DP71</f>
        <v>0</v>
      </c>
      <c r="DR71" s="84" t="n">
        <f aca="false">DK71+DN71+(1-$F71)*DQ71</f>
        <v>6477.4820949454</v>
      </c>
      <c r="DS71" s="84" t="n">
        <f aca="false">DP71+$F71*DQ71</f>
        <v>0</v>
      </c>
      <c r="DT71" s="84" t="n">
        <f aca="false">DD71+DN71+(1-$F71)*DQ71</f>
        <v>0</v>
      </c>
      <c r="DU71" s="84" t="n">
        <f aca="false">DE71+DS71</f>
        <v>0</v>
      </c>
      <c r="DV71" s="133" t="n">
        <f aca="false">DI71+$D71*Inputs!$H$13-$D71*$E71</f>
        <v>25639.9283797816</v>
      </c>
      <c r="DW71" s="84" t="n">
        <f aca="false">DV71*(1+$I71)</f>
        <v>30511.5147719401</v>
      </c>
      <c r="DX71" s="133" t="n">
        <f aca="false">DW71*Inputs!$H$14</f>
        <v>6102.30295438802</v>
      </c>
      <c r="DY71" s="84" t="n">
        <f aca="false">DW71-DX71</f>
        <v>24409.2118175521</v>
      </c>
      <c r="DZ71" s="133" t="n">
        <f aca="false">DL71+$D71*Inputs!$H$13</f>
        <v>13522.5179050546</v>
      </c>
      <c r="EA71" s="84" t="n">
        <f aca="false">MIN(DX71,DZ71)</f>
        <v>6102.30295438802</v>
      </c>
      <c r="EB71" s="84" t="n">
        <f aca="false">DZ71-EA71</f>
        <v>7420.21495066658</v>
      </c>
      <c r="EC71" s="84" t="n">
        <f aca="false">DO71+$G71*(DZ71+DO71)</f>
        <v>0</v>
      </c>
      <c r="ED71" s="84" t="n">
        <f aca="false">MIN(DX71-EA71,EC71)</f>
        <v>0</v>
      </c>
      <c r="EE71" s="84" t="n">
        <f aca="false">EC71-ED71</f>
        <v>0</v>
      </c>
      <c r="EF71" s="84" t="n">
        <f aca="false">IF($H71=1,MIN(DX71-EA71-ED71,MAX(0,$F71/(1-$F71)*(DT71+ED71)-DU71)),0)</f>
        <v>0</v>
      </c>
      <c r="EG71" s="84" t="n">
        <f aca="false">DX71-EA71-ED71-EF71</f>
        <v>0</v>
      </c>
      <c r="EH71" s="84" t="n">
        <f aca="false">EA71+ED71+(1-$F71)*EG71</f>
        <v>6102.30295438802</v>
      </c>
      <c r="EI71" s="84" t="n">
        <f aca="false">EF71+$F71*EG71</f>
        <v>0</v>
      </c>
      <c r="EJ71" s="84" t="n">
        <f aca="false">DT71+ED71+(1-$F71)*EG71</f>
        <v>0</v>
      </c>
      <c r="EK71" s="84" t="n">
        <f aca="false">DU71+EI71</f>
        <v>0</v>
      </c>
      <c r="EL71" s="133" t="n">
        <f aca="false">DY71+$D71*Inputs!$I$13-$D71*$E71</f>
        <v>24139.2118175521</v>
      </c>
      <c r="EM71" s="84" t="n">
        <f aca="false">EL71*(1+$I71)</f>
        <v>28725.662062887</v>
      </c>
      <c r="EN71" s="133" t="n">
        <f aca="false">EM71*Inputs!$I$14</f>
        <v>5745.1324125774</v>
      </c>
      <c r="EO71" s="84" t="n">
        <f aca="false">EM71-EN71</f>
        <v>22980.5296503096</v>
      </c>
      <c r="EP71" s="133" t="n">
        <f aca="false">EB71+$D71*Inputs!$I$13</f>
        <v>7420.21495066658</v>
      </c>
      <c r="EQ71" s="84" t="n">
        <f aca="false">MIN(EN71,EP71)</f>
        <v>5745.1324125774</v>
      </c>
      <c r="ER71" s="84" t="n">
        <f aca="false">EP71-EQ71</f>
        <v>1675.08253808918</v>
      </c>
      <c r="ES71" s="84" t="n">
        <f aca="false">EE71+$G71*(EP71+EE71)</f>
        <v>0</v>
      </c>
      <c r="ET71" s="84" t="n">
        <f aca="false">MIN(EN71-EQ71,ES71)</f>
        <v>0</v>
      </c>
      <c r="EU71" s="84" t="n">
        <f aca="false">ES71-ET71</f>
        <v>0</v>
      </c>
      <c r="EV71" s="84" t="n">
        <f aca="false">IF($H71=1,MIN(EN71-EQ71-ET71,MAX(0,$F71/(1-$F71)*(EJ71+ET71)-EK71)),0)</f>
        <v>0</v>
      </c>
      <c r="EW71" s="84" t="n">
        <f aca="false">EN71-EQ71-ET71-EV71</f>
        <v>0</v>
      </c>
      <c r="EX71" s="84" t="n">
        <f aca="false">EQ71+ET71+(1-$F71)*EW71</f>
        <v>5745.1324125774</v>
      </c>
      <c r="EY71" s="84" t="n">
        <f aca="false">EV71+$F71*EW71</f>
        <v>0</v>
      </c>
      <c r="EZ71" s="84" t="n">
        <f aca="false">EJ71+ET71+(1-$F71)*EW71</f>
        <v>0</v>
      </c>
      <c r="FA71" s="84" t="n">
        <f aca="false">EK71+EY71</f>
        <v>0</v>
      </c>
      <c r="FB71" s="133" t="n">
        <f aca="false">EO71+$D71*Inputs!$J$13-$D71*$E71</f>
        <v>22710.5296503096</v>
      </c>
      <c r="FC71" s="84" t="n">
        <f aca="false">FB71*(1+$I71)</f>
        <v>27025.5302838684</v>
      </c>
      <c r="FD71" s="133" t="n">
        <f aca="false">FC71*Inputs!$J$14</f>
        <v>5405.10605677368</v>
      </c>
      <c r="FE71" s="84" t="n">
        <f aca="false">FC71-FD71</f>
        <v>21620.4242270947</v>
      </c>
      <c r="FF71" s="133" t="n">
        <f aca="false">ER71+$D71*Inputs!$J$13</f>
        <v>1675.08253808918</v>
      </c>
      <c r="FG71" s="84" t="n">
        <f aca="false">MIN(FD71,FF71)</f>
        <v>1675.08253808918</v>
      </c>
      <c r="FH71" s="84" t="n">
        <f aca="false">FF71-FG71</f>
        <v>0</v>
      </c>
      <c r="FI71" s="84" t="n">
        <f aca="false">EU71+$G71*(FF71+EU71)</f>
        <v>0</v>
      </c>
      <c r="FJ71" s="84" t="n">
        <f aca="false">MIN(FD71-FG71,FI71)</f>
        <v>0</v>
      </c>
      <c r="FK71" s="84" t="n">
        <f aca="false">FI71-FJ71</f>
        <v>0</v>
      </c>
      <c r="FL71" s="84" t="n">
        <f aca="false">IF($H71=1,MIN(FD71-FG71-FJ71,MAX(0,$F71/(1-$F71)*(EZ71+FJ71)-FA71)),0)</f>
        <v>0</v>
      </c>
      <c r="FM71" s="84" t="n">
        <f aca="false">FD71-FG71-FJ71-FL71</f>
        <v>3730.0235186845</v>
      </c>
      <c r="FN71" s="84" t="n">
        <f aca="false">FG71+FJ71+(1-$F71)*FM71</f>
        <v>4659.10135303678</v>
      </c>
      <c r="FO71" s="84" t="n">
        <f aca="false">FL71+$F71*FM71</f>
        <v>746.0047037369</v>
      </c>
      <c r="FP71" s="84" t="n">
        <f aca="false">EZ71+FJ71+(1-$F71)*FM71</f>
        <v>2984.0188149476</v>
      </c>
      <c r="FQ71" s="84" t="n">
        <f aca="false">FA71+FO71</f>
        <v>746.0047037369</v>
      </c>
      <c r="FR71" s="133" t="n">
        <f aca="false">FE71+$D71*Inputs!$K$13-$D71*$E71</f>
        <v>21350.4242270947</v>
      </c>
      <c r="FS71" s="84" t="n">
        <f aca="false">FR71*(1+$I71)</f>
        <v>25407.0048302427</v>
      </c>
      <c r="FT71" s="133" t="n">
        <f aca="false">FS71*Inputs!$K$14</f>
        <v>5081.40096604854</v>
      </c>
      <c r="FU71" s="84" t="n">
        <f aca="false">FS71-FT71</f>
        <v>20325.6038641942</v>
      </c>
      <c r="FV71" s="133" t="n">
        <f aca="false">FH71+$D71*Inputs!$K$13</f>
        <v>0</v>
      </c>
      <c r="FW71" s="84" t="n">
        <f aca="false">MIN(FT71,FV71)</f>
        <v>0</v>
      </c>
      <c r="FX71" s="84" t="n">
        <f aca="false">FV71-FW71</f>
        <v>0</v>
      </c>
      <c r="FY71" s="84" t="n">
        <f aca="false">FK71+$G71*(FV71+FK71)</f>
        <v>0</v>
      </c>
      <c r="FZ71" s="84" t="n">
        <f aca="false">MIN(FT71-FW71,FY71)</f>
        <v>0</v>
      </c>
      <c r="GA71" s="84" t="n">
        <f aca="false">FY71-FZ71</f>
        <v>0</v>
      </c>
      <c r="GB71" s="84" t="n">
        <f aca="false">IF($H71=1,MIN(FT71-FW71-FZ71,MAX(0,$F71/(1-$F71)*(FP71+FZ71)-FQ71)),0)</f>
        <v>0</v>
      </c>
      <c r="GC71" s="84" t="n">
        <f aca="false">FT71-FW71-FZ71-GB71</f>
        <v>5081.40096604854</v>
      </c>
      <c r="GD71" s="84" t="n">
        <f aca="false">FW71+FZ71+(1-$F71)*GC71</f>
        <v>4065.12077283884</v>
      </c>
      <c r="GE71" s="84" t="n">
        <f aca="false">GB71+$F71*GC71</f>
        <v>1016.28019320971</v>
      </c>
      <c r="GF71" s="84" t="n">
        <f aca="false">FP71+FZ71+(1-$F71)*GC71</f>
        <v>7049.13958778643</v>
      </c>
      <c r="GG71" s="84" t="n">
        <f aca="false">FQ71+GE71</f>
        <v>1762.28489694661</v>
      </c>
      <c r="GH71" s="133" t="n">
        <f aca="false">FU71+$D71*Inputs!$L$13-$D71*$E71</f>
        <v>20055.6038641942</v>
      </c>
      <c r="GI71" s="84" t="n">
        <f aca="false">GH71*(1+$I71)</f>
        <v>23866.1685983911</v>
      </c>
      <c r="GJ71" s="133" t="n">
        <f aca="false">GI71*Inputs!$L$14</f>
        <v>23866.1685983911</v>
      </c>
      <c r="GK71" s="84" t="n">
        <f aca="false">GI71-GJ71</f>
        <v>0</v>
      </c>
      <c r="GL71" s="133" t="n">
        <f aca="false">FX71+$D71*Inputs!$L$13</f>
        <v>0</v>
      </c>
      <c r="GM71" s="84" t="n">
        <f aca="false">MIN(GJ71,GL71)</f>
        <v>0</v>
      </c>
      <c r="GN71" s="84" t="n">
        <f aca="false">GL71-GM71</f>
        <v>0</v>
      </c>
      <c r="GO71" s="84" t="n">
        <f aca="false">GA71+$G71*(GL71+GA71)</f>
        <v>0</v>
      </c>
      <c r="GP71" s="84" t="n">
        <f aca="false">MIN(GJ71-GM71,GO71)</f>
        <v>0</v>
      </c>
      <c r="GQ71" s="84" t="n">
        <f aca="false">GO71-GP71</f>
        <v>0</v>
      </c>
      <c r="GR71" s="84" t="n">
        <f aca="false">IF($H71=1,MIN(GJ71-GM71-GP71,MAX(0,$F71/(1-$F71)*(GF71+GP71)-GG71)),0)</f>
        <v>0</v>
      </c>
      <c r="GS71" s="84" t="n">
        <f aca="false">GJ71-GM71-GP71-GR71</f>
        <v>23866.1685983911</v>
      </c>
      <c r="GT71" s="84" t="n">
        <f aca="false">GM71+GP71+(1-$F71)*GS71</f>
        <v>19092.9348787129</v>
      </c>
      <c r="GU71" s="84" t="n">
        <f aca="false">GR71+$F71*GS71</f>
        <v>4773.23371967821</v>
      </c>
      <c r="GV71" s="84" t="n">
        <f aca="false">GF71+GP71+(1-$F71)*GS71</f>
        <v>26142.0744664993</v>
      </c>
      <c r="GW71" s="84" t="n">
        <f aca="false">GG71+GU71</f>
        <v>6535.51861662482</v>
      </c>
    </row>
    <row r="72" customFormat="false" ht="15" hidden="false" customHeight="false" outlineLevel="0" collapsed="false">
      <c r="A72" s="5" t="s">
        <v>637</v>
      </c>
      <c r="B72" s="5" t="s">
        <v>638</v>
      </c>
      <c r="C72" s="135" t="n">
        <v>20</v>
      </c>
      <c r="D72" s="47" t="n">
        <f aca="false">Inputs!$C$6</f>
        <v>20000</v>
      </c>
      <c r="E72" s="35" t="n">
        <f aca="false">Inputs!$C$19</f>
        <v>0.0135</v>
      </c>
      <c r="F72" s="36" t="n">
        <f aca="false">Inputs!$C$20</f>
        <v>0.2</v>
      </c>
      <c r="G72" s="30" t="n">
        <v>0</v>
      </c>
      <c r="H72" s="27" t="n">
        <v>0</v>
      </c>
      <c r="I72" s="132" t="n">
        <f aca="false">Inputs!$C$38+$C72*Inputs!$C$39</f>
        <v>0.2</v>
      </c>
      <c r="J72" s="36" t="n">
        <f aca="false">Inputs!$C$9</f>
        <v>0.15</v>
      </c>
      <c r="K72" s="89" t="n">
        <f aca="false">IRR(W72:AG72,0.1)</f>
        <v>0.159361408558221</v>
      </c>
      <c r="L72" s="45" t="n">
        <f aca="false">W72+NPV($J72,X72:AG72)</f>
        <v>752.97922879943</v>
      </c>
      <c r="M72" s="45" t="n">
        <f aca="false">SUM(BF72,BV72,CL72,DB72,DR72,EH72,EX72,FN72,GD72,GT72)</f>
        <v>48631.3881906058</v>
      </c>
      <c r="N72" s="43" t="n">
        <f aca="false">IF($D72*SUM(Inputs!$C$13:$L$13)=0,0,M72/($D72*SUM(Inputs!$C$13:$L$13)))</f>
        <v>2.43156940953029</v>
      </c>
      <c r="O72" s="42" t="n">
        <f aca="false">$D72*$E72*COLUMNS(Inputs!$C$13:$L$13)</f>
        <v>2700</v>
      </c>
      <c r="P72" s="45" t="n">
        <f aca="false">SUM(BG72,BW72,CM72,DC72,DS72,EI72,EY72,FO72,GE72,GU72)</f>
        <v>7157.84704765146</v>
      </c>
      <c r="Q72" s="42" t="n">
        <f aca="false">PV($J72,COLUMNS(Inputs!$C$13:$L$13),-$D72*$E72,0,1)</f>
        <v>1558.32765832774</v>
      </c>
      <c r="R72" s="45" t="n">
        <f aca="false">NPV($J72,BG72,BW72,CM72,DC72,DS72,EI72,EY72,FO72,GE72,GU72)</f>
        <v>1884.57967600123</v>
      </c>
      <c r="S72" s="45" t="n">
        <f aca="false">Q72+R72</f>
        <v>3442.90733432897</v>
      </c>
      <c r="T72" s="32" t="n">
        <f aca="false">IF(S72=0,0,Q72/S72)</f>
        <v>0.452619692313461</v>
      </c>
      <c r="U72" s="45" t="n">
        <f aca="false">ROUND(ABS(GK72)+ABS(SUM(AV72,BL72,CB72,CR72,DH72,DX72,EN72,FD72,FT72,GJ72)-M72-P72)+ABS(S72-(AH72+NPV($J72,AI72:AR72))),6)</f>
        <v>0</v>
      </c>
      <c r="W72" s="133" t="n">
        <f aca="false">-$D72*Inputs!$C$13</f>
        <v>-4000</v>
      </c>
      <c r="X72" s="133" t="n">
        <f aca="false">BF72-$D72*Inputs!$D$13</f>
        <v>-4000</v>
      </c>
      <c r="Y72" s="133" t="n">
        <f aca="false">BV72-$D72*Inputs!$E$13</f>
        <v>-4000</v>
      </c>
      <c r="Z72" s="133" t="n">
        <f aca="false">CL72-$D72*Inputs!$F$13</f>
        <v>-4000</v>
      </c>
      <c r="AA72" s="133" t="n">
        <f aca="false">DB72-$D72*Inputs!$G$13</f>
        <v>-4000</v>
      </c>
      <c r="AB72" s="133" t="n">
        <f aca="false">DR72-$D72*Inputs!$H$13</f>
        <v>6661.72032</v>
      </c>
      <c r="AC72" s="133" t="n">
        <f aca="false">EH72-$D72*Inputs!$I$13</f>
        <v>6330.4515072</v>
      </c>
      <c r="AD72" s="133" t="n">
        <f aca="false">EX72-$D72*Inputs!$J$13</f>
        <v>6012.433446912</v>
      </c>
      <c r="AE72" s="133" t="n">
        <f aca="false">FN72-$D72*Inputs!$K$13</f>
        <v>4764.78783240602</v>
      </c>
      <c r="AF72" s="133" t="n">
        <f aca="false">GD72-$D72*Inputs!$L$13</f>
        <v>4331.24053173928</v>
      </c>
      <c r="AG72" s="84" t="n">
        <f aca="false">GT72</f>
        <v>20530.7545523485</v>
      </c>
      <c r="AH72" s="84" t="n">
        <f aca="false">$D72*$E72</f>
        <v>270</v>
      </c>
      <c r="AI72" s="84" t="n">
        <f aca="false">BG72+$D72*$E72</f>
        <v>270</v>
      </c>
      <c r="AJ72" s="84" t="n">
        <f aca="false">BW72+$D72*$E72</f>
        <v>270</v>
      </c>
      <c r="AK72" s="84" t="n">
        <f aca="false">CM72+$D72*$E72</f>
        <v>270</v>
      </c>
      <c r="AL72" s="84" t="n">
        <f aca="false">DC72+$D72*$E72</f>
        <v>270</v>
      </c>
      <c r="AM72" s="84" t="n">
        <f aca="false">DS72+$D72*$E72</f>
        <v>270</v>
      </c>
      <c r="AN72" s="84" t="n">
        <f aca="false">EI72+$D72*$E72</f>
        <v>270</v>
      </c>
      <c r="AO72" s="84" t="n">
        <f aca="false">EY72+$D72*$E72</f>
        <v>270</v>
      </c>
      <c r="AP72" s="84" t="n">
        <f aca="false">FO72+$D72*$E72</f>
        <v>1212.3482766295</v>
      </c>
      <c r="AQ72" s="84" t="n">
        <f aca="false">GE72+$D72*$E72</f>
        <v>1352.81013293482</v>
      </c>
      <c r="AR72" s="84" t="n">
        <f aca="false">GU72</f>
        <v>5132.68863808713</v>
      </c>
      <c r="AT72" s="133" t="n">
        <f aca="false">$D72*Inputs!$C$13-$D72*$E72</f>
        <v>3730</v>
      </c>
      <c r="AU72" s="84" t="n">
        <f aca="false">AT72*(1+$I72)</f>
        <v>4476</v>
      </c>
      <c r="AV72" s="133" t="n">
        <f aca="false">AU72*Inputs!$C$14</f>
        <v>0</v>
      </c>
      <c r="AW72" s="84" t="n">
        <f aca="false">AU72-AV72</f>
        <v>4476</v>
      </c>
      <c r="AX72" s="133" t="n">
        <f aca="false">$D72*Inputs!$C$13</f>
        <v>4000</v>
      </c>
      <c r="AY72" s="84" t="n">
        <f aca="false">MIN(AV72,AX72)</f>
        <v>0</v>
      </c>
      <c r="AZ72" s="84" t="n">
        <f aca="false">AX72-AY72</f>
        <v>4000</v>
      </c>
      <c r="BA72" s="84" t="n">
        <f aca="false">$G72*AX72</f>
        <v>0</v>
      </c>
      <c r="BB72" s="84" t="n">
        <f aca="false">MIN(AV72-AY72,BA72)</f>
        <v>0</v>
      </c>
      <c r="BC72" s="84" t="n">
        <f aca="false">BA72-BB72</f>
        <v>0</v>
      </c>
      <c r="BD72" s="84" t="n">
        <f aca="false">IF($H72=1,MIN(AV72-AY72-BB72,MAX(0,$F72/(1-$F72)*BB72)),0)</f>
        <v>0</v>
      </c>
      <c r="BE72" s="84" t="n">
        <f aca="false">AV72-AY72-BB72-BD72</f>
        <v>0</v>
      </c>
      <c r="BF72" s="84" t="n">
        <f aca="false">AY72+BB72+(1-$F72)*BE72</f>
        <v>0</v>
      </c>
      <c r="BG72" s="84" t="n">
        <f aca="false">BD72+$F72*BE72</f>
        <v>0</v>
      </c>
      <c r="BH72" s="84" t="n">
        <f aca="false">BB72+(1-$F72)*BE72</f>
        <v>0</v>
      </c>
      <c r="BI72" s="84" t="n">
        <f aca="false">BG72</f>
        <v>0</v>
      </c>
      <c r="BJ72" s="133" t="n">
        <f aca="false">AW72+$D72*Inputs!$D$13-$D72*$E72</f>
        <v>8206</v>
      </c>
      <c r="BK72" s="84" t="n">
        <f aca="false">BJ72*(1+$I72)</f>
        <v>9847.2</v>
      </c>
      <c r="BL72" s="133" t="n">
        <f aca="false">BK72*Inputs!$D$14</f>
        <v>0</v>
      </c>
      <c r="BM72" s="84" t="n">
        <f aca="false">BK72-BL72</f>
        <v>9847.2</v>
      </c>
      <c r="BN72" s="133" t="n">
        <f aca="false">AZ72+$D72*Inputs!$D$13</f>
        <v>8000</v>
      </c>
      <c r="BO72" s="84" t="n">
        <f aca="false">MIN(BL72,BN72)</f>
        <v>0</v>
      </c>
      <c r="BP72" s="84" t="n">
        <f aca="false">BN72-BO72</f>
        <v>8000</v>
      </c>
      <c r="BQ72" s="84" t="n">
        <f aca="false">BC72+$G72*(BN72+BC72)</f>
        <v>0</v>
      </c>
      <c r="BR72" s="84" t="n">
        <f aca="false">MIN(BL72-BO72,BQ72)</f>
        <v>0</v>
      </c>
      <c r="BS72" s="84" t="n">
        <f aca="false">BQ72-BR72</f>
        <v>0</v>
      </c>
      <c r="BT72" s="84" t="n">
        <f aca="false">IF($H72=1,MIN(BL72-BO72-BR72,MAX(0,$F72/(1-$F72)*(BH72+BR72)-BI72)),0)</f>
        <v>0</v>
      </c>
      <c r="BU72" s="84" t="n">
        <f aca="false">BL72-BO72-BR72-BT72</f>
        <v>0</v>
      </c>
      <c r="BV72" s="84" t="n">
        <f aca="false">BO72+BR72+(1-$F72)*BU72</f>
        <v>0</v>
      </c>
      <c r="BW72" s="84" t="n">
        <f aca="false">BT72+$F72*BU72</f>
        <v>0</v>
      </c>
      <c r="BX72" s="84" t="n">
        <f aca="false">BH72+BR72+(1-$F72)*BU72</f>
        <v>0</v>
      </c>
      <c r="BY72" s="84" t="n">
        <f aca="false">BI72+BW72</f>
        <v>0</v>
      </c>
      <c r="BZ72" s="133" t="n">
        <f aca="false">BM72+$D72*Inputs!$E$13-$D72*$E72</f>
        <v>13577.2</v>
      </c>
      <c r="CA72" s="84" t="n">
        <f aca="false">BZ72*(1+$I72)</f>
        <v>16292.64</v>
      </c>
      <c r="CB72" s="133" t="n">
        <f aca="false">CA72*Inputs!$E$14</f>
        <v>0</v>
      </c>
      <c r="CC72" s="84" t="n">
        <f aca="false">CA72-CB72</f>
        <v>16292.64</v>
      </c>
      <c r="CD72" s="133" t="n">
        <f aca="false">BP72+$D72*Inputs!$E$13</f>
        <v>12000</v>
      </c>
      <c r="CE72" s="84" t="n">
        <f aca="false">MIN(CB72,CD72)</f>
        <v>0</v>
      </c>
      <c r="CF72" s="84" t="n">
        <f aca="false">CD72-CE72</f>
        <v>12000</v>
      </c>
      <c r="CG72" s="84" t="n">
        <f aca="false">BS72+$G72*(CD72+BS72)</f>
        <v>0</v>
      </c>
      <c r="CH72" s="84" t="n">
        <f aca="false">MIN(CB72-CE72,CG72)</f>
        <v>0</v>
      </c>
      <c r="CI72" s="84" t="n">
        <f aca="false">CG72-CH72</f>
        <v>0</v>
      </c>
      <c r="CJ72" s="84" t="n">
        <f aca="false">IF($H72=1,MIN(CB72-CE72-CH72,MAX(0,$F72/(1-$F72)*(BX72+CH72)-BY72)),0)</f>
        <v>0</v>
      </c>
      <c r="CK72" s="84" t="n">
        <f aca="false">CB72-CE72-CH72-CJ72</f>
        <v>0</v>
      </c>
      <c r="CL72" s="84" t="n">
        <f aca="false">CE72+CH72+(1-$F72)*CK72</f>
        <v>0</v>
      </c>
      <c r="CM72" s="84" t="n">
        <f aca="false">CJ72+$F72*CK72</f>
        <v>0</v>
      </c>
      <c r="CN72" s="84" t="n">
        <f aca="false">BX72+CH72+(1-$F72)*CK72</f>
        <v>0</v>
      </c>
      <c r="CO72" s="84" t="n">
        <f aca="false">BY72+CM72</f>
        <v>0</v>
      </c>
      <c r="CP72" s="133" t="n">
        <f aca="false">CC72+$D72*Inputs!$F$13-$D72*$E72</f>
        <v>20022.64</v>
      </c>
      <c r="CQ72" s="84" t="n">
        <f aca="false">CP72*(1+$I72)</f>
        <v>24027.168</v>
      </c>
      <c r="CR72" s="133" t="n">
        <f aca="false">CQ72*Inputs!$F$14</f>
        <v>0</v>
      </c>
      <c r="CS72" s="84" t="n">
        <f aca="false">CQ72-CR72</f>
        <v>24027.168</v>
      </c>
      <c r="CT72" s="133" t="n">
        <f aca="false">CF72+$D72*Inputs!$F$13</f>
        <v>16000</v>
      </c>
      <c r="CU72" s="84" t="n">
        <f aca="false">MIN(CR72,CT72)</f>
        <v>0</v>
      </c>
      <c r="CV72" s="84" t="n">
        <f aca="false">CT72-CU72</f>
        <v>16000</v>
      </c>
      <c r="CW72" s="84" t="n">
        <f aca="false">CI72+$G72*(CT72+CI72)</f>
        <v>0</v>
      </c>
      <c r="CX72" s="84" t="n">
        <f aca="false">MIN(CR72-CU72,CW72)</f>
        <v>0</v>
      </c>
      <c r="CY72" s="84" t="n">
        <f aca="false">CW72-CX72</f>
        <v>0</v>
      </c>
      <c r="CZ72" s="84" t="n">
        <f aca="false">IF($H72=1,MIN(CR72-CU72-CX72,MAX(0,$F72/(1-$F72)*(CN72+CX72)-CO72)),0)</f>
        <v>0</v>
      </c>
      <c r="DA72" s="84" t="n">
        <f aca="false">CR72-CU72-CX72-CZ72</f>
        <v>0</v>
      </c>
      <c r="DB72" s="84" t="n">
        <f aca="false">CU72+CX72+(1-$F72)*DA72</f>
        <v>0</v>
      </c>
      <c r="DC72" s="84" t="n">
        <f aca="false">CZ72+$F72*DA72</f>
        <v>0</v>
      </c>
      <c r="DD72" s="84" t="n">
        <f aca="false">CN72+CX72+(1-$F72)*DA72</f>
        <v>0</v>
      </c>
      <c r="DE72" s="84" t="n">
        <f aca="false">CO72+DC72</f>
        <v>0</v>
      </c>
      <c r="DF72" s="133" t="n">
        <f aca="false">CS72+$D72*Inputs!$G$13-$D72*$E72</f>
        <v>27757.168</v>
      </c>
      <c r="DG72" s="84" t="n">
        <f aca="false">DF72*(1+$I72)</f>
        <v>33308.6016</v>
      </c>
      <c r="DH72" s="133" t="n">
        <f aca="false">DG72*Inputs!$G$14</f>
        <v>6661.72032</v>
      </c>
      <c r="DI72" s="84" t="n">
        <f aca="false">DG72-DH72</f>
        <v>26646.88128</v>
      </c>
      <c r="DJ72" s="133" t="n">
        <f aca="false">CV72+$D72*Inputs!$G$13</f>
        <v>20000</v>
      </c>
      <c r="DK72" s="84" t="n">
        <f aca="false">MIN(DH72,DJ72)</f>
        <v>6661.72032</v>
      </c>
      <c r="DL72" s="84" t="n">
        <f aca="false">DJ72-DK72</f>
        <v>13338.27968</v>
      </c>
      <c r="DM72" s="84" t="n">
        <f aca="false">CY72+$G72*(DJ72+CY72)</f>
        <v>0</v>
      </c>
      <c r="DN72" s="84" t="n">
        <f aca="false">MIN(DH72-DK72,DM72)</f>
        <v>0</v>
      </c>
      <c r="DO72" s="84" t="n">
        <f aca="false">DM72-DN72</f>
        <v>0</v>
      </c>
      <c r="DP72" s="84" t="n">
        <f aca="false">IF($H72=1,MIN(DH72-DK72-DN72,MAX(0,$F72/(1-$F72)*(DD72+DN72)-DE72)),0)</f>
        <v>0</v>
      </c>
      <c r="DQ72" s="84" t="n">
        <f aca="false">DH72-DK72-DN72-DP72</f>
        <v>0</v>
      </c>
      <c r="DR72" s="84" t="n">
        <f aca="false">DK72+DN72+(1-$F72)*DQ72</f>
        <v>6661.72032</v>
      </c>
      <c r="DS72" s="84" t="n">
        <f aca="false">DP72+$F72*DQ72</f>
        <v>0</v>
      </c>
      <c r="DT72" s="84" t="n">
        <f aca="false">DD72+DN72+(1-$F72)*DQ72</f>
        <v>0</v>
      </c>
      <c r="DU72" s="84" t="n">
        <f aca="false">DE72+DS72</f>
        <v>0</v>
      </c>
      <c r="DV72" s="133" t="n">
        <f aca="false">DI72+$D72*Inputs!$H$13-$D72*$E72</f>
        <v>26376.88128</v>
      </c>
      <c r="DW72" s="84" t="n">
        <f aca="false">DV72*(1+$I72)</f>
        <v>31652.257536</v>
      </c>
      <c r="DX72" s="133" t="n">
        <f aca="false">DW72*Inputs!$H$14</f>
        <v>6330.4515072</v>
      </c>
      <c r="DY72" s="84" t="n">
        <f aca="false">DW72-DX72</f>
        <v>25321.8060288</v>
      </c>
      <c r="DZ72" s="133" t="n">
        <f aca="false">DL72+$D72*Inputs!$H$13</f>
        <v>13338.27968</v>
      </c>
      <c r="EA72" s="84" t="n">
        <f aca="false">MIN(DX72,DZ72)</f>
        <v>6330.4515072</v>
      </c>
      <c r="EB72" s="84" t="n">
        <f aca="false">DZ72-EA72</f>
        <v>7007.8281728</v>
      </c>
      <c r="EC72" s="84" t="n">
        <f aca="false">DO72+$G72*(DZ72+DO72)</f>
        <v>0</v>
      </c>
      <c r="ED72" s="84" t="n">
        <f aca="false">MIN(DX72-EA72,EC72)</f>
        <v>0</v>
      </c>
      <c r="EE72" s="84" t="n">
        <f aca="false">EC72-ED72</f>
        <v>0</v>
      </c>
      <c r="EF72" s="84" t="n">
        <f aca="false">IF($H72=1,MIN(DX72-EA72-ED72,MAX(0,$F72/(1-$F72)*(DT72+ED72)-DU72)),0)</f>
        <v>0</v>
      </c>
      <c r="EG72" s="84" t="n">
        <f aca="false">DX72-EA72-ED72-EF72</f>
        <v>0</v>
      </c>
      <c r="EH72" s="84" t="n">
        <f aca="false">EA72+ED72+(1-$F72)*EG72</f>
        <v>6330.4515072</v>
      </c>
      <c r="EI72" s="84" t="n">
        <f aca="false">EF72+$F72*EG72</f>
        <v>0</v>
      </c>
      <c r="EJ72" s="84" t="n">
        <f aca="false">DT72+ED72+(1-$F72)*EG72</f>
        <v>0</v>
      </c>
      <c r="EK72" s="84" t="n">
        <f aca="false">DU72+EI72</f>
        <v>0</v>
      </c>
      <c r="EL72" s="133" t="n">
        <f aca="false">DY72+$D72*Inputs!$I$13-$D72*$E72</f>
        <v>25051.8060288</v>
      </c>
      <c r="EM72" s="84" t="n">
        <f aca="false">EL72*(1+$I72)</f>
        <v>30062.16723456</v>
      </c>
      <c r="EN72" s="133" t="n">
        <f aca="false">EM72*Inputs!$I$14</f>
        <v>6012.433446912</v>
      </c>
      <c r="EO72" s="84" t="n">
        <f aca="false">EM72-EN72</f>
        <v>24049.733787648</v>
      </c>
      <c r="EP72" s="133" t="n">
        <f aca="false">EB72+$D72*Inputs!$I$13</f>
        <v>7007.8281728</v>
      </c>
      <c r="EQ72" s="84" t="n">
        <f aca="false">MIN(EN72,EP72)</f>
        <v>6012.433446912</v>
      </c>
      <c r="ER72" s="84" t="n">
        <f aca="false">EP72-EQ72</f>
        <v>995.394725888003</v>
      </c>
      <c r="ES72" s="84" t="n">
        <f aca="false">EE72+$G72*(EP72+EE72)</f>
        <v>0</v>
      </c>
      <c r="ET72" s="84" t="n">
        <f aca="false">MIN(EN72-EQ72,ES72)</f>
        <v>0</v>
      </c>
      <c r="EU72" s="84" t="n">
        <f aca="false">ES72-ET72</f>
        <v>0</v>
      </c>
      <c r="EV72" s="84" t="n">
        <f aca="false">IF($H72=1,MIN(EN72-EQ72-ET72,MAX(0,$F72/(1-$F72)*(EJ72+ET72)-EK72)),0)</f>
        <v>0</v>
      </c>
      <c r="EW72" s="84" t="n">
        <f aca="false">EN72-EQ72-ET72-EV72</f>
        <v>0</v>
      </c>
      <c r="EX72" s="84" t="n">
        <f aca="false">EQ72+ET72+(1-$F72)*EW72</f>
        <v>6012.433446912</v>
      </c>
      <c r="EY72" s="84" t="n">
        <f aca="false">EV72+$F72*EW72</f>
        <v>0</v>
      </c>
      <c r="EZ72" s="84" t="n">
        <f aca="false">EJ72+ET72+(1-$F72)*EW72</f>
        <v>0</v>
      </c>
      <c r="FA72" s="84" t="n">
        <f aca="false">EK72+EY72</f>
        <v>0</v>
      </c>
      <c r="FB72" s="133" t="n">
        <f aca="false">EO72+$D72*Inputs!$J$13-$D72*$E72</f>
        <v>23779.733787648</v>
      </c>
      <c r="FC72" s="84" t="n">
        <f aca="false">FB72*(1+$I72)</f>
        <v>28535.6805451776</v>
      </c>
      <c r="FD72" s="133" t="n">
        <f aca="false">FC72*Inputs!$J$14</f>
        <v>5707.13610903552</v>
      </c>
      <c r="FE72" s="84" t="n">
        <f aca="false">FC72-FD72</f>
        <v>22828.5444361421</v>
      </c>
      <c r="FF72" s="133" t="n">
        <f aca="false">ER72+$D72*Inputs!$J$13</f>
        <v>995.394725888003</v>
      </c>
      <c r="FG72" s="84" t="n">
        <f aca="false">MIN(FD72,FF72)</f>
        <v>995.394725888003</v>
      </c>
      <c r="FH72" s="84" t="n">
        <f aca="false">FF72-FG72</f>
        <v>0</v>
      </c>
      <c r="FI72" s="84" t="n">
        <f aca="false">EU72+$G72*(FF72+EU72)</f>
        <v>0</v>
      </c>
      <c r="FJ72" s="84" t="n">
        <f aca="false">MIN(FD72-FG72,FI72)</f>
        <v>0</v>
      </c>
      <c r="FK72" s="84" t="n">
        <f aca="false">FI72-FJ72</f>
        <v>0</v>
      </c>
      <c r="FL72" s="84" t="n">
        <f aca="false">IF($H72=1,MIN(FD72-FG72-FJ72,MAX(0,$F72/(1-$F72)*(EZ72+FJ72)-FA72)),0)</f>
        <v>0</v>
      </c>
      <c r="FM72" s="84" t="n">
        <f aca="false">FD72-FG72-FJ72-FL72</f>
        <v>4711.74138314751</v>
      </c>
      <c r="FN72" s="84" t="n">
        <f aca="false">FG72+FJ72+(1-$F72)*FM72</f>
        <v>4764.78783240602</v>
      </c>
      <c r="FO72" s="84" t="n">
        <f aca="false">FL72+$F72*FM72</f>
        <v>942.348276629503</v>
      </c>
      <c r="FP72" s="84" t="n">
        <f aca="false">EZ72+FJ72+(1-$F72)*FM72</f>
        <v>3769.39310651801</v>
      </c>
      <c r="FQ72" s="84" t="n">
        <f aca="false">FA72+FO72</f>
        <v>942.348276629503</v>
      </c>
      <c r="FR72" s="133" t="n">
        <f aca="false">FE72+$D72*Inputs!$K$13-$D72*$E72</f>
        <v>22558.5444361421</v>
      </c>
      <c r="FS72" s="84" t="n">
        <f aca="false">FR72*(1+$I72)</f>
        <v>27070.2533233705</v>
      </c>
      <c r="FT72" s="133" t="n">
        <f aca="false">FS72*Inputs!$K$14</f>
        <v>5414.0506646741</v>
      </c>
      <c r="FU72" s="84" t="n">
        <f aca="false">FS72-FT72</f>
        <v>21656.2026586964</v>
      </c>
      <c r="FV72" s="133" t="n">
        <f aca="false">FH72+$D72*Inputs!$K$13</f>
        <v>0</v>
      </c>
      <c r="FW72" s="84" t="n">
        <f aca="false">MIN(FT72,FV72)</f>
        <v>0</v>
      </c>
      <c r="FX72" s="84" t="n">
        <f aca="false">FV72-FW72</f>
        <v>0</v>
      </c>
      <c r="FY72" s="84" t="n">
        <f aca="false">FK72+$G72*(FV72+FK72)</f>
        <v>0</v>
      </c>
      <c r="FZ72" s="84" t="n">
        <f aca="false">MIN(FT72-FW72,FY72)</f>
        <v>0</v>
      </c>
      <c r="GA72" s="84" t="n">
        <f aca="false">FY72-FZ72</f>
        <v>0</v>
      </c>
      <c r="GB72" s="84" t="n">
        <f aca="false">IF($H72=1,MIN(FT72-FW72-FZ72,MAX(0,$F72/(1-$F72)*(FP72+FZ72)-FQ72)),0)</f>
        <v>0</v>
      </c>
      <c r="GC72" s="84" t="n">
        <f aca="false">FT72-FW72-FZ72-GB72</f>
        <v>5414.0506646741</v>
      </c>
      <c r="GD72" s="84" t="n">
        <f aca="false">FW72+FZ72+(1-$F72)*GC72</f>
        <v>4331.24053173928</v>
      </c>
      <c r="GE72" s="84" t="n">
        <f aca="false">GB72+$F72*GC72</f>
        <v>1082.81013293482</v>
      </c>
      <c r="GF72" s="84" t="n">
        <f aca="false">FP72+FZ72+(1-$F72)*GC72</f>
        <v>8100.63363825729</v>
      </c>
      <c r="GG72" s="84" t="n">
        <f aca="false">FQ72+GE72</f>
        <v>2025.15840956432</v>
      </c>
      <c r="GH72" s="133" t="n">
        <f aca="false">FU72+$D72*Inputs!$L$13-$D72*$E72</f>
        <v>21386.2026586964</v>
      </c>
      <c r="GI72" s="84" t="n">
        <f aca="false">GH72*(1+$I72)</f>
        <v>25663.4431904357</v>
      </c>
      <c r="GJ72" s="133" t="n">
        <f aca="false">GI72*Inputs!$L$14</f>
        <v>25663.4431904357</v>
      </c>
      <c r="GK72" s="84" t="n">
        <f aca="false">GI72-GJ72</f>
        <v>0</v>
      </c>
      <c r="GL72" s="133" t="n">
        <f aca="false">FX72+$D72*Inputs!$L$13</f>
        <v>0</v>
      </c>
      <c r="GM72" s="84" t="n">
        <f aca="false">MIN(GJ72,GL72)</f>
        <v>0</v>
      </c>
      <c r="GN72" s="84" t="n">
        <f aca="false">GL72-GM72</f>
        <v>0</v>
      </c>
      <c r="GO72" s="84" t="n">
        <f aca="false">GA72+$G72*(GL72+GA72)</f>
        <v>0</v>
      </c>
      <c r="GP72" s="84" t="n">
        <f aca="false">MIN(GJ72-GM72,GO72)</f>
        <v>0</v>
      </c>
      <c r="GQ72" s="84" t="n">
        <f aca="false">GO72-GP72</f>
        <v>0</v>
      </c>
      <c r="GR72" s="84" t="n">
        <f aca="false">IF($H72=1,MIN(GJ72-GM72-GP72,MAX(0,$F72/(1-$F72)*(GF72+GP72)-GG72)),0)</f>
        <v>0</v>
      </c>
      <c r="GS72" s="84" t="n">
        <f aca="false">GJ72-GM72-GP72-GR72</f>
        <v>25663.4431904357</v>
      </c>
      <c r="GT72" s="84" t="n">
        <f aca="false">GM72+GP72+(1-$F72)*GS72</f>
        <v>20530.7545523485</v>
      </c>
      <c r="GU72" s="84" t="n">
        <f aca="false">GR72+$F72*GS72</f>
        <v>5132.68863808713</v>
      </c>
      <c r="GV72" s="84" t="n">
        <f aca="false">GF72+GP72+(1-$F72)*GS72</f>
        <v>28631.3881906058</v>
      </c>
      <c r="GW72" s="84" t="n">
        <f aca="false">GG72+GU72</f>
        <v>7157.84704765146</v>
      </c>
    </row>
    <row r="73" customFormat="false" ht="15" hidden="false" customHeight="false" outlineLevel="0" collapsed="false">
      <c r="A73" s="5" t="s">
        <v>637</v>
      </c>
      <c r="B73" s="5" t="s">
        <v>638</v>
      </c>
      <c r="C73" s="135" t="n">
        <v>21</v>
      </c>
      <c r="D73" s="47" t="n">
        <f aca="false">Inputs!$C$6</f>
        <v>20000</v>
      </c>
      <c r="E73" s="35" t="n">
        <f aca="false">Inputs!$C$19</f>
        <v>0.0135</v>
      </c>
      <c r="F73" s="36" t="n">
        <f aca="false">Inputs!$C$20</f>
        <v>0.2</v>
      </c>
      <c r="G73" s="30" t="n">
        <v>0</v>
      </c>
      <c r="H73" s="27" t="n">
        <v>0</v>
      </c>
      <c r="I73" s="132" t="n">
        <f aca="false">Inputs!$C$38+$C73*Inputs!$C$39</f>
        <v>0.21</v>
      </c>
      <c r="J73" s="36" t="n">
        <f aca="false">Inputs!$C$9</f>
        <v>0.15</v>
      </c>
      <c r="K73" s="89" t="n">
        <f aca="false">IRR(W73:AG73,0.1)</f>
        <v>0.168791744049474</v>
      </c>
      <c r="L73" s="45" t="n">
        <f aca="false">W73+NPV($J73,X73:AG73)</f>
        <v>1549.00597624151</v>
      </c>
      <c r="M73" s="45" t="n">
        <f aca="false">SUM(BF73,BV73,CL73,DB73,DR73,EH73,EX73,FN73,GD73,GT73)</f>
        <v>51260.969304108</v>
      </c>
      <c r="N73" s="43" t="n">
        <f aca="false">IF($D73*SUM(Inputs!$C$13:$L$13)=0,0,M73/($D73*SUM(Inputs!$C$13:$L$13)))</f>
        <v>2.5630484652054</v>
      </c>
      <c r="O73" s="42" t="n">
        <f aca="false">$D73*$E73*COLUMNS(Inputs!$C$13:$L$13)</f>
        <v>2700</v>
      </c>
      <c r="P73" s="45" t="n">
        <f aca="false">SUM(BG73,BW73,CM73,DC73,DS73,EI73,EY73,FO73,GE73,GU73)</f>
        <v>7815.242326027</v>
      </c>
      <c r="Q73" s="42" t="n">
        <f aca="false">PV($J73,COLUMNS(Inputs!$C$13:$L$13),-$D73*$E73,0,1)</f>
        <v>1558.32765832774</v>
      </c>
      <c r="R73" s="45" t="n">
        <f aca="false">NPV($J73,BG73,BW73,CM73,DC73,DS73,EI73,EY73,FO73,GE73,GU73)</f>
        <v>2065.93383811342</v>
      </c>
      <c r="S73" s="45" t="n">
        <f aca="false">Q73+R73</f>
        <v>3624.26149644116</v>
      </c>
      <c r="T73" s="32" t="n">
        <f aca="false">IF(S73=0,0,Q73/S73)</f>
        <v>0.429971087863814</v>
      </c>
      <c r="U73" s="45" t="n">
        <f aca="false">ROUND(ABS(GK73)+ABS(SUM(AV73,BL73,CB73,CR73,DH73,DX73,EN73,FD73,FT73,GJ73)-M73-P73)+ABS(S73-(AH73+NPV($J73,AI73:AR73))),6)</f>
        <v>0</v>
      </c>
      <c r="W73" s="133" t="n">
        <f aca="false">-$D73*Inputs!$C$13</f>
        <v>-4000</v>
      </c>
      <c r="X73" s="133" t="n">
        <f aca="false">BF73-$D73*Inputs!$D$13</f>
        <v>-4000</v>
      </c>
      <c r="Y73" s="133" t="n">
        <f aca="false">BV73-$D73*Inputs!$E$13</f>
        <v>-4000</v>
      </c>
      <c r="Z73" s="133" t="n">
        <f aca="false">CL73-$D73*Inputs!$F$13</f>
        <v>-4000</v>
      </c>
      <c r="AA73" s="133" t="n">
        <f aca="false">DB73-$D73*Inputs!$G$13</f>
        <v>-4000</v>
      </c>
      <c r="AB73" s="133" t="n">
        <f aca="false">DR73-$D73*Inputs!$H$13</f>
        <v>6850.5122334946</v>
      </c>
      <c r="AC73" s="133" t="n">
        <f aca="false">EH73-$D73*Inputs!$I$13</f>
        <v>6565.95584202277</v>
      </c>
      <c r="AD73" s="133" t="n">
        <f aca="false">EX73-$D73*Inputs!$J$13</f>
        <v>6290.50525507804</v>
      </c>
      <c r="AE73" s="133" t="n">
        <f aca="false">FN73-$D73*Inputs!$K$13</f>
        <v>4877.70060341336</v>
      </c>
      <c r="AF73" s="133" t="n">
        <f aca="false">GD73-$D73*Inputs!$L$13</f>
        <v>4612.6122209074</v>
      </c>
      <c r="AG73" s="84" t="n">
        <f aca="false">GT73</f>
        <v>22063.6831491918</v>
      </c>
      <c r="AH73" s="84" t="n">
        <f aca="false">$D73*$E73</f>
        <v>270</v>
      </c>
      <c r="AI73" s="84" t="n">
        <f aca="false">BG73+$D73*$E73</f>
        <v>270</v>
      </c>
      <c r="AJ73" s="84" t="n">
        <f aca="false">BW73+$D73*$E73</f>
        <v>270</v>
      </c>
      <c r="AK73" s="84" t="n">
        <f aca="false">CM73+$D73*$E73</f>
        <v>270</v>
      </c>
      <c r="AL73" s="84" t="n">
        <f aca="false">DC73+$D73*$E73</f>
        <v>270</v>
      </c>
      <c r="AM73" s="84" t="n">
        <f aca="false">DS73+$D73*$E73</f>
        <v>270</v>
      </c>
      <c r="AN73" s="84" t="n">
        <f aca="false">EI73+$D73*$E73</f>
        <v>270</v>
      </c>
      <c r="AO73" s="84" t="n">
        <f aca="false">EY73+$D73*$E73</f>
        <v>270</v>
      </c>
      <c r="AP73" s="84" t="n">
        <f aca="false">FO73+$D73*$E73</f>
        <v>1416.16848350219</v>
      </c>
      <c r="AQ73" s="84" t="n">
        <f aca="false">GE73+$D73*$E73</f>
        <v>1423.15305522685</v>
      </c>
      <c r="AR73" s="84" t="n">
        <f aca="false">GU73</f>
        <v>5515.92078729795</v>
      </c>
      <c r="AT73" s="133" t="n">
        <f aca="false">$D73*Inputs!$C$13-$D73*$E73</f>
        <v>3730</v>
      </c>
      <c r="AU73" s="84" t="n">
        <f aca="false">AT73*(1+$I73)</f>
        <v>4513.3</v>
      </c>
      <c r="AV73" s="133" t="n">
        <f aca="false">AU73*Inputs!$C$14</f>
        <v>0</v>
      </c>
      <c r="AW73" s="84" t="n">
        <f aca="false">AU73-AV73</f>
        <v>4513.3</v>
      </c>
      <c r="AX73" s="133" t="n">
        <f aca="false">$D73*Inputs!$C$13</f>
        <v>4000</v>
      </c>
      <c r="AY73" s="84" t="n">
        <f aca="false">MIN(AV73,AX73)</f>
        <v>0</v>
      </c>
      <c r="AZ73" s="84" t="n">
        <f aca="false">AX73-AY73</f>
        <v>4000</v>
      </c>
      <c r="BA73" s="84" t="n">
        <f aca="false">$G73*AX73</f>
        <v>0</v>
      </c>
      <c r="BB73" s="84" t="n">
        <f aca="false">MIN(AV73-AY73,BA73)</f>
        <v>0</v>
      </c>
      <c r="BC73" s="84" t="n">
        <f aca="false">BA73-BB73</f>
        <v>0</v>
      </c>
      <c r="BD73" s="84" t="n">
        <f aca="false">IF($H73=1,MIN(AV73-AY73-BB73,MAX(0,$F73/(1-$F73)*BB73)),0)</f>
        <v>0</v>
      </c>
      <c r="BE73" s="84" t="n">
        <f aca="false">AV73-AY73-BB73-BD73</f>
        <v>0</v>
      </c>
      <c r="BF73" s="84" t="n">
        <f aca="false">AY73+BB73+(1-$F73)*BE73</f>
        <v>0</v>
      </c>
      <c r="BG73" s="84" t="n">
        <f aca="false">BD73+$F73*BE73</f>
        <v>0</v>
      </c>
      <c r="BH73" s="84" t="n">
        <f aca="false">BB73+(1-$F73)*BE73</f>
        <v>0</v>
      </c>
      <c r="BI73" s="84" t="n">
        <f aca="false">BG73</f>
        <v>0</v>
      </c>
      <c r="BJ73" s="133" t="n">
        <f aca="false">AW73+$D73*Inputs!$D$13-$D73*$E73</f>
        <v>8243.3</v>
      </c>
      <c r="BK73" s="84" t="n">
        <f aca="false">BJ73*(1+$I73)</f>
        <v>9974.393</v>
      </c>
      <c r="BL73" s="133" t="n">
        <f aca="false">BK73*Inputs!$D$14</f>
        <v>0</v>
      </c>
      <c r="BM73" s="84" t="n">
        <f aca="false">BK73-BL73</f>
        <v>9974.393</v>
      </c>
      <c r="BN73" s="133" t="n">
        <f aca="false">AZ73+$D73*Inputs!$D$13</f>
        <v>8000</v>
      </c>
      <c r="BO73" s="84" t="n">
        <f aca="false">MIN(BL73,BN73)</f>
        <v>0</v>
      </c>
      <c r="BP73" s="84" t="n">
        <f aca="false">BN73-BO73</f>
        <v>8000</v>
      </c>
      <c r="BQ73" s="84" t="n">
        <f aca="false">BC73+$G73*(BN73+BC73)</f>
        <v>0</v>
      </c>
      <c r="BR73" s="84" t="n">
        <f aca="false">MIN(BL73-BO73,BQ73)</f>
        <v>0</v>
      </c>
      <c r="BS73" s="84" t="n">
        <f aca="false">BQ73-BR73</f>
        <v>0</v>
      </c>
      <c r="BT73" s="84" t="n">
        <f aca="false">IF($H73=1,MIN(BL73-BO73-BR73,MAX(0,$F73/(1-$F73)*(BH73+BR73)-BI73)),0)</f>
        <v>0</v>
      </c>
      <c r="BU73" s="84" t="n">
        <f aca="false">BL73-BO73-BR73-BT73</f>
        <v>0</v>
      </c>
      <c r="BV73" s="84" t="n">
        <f aca="false">BO73+BR73+(1-$F73)*BU73</f>
        <v>0</v>
      </c>
      <c r="BW73" s="84" t="n">
        <f aca="false">BT73+$F73*BU73</f>
        <v>0</v>
      </c>
      <c r="BX73" s="84" t="n">
        <f aca="false">BH73+BR73+(1-$F73)*BU73</f>
        <v>0</v>
      </c>
      <c r="BY73" s="84" t="n">
        <f aca="false">BI73+BW73</f>
        <v>0</v>
      </c>
      <c r="BZ73" s="133" t="n">
        <f aca="false">BM73+$D73*Inputs!$E$13-$D73*$E73</f>
        <v>13704.393</v>
      </c>
      <c r="CA73" s="84" t="n">
        <f aca="false">BZ73*(1+$I73)</f>
        <v>16582.31553</v>
      </c>
      <c r="CB73" s="133" t="n">
        <f aca="false">CA73*Inputs!$E$14</f>
        <v>0</v>
      </c>
      <c r="CC73" s="84" t="n">
        <f aca="false">CA73-CB73</f>
        <v>16582.31553</v>
      </c>
      <c r="CD73" s="133" t="n">
        <f aca="false">BP73+$D73*Inputs!$E$13</f>
        <v>12000</v>
      </c>
      <c r="CE73" s="84" t="n">
        <f aca="false">MIN(CB73,CD73)</f>
        <v>0</v>
      </c>
      <c r="CF73" s="84" t="n">
        <f aca="false">CD73-CE73</f>
        <v>12000</v>
      </c>
      <c r="CG73" s="84" t="n">
        <f aca="false">BS73+$G73*(CD73+BS73)</f>
        <v>0</v>
      </c>
      <c r="CH73" s="84" t="n">
        <f aca="false">MIN(CB73-CE73,CG73)</f>
        <v>0</v>
      </c>
      <c r="CI73" s="84" t="n">
        <f aca="false">CG73-CH73</f>
        <v>0</v>
      </c>
      <c r="CJ73" s="84" t="n">
        <f aca="false">IF($H73=1,MIN(CB73-CE73-CH73,MAX(0,$F73/(1-$F73)*(BX73+CH73)-BY73)),0)</f>
        <v>0</v>
      </c>
      <c r="CK73" s="84" t="n">
        <f aca="false">CB73-CE73-CH73-CJ73</f>
        <v>0</v>
      </c>
      <c r="CL73" s="84" t="n">
        <f aca="false">CE73+CH73+(1-$F73)*CK73</f>
        <v>0</v>
      </c>
      <c r="CM73" s="84" t="n">
        <f aca="false">CJ73+$F73*CK73</f>
        <v>0</v>
      </c>
      <c r="CN73" s="84" t="n">
        <f aca="false">BX73+CH73+(1-$F73)*CK73</f>
        <v>0</v>
      </c>
      <c r="CO73" s="84" t="n">
        <f aca="false">BY73+CM73</f>
        <v>0</v>
      </c>
      <c r="CP73" s="133" t="n">
        <f aca="false">CC73+$D73*Inputs!$F$13-$D73*$E73</f>
        <v>20312.31553</v>
      </c>
      <c r="CQ73" s="84" t="n">
        <f aca="false">CP73*(1+$I73)</f>
        <v>24577.9017913</v>
      </c>
      <c r="CR73" s="133" t="n">
        <f aca="false">CQ73*Inputs!$F$14</f>
        <v>0</v>
      </c>
      <c r="CS73" s="84" t="n">
        <f aca="false">CQ73-CR73</f>
        <v>24577.9017913</v>
      </c>
      <c r="CT73" s="133" t="n">
        <f aca="false">CF73+$D73*Inputs!$F$13</f>
        <v>16000</v>
      </c>
      <c r="CU73" s="84" t="n">
        <f aca="false">MIN(CR73,CT73)</f>
        <v>0</v>
      </c>
      <c r="CV73" s="84" t="n">
        <f aca="false">CT73-CU73</f>
        <v>16000</v>
      </c>
      <c r="CW73" s="84" t="n">
        <f aca="false">CI73+$G73*(CT73+CI73)</f>
        <v>0</v>
      </c>
      <c r="CX73" s="84" t="n">
        <f aca="false">MIN(CR73-CU73,CW73)</f>
        <v>0</v>
      </c>
      <c r="CY73" s="84" t="n">
        <f aca="false">CW73-CX73</f>
        <v>0</v>
      </c>
      <c r="CZ73" s="84" t="n">
        <f aca="false">IF($H73=1,MIN(CR73-CU73-CX73,MAX(0,$F73/(1-$F73)*(CN73+CX73)-CO73)),0)</f>
        <v>0</v>
      </c>
      <c r="DA73" s="84" t="n">
        <f aca="false">CR73-CU73-CX73-CZ73</f>
        <v>0</v>
      </c>
      <c r="DB73" s="84" t="n">
        <f aca="false">CU73+CX73+(1-$F73)*DA73</f>
        <v>0</v>
      </c>
      <c r="DC73" s="84" t="n">
        <f aca="false">CZ73+$F73*DA73</f>
        <v>0</v>
      </c>
      <c r="DD73" s="84" t="n">
        <f aca="false">CN73+CX73+(1-$F73)*DA73</f>
        <v>0</v>
      </c>
      <c r="DE73" s="84" t="n">
        <f aca="false">CO73+DC73</f>
        <v>0</v>
      </c>
      <c r="DF73" s="133" t="n">
        <f aca="false">CS73+$D73*Inputs!$G$13-$D73*$E73</f>
        <v>28307.9017913</v>
      </c>
      <c r="DG73" s="84" t="n">
        <f aca="false">DF73*(1+$I73)</f>
        <v>34252.561167473</v>
      </c>
      <c r="DH73" s="133" t="n">
        <f aca="false">DG73*Inputs!$G$14</f>
        <v>6850.5122334946</v>
      </c>
      <c r="DI73" s="84" t="n">
        <f aca="false">DG73-DH73</f>
        <v>27402.0489339784</v>
      </c>
      <c r="DJ73" s="133" t="n">
        <f aca="false">CV73+$D73*Inputs!$G$13</f>
        <v>20000</v>
      </c>
      <c r="DK73" s="84" t="n">
        <f aca="false">MIN(DH73,DJ73)</f>
        <v>6850.5122334946</v>
      </c>
      <c r="DL73" s="84" t="n">
        <f aca="false">DJ73-DK73</f>
        <v>13149.4877665054</v>
      </c>
      <c r="DM73" s="84" t="n">
        <f aca="false">CY73+$G73*(DJ73+CY73)</f>
        <v>0</v>
      </c>
      <c r="DN73" s="84" t="n">
        <f aca="false">MIN(DH73-DK73,DM73)</f>
        <v>0</v>
      </c>
      <c r="DO73" s="84" t="n">
        <f aca="false">DM73-DN73</f>
        <v>0</v>
      </c>
      <c r="DP73" s="84" t="n">
        <f aca="false">IF($H73=1,MIN(DH73-DK73-DN73,MAX(0,$F73/(1-$F73)*(DD73+DN73)-DE73)),0)</f>
        <v>0</v>
      </c>
      <c r="DQ73" s="84" t="n">
        <f aca="false">DH73-DK73-DN73-DP73</f>
        <v>0</v>
      </c>
      <c r="DR73" s="84" t="n">
        <f aca="false">DK73+DN73+(1-$F73)*DQ73</f>
        <v>6850.5122334946</v>
      </c>
      <c r="DS73" s="84" t="n">
        <f aca="false">DP73+$F73*DQ73</f>
        <v>0</v>
      </c>
      <c r="DT73" s="84" t="n">
        <f aca="false">DD73+DN73+(1-$F73)*DQ73</f>
        <v>0</v>
      </c>
      <c r="DU73" s="84" t="n">
        <f aca="false">DE73+DS73</f>
        <v>0</v>
      </c>
      <c r="DV73" s="133" t="n">
        <f aca="false">DI73+$D73*Inputs!$H$13-$D73*$E73</f>
        <v>27132.0489339784</v>
      </c>
      <c r="DW73" s="84" t="n">
        <f aca="false">DV73*(1+$I73)</f>
        <v>32829.7792101139</v>
      </c>
      <c r="DX73" s="133" t="n">
        <f aca="false">DW73*Inputs!$H$14</f>
        <v>6565.95584202277</v>
      </c>
      <c r="DY73" s="84" t="n">
        <f aca="false">DW73-DX73</f>
        <v>26263.8233680911</v>
      </c>
      <c r="DZ73" s="133" t="n">
        <f aca="false">DL73+$D73*Inputs!$H$13</f>
        <v>13149.4877665054</v>
      </c>
      <c r="EA73" s="84" t="n">
        <f aca="false">MIN(DX73,DZ73)</f>
        <v>6565.95584202277</v>
      </c>
      <c r="EB73" s="84" t="n">
        <f aca="false">DZ73-EA73</f>
        <v>6583.53192448263</v>
      </c>
      <c r="EC73" s="84" t="n">
        <f aca="false">DO73+$G73*(DZ73+DO73)</f>
        <v>0</v>
      </c>
      <c r="ED73" s="84" t="n">
        <f aca="false">MIN(DX73-EA73,EC73)</f>
        <v>0</v>
      </c>
      <c r="EE73" s="84" t="n">
        <f aca="false">EC73-ED73</f>
        <v>0</v>
      </c>
      <c r="EF73" s="84" t="n">
        <f aca="false">IF($H73=1,MIN(DX73-EA73-ED73,MAX(0,$F73/(1-$F73)*(DT73+ED73)-DU73)),0)</f>
        <v>0</v>
      </c>
      <c r="EG73" s="84" t="n">
        <f aca="false">DX73-EA73-ED73-EF73</f>
        <v>0</v>
      </c>
      <c r="EH73" s="84" t="n">
        <f aca="false">EA73+ED73+(1-$F73)*EG73</f>
        <v>6565.95584202277</v>
      </c>
      <c r="EI73" s="84" t="n">
        <f aca="false">EF73+$F73*EG73</f>
        <v>0</v>
      </c>
      <c r="EJ73" s="84" t="n">
        <f aca="false">DT73+ED73+(1-$F73)*EG73</f>
        <v>0</v>
      </c>
      <c r="EK73" s="84" t="n">
        <f aca="false">DU73+EI73</f>
        <v>0</v>
      </c>
      <c r="EL73" s="133" t="n">
        <f aca="false">DY73+$D73*Inputs!$I$13-$D73*$E73</f>
        <v>25993.8233680911</v>
      </c>
      <c r="EM73" s="84" t="n">
        <f aca="false">EL73*(1+$I73)</f>
        <v>31452.5262753902</v>
      </c>
      <c r="EN73" s="133" t="n">
        <f aca="false">EM73*Inputs!$I$14</f>
        <v>6290.50525507804</v>
      </c>
      <c r="EO73" s="84" t="n">
        <f aca="false">EM73-EN73</f>
        <v>25162.0210203122</v>
      </c>
      <c r="EP73" s="133" t="n">
        <f aca="false">EB73+$D73*Inputs!$I$13</f>
        <v>6583.53192448263</v>
      </c>
      <c r="EQ73" s="84" t="n">
        <f aca="false">MIN(EN73,EP73)</f>
        <v>6290.50525507804</v>
      </c>
      <c r="ER73" s="84" t="n">
        <f aca="false">EP73-EQ73</f>
        <v>293.026669404584</v>
      </c>
      <c r="ES73" s="84" t="n">
        <f aca="false">EE73+$G73*(EP73+EE73)</f>
        <v>0</v>
      </c>
      <c r="ET73" s="84" t="n">
        <f aca="false">MIN(EN73-EQ73,ES73)</f>
        <v>0</v>
      </c>
      <c r="EU73" s="84" t="n">
        <f aca="false">ES73-ET73</f>
        <v>0</v>
      </c>
      <c r="EV73" s="84" t="n">
        <f aca="false">IF($H73=1,MIN(EN73-EQ73-ET73,MAX(0,$F73/(1-$F73)*(EJ73+ET73)-EK73)),0)</f>
        <v>0</v>
      </c>
      <c r="EW73" s="84" t="n">
        <f aca="false">EN73-EQ73-ET73-EV73</f>
        <v>0</v>
      </c>
      <c r="EX73" s="84" t="n">
        <f aca="false">EQ73+ET73+(1-$F73)*EW73</f>
        <v>6290.50525507804</v>
      </c>
      <c r="EY73" s="84" t="n">
        <f aca="false">EV73+$F73*EW73</f>
        <v>0</v>
      </c>
      <c r="EZ73" s="84" t="n">
        <f aca="false">EJ73+ET73+(1-$F73)*EW73</f>
        <v>0</v>
      </c>
      <c r="FA73" s="84" t="n">
        <f aca="false">EK73+EY73</f>
        <v>0</v>
      </c>
      <c r="FB73" s="133" t="n">
        <f aca="false">EO73+$D73*Inputs!$J$13-$D73*$E73</f>
        <v>24892.0210203122</v>
      </c>
      <c r="FC73" s="84" t="n">
        <f aca="false">FB73*(1+$I73)</f>
        <v>30119.3454345777</v>
      </c>
      <c r="FD73" s="133" t="n">
        <f aca="false">FC73*Inputs!$J$14</f>
        <v>6023.86908691555</v>
      </c>
      <c r="FE73" s="84" t="n">
        <f aca="false">FC73-FD73</f>
        <v>24095.4763476622</v>
      </c>
      <c r="FF73" s="133" t="n">
        <f aca="false">ER73+$D73*Inputs!$J$13</f>
        <v>293.026669404584</v>
      </c>
      <c r="FG73" s="84" t="n">
        <f aca="false">MIN(FD73,FF73)</f>
        <v>293.026669404584</v>
      </c>
      <c r="FH73" s="84" t="n">
        <f aca="false">FF73-FG73</f>
        <v>0</v>
      </c>
      <c r="FI73" s="84" t="n">
        <f aca="false">EU73+$G73*(FF73+EU73)</f>
        <v>0</v>
      </c>
      <c r="FJ73" s="84" t="n">
        <f aca="false">MIN(FD73-FG73,FI73)</f>
        <v>0</v>
      </c>
      <c r="FK73" s="84" t="n">
        <f aca="false">FI73-FJ73</f>
        <v>0</v>
      </c>
      <c r="FL73" s="84" t="n">
        <f aca="false">IF($H73=1,MIN(FD73-FG73-FJ73,MAX(0,$F73/(1-$F73)*(EZ73+FJ73)-FA73)),0)</f>
        <v>0</v>
      </c>
      <c r="FM73" s="84" t="n">
        <f aca="false">FD73-FG73-FJ73-FL73</f>
        <v>5730.84241751096</v>
      </c>
      <c r="FN73" s="84" t="n">
        <f aca="false">FG73+FJ73+(1-$F73)*FM73</f>
        <v>4877.70060341336</v>
      </c>
      <c r="FO73" s="84" t="n">
        <f aca="false">FL73+$F73*FM73</f>
        <v>1146.16848350219</v>
      </c>
      <c r="FP73" s="84" t="n">
        <f aca="false">EZ73+FJ73+(1-$F73)*FM73</f>
        <v>4584.67393400877</v>
      </c>
      <c r="FQ73" s="84" t="n">
        <f aca="false">FA73+FO73</f>
        <v>1146.16848350219</v>
      </c>
      <c r="FR73" s="133" t="n">
        <f aca="false">FE73+$D73*Inputs!$K$13-$D73*$E73</f>
        <v>23825.4763476622</v>
      </c>
      <c r="FS73" s="84" t="n">
        <f aca="false">FR73*(1+$I73)</f>
        <v>28828.8263806712</v>
      </c>
      <c r="FT73" s="133" t="n">
        <f aca="false">FS73*Inputs!$K$14</f>
        <v>5765.76527613425</v>
      </c>
      <c r="FU73" s="84" t="n">
        <f aca="false">FS73-FT73</f>
        <v>23063.061104537</v>
      </c>
      <c r="FV73" s="133" t="n">
        <f aca="false">FH73+$D73*Inputs!$K$13</f>
        <v>0</v>
      </c>
      <c r="FW73" s="84" t="n">
        <f aca="false">MIN(FT73,FV73)</f>
        <v>0</v>
      </c>
      <c r="FX73" s="84" t="n">
        <f aca="false">FV73-FW73</f>
        <v>0</v>
      </c>
      <c r="FY73" s="84" t="n">
        <f aca="false">FK73+$G73*(FV73+FK73)</f>
        <v>0</v>
      </c>
      <c r="FZ73" s="84" t="n">
        <f aca="false">MIN(FT73-FW73,FY73)</f>
        <v>0</v>
      </c>
      <c r="GA73" s="84" t="n">
        <f aca="false">FY73-FZ73</f>
        <v>0</v>
      </c>
      <c r="GB73" s="84" t="n">
        <f aca="false">IF($H73=1,MIN(FT73-FW73-FZ73,MAX(0,$F73/(1-$F73)*(FP73+FZ73)-FQ73)),0)</f>
        <v>0</v>
      </c>
      <c r="GC73" s="84" t="n">
        <f aca="false">FT73-FW73-FZ73-GB73</f>
        <v>5765.76527613425</v>
      </c>
      <c r="GD73" s="84" t="n">
        <f aca="false">FW73+FZ73+(1-$F73)*GC73</f>
        <v>4612.6122209074</v>
      </c>
      <c r="GE73" s="84" t="n">
        <f aca="false">GB73+$F73*GC73</f>
        <v>1153.15305522685</v>
      </c>
      <c r="GF73" s="84" t="n">
        <f aca="false">FP73+FZ73+(1-$F73)*GC73</f>
        <v>9197.28615491617</v>
      </c>
      <c r="GG73" s="84" t="n">
        <f aca="false">FQ73+GE73</f>
        <v>2299.32153872904</v>
      </c>
      <c r="GH73" s="133" t="n">
        <f aca="false">FU73+$D73*Inputs!$L$13-$D73*$E73</f>
        <v>22793.061104537</v>
      </c>
      <c r="GI73" s="84" t="n">
        <f aca="false">GH73*(1+$I73)</f>
        <v>27579.6039364898</v>
      </c>
      <c r="GJ73" s="133" t="n">
        <f aca="false">GI73*Inputs!$L$14</f>
        <v>27579.6039364898</v>
      </c>
      <c r="GK73" s="84" t="n">
        <f aca="false">GI73-GJ73</f>
        <v>0</v>
      </c>
      <c r="GL73" s="133" t="n">
        <f aca="false">FX73+$D73*Inputs!$L$13</f>
        <v>0</v>
      </c>
      <c r="GM73" s="84" t="n">
        <f aca="false">MIN(GJ73,GL73)</f>
        <v>0</v>
      </c>
      <c r="GN73" s="84" t="n">
        <f aca="false">GL73-GM73</f>
        <v>0</v>
      </c>
      <c r="GO73" s="84" t="n">
        <f aca="false">GA73+$G73*(GL73+GA73)</f>
        <v>0</v>
      </c>
      <c r="GP73" s="84" t="n">
        <f aca="false">MIN(GJ73-GM73,GO73)</f>
        <v>0</v>
      </c>
      <c r="GQ73" s="84" t="n">
        <f aca="false">GO73-GP73</f>
        <v>0</v>
      </c>
      <c r="GR73" s="84" t="n">
        <f aca="false">IF($H73=1,MIN(GJ73-GM73-GP73,MAX(0,$F73/(1-$F73)*(GF73+GP73)-GG73)),0)</f>
        <v>0</v>
      </c>
      <c r="GS73" s="84" t="n">
        <f aca="false">GJ73-GM73-GP73-GR73</f>
        <v>27579.6039364898</v>
      </c>
      <c r="GT73" s="84" t="n">
        <f aca="false">GM73+GP73+(1-$F73)*GS73</f>
        <v>22063.6831491918</v>
      </c>
      <c r="GU73" s="84" t="n">
        <f aca="false">GR73+$F73*GS73</f>
        <v>5515.92078729795</v>
      </c>
      <c r="GV73" s="84" t="n">
        <f aca="false">GF73+GP73+(1-$F73)*GS73</f>
        <v>31260.969304108</v>
      </c>
      <c r="GW73" s="84" t="n">
        <f aca="false">GG73+GU73</f>
        <v>7815.242326027</v>
      </c>
    </row>
    <row r="74" customFormat="false" ht="15" hidden="false" customHeight="false" outlineLevel="0" collapsed="false">
      <c r="A74" s="5" t="s">
        <v>637</v>
      </c>
      <c r="B74" s="5" t="s">
        <v>638</v>
      </c>
      <c r="C74" s="135" t="n">
        <v>22</v>
      </c>
      <c r="D74" s="47" t="n">
        <f aca="false">Inputs!$C$6</f>
        <v>20000</v>
      </c>
      <c r="E74" s="35" t="n">
        <f aca="false">Inputs!$C$19</f>
        <v>0.0135</v>
      </c>
      <c r="F74" s="36" t="n">
        <f aca="false">Inputs!$C$20</f>
        <v>0.2</v>
      </c>
      <c r="G74" s="30" t="n">
        <v>0</v>
      </c>
      <c r="H74" s="27" t="n">
        <v>0</v>
      </c>
      <c r="I74" s="132" t="n">
        <f aca="false">Inputs!$C$38+$C74*Inputs!$C$39</f>
        <v>0.22</v>
      </c>
      <c r="J74" s="36" t="n">
        <f aca="false">Inputs!$C$9</f>
        <v>0.15</v>
      </c>
      <c r="K74" s="89" t="n">
        <f aca="false">IRR(W74:AG74,0.1)</f>
        <v>0.178190814363655</v>
      </c>
      <c r="L74" s="45" t="n">
        <f aca="false">W74+NPV($J74,X74:AG74)</f>
        <v>2382.47307912625</v>
      </c>
      <c r="M74" s="45" t="n">
        <f aca="false">SUM(BF74,BV74,CL74,DB74,DR74,EH74,EX74,FN74,GD74,GT74)</f>
        <v>54038.1753019336</v>
      </c>
      <c r="N74" s="43" t="n">
        <f aca="false">IF($D74*SUM(Inputs!$C$13:$L$13)=0,0,M74/($D74*SUM(Inputs!$C$13:$L$13)))</f>
        <v>2.70190876509668</v>
      </c>
      <c r="O74" s="42" t="n">
        <f aca="false">$D74*$E74*COLUMNS(Inputs!$C$13:$L$13)</f>
        <v>2700</v>
      </c>
      <c r="P74" s="45" t="n">
        <f aca="false">SUM(BG74,BW74,CM74,DC74,DS74,EI74,EY74,FO74,GE74,GU74)</f>
        <v>8509.54382548339</v>
      </c>
      <c r="Q74" s="42" t="n">
        <f aca="false">PV($J74,COLUMNS(Inputs!$C$13:$L$13),-$D74*$E74,0,1)</f>
        <v>1558.32765832774</v>
      </c>
      <c r="R74" s="45" t="n">
        <f aca="false">NPV($J74,BG74,BW74,CM74,DC74,DS74,EI74,EY74,FO74,GE74,GU74)</f>
        <v>2261.41885598345</v>
      </c>
      <c r="S74" s="45" t="n">
        <f aca="false">Q74+R74</f>
        <v>3819.74651431119</v>
      </c>
      <c r="T74" s="32" t="n">
        <f aca="false">IF(S74=0,0,Q74/S74)</f>
        <v>0.407966249197232</v>
      </c>
      <c r="U74" s="45" t="n">
        <f aca="false">ROUND(ABS(GK74)+ABS(SUM(AV74,BL74,CB74,CR74,DH74,DX74,EN74,FD74,FT74,GJ74)-M74-P74)+ABS(S74-(AH74+NPV($J74,AI74:AR74))),6)</f>
        <v>0</v>
      </c>
      <c r="W74" s="133" t="n">
        <f aca="false">-$D74*Inputs!$C$13</f>
        <v>-4000</v>
      </c>
      <c r="X74" s="133" t="n">
        <f aca="false">BF74-$D74*Inputs!$D$13</f>
        <v>-4000</v>
      </c>
      <c r="Y74" s="133" t="n">
        <f aca="false">BV74-$D74*Inputs!$E$13</f>
        <v>-4000</v>
      </c>
      <c r="Z74" s="133" t="n">
        <f aca="false">CL74-$D74*Inputs!$F$13</f>
        <v>-4000</v>
      </c>
      <c r="AA74" s="133" t="n">
        <f aca="false">DB74-$D74*Inputs!$G$13</f>
        <v>-4000</v>
      </c>
      <c r="AB74" s="133" t="n">
        <f aca="false">DR74-$D74*Inputs!$H$13</f>
        <v>7043.9488795072</v>
      </c>
      <c r="AC74" s="133" t="n">
        <f aca="false">EH74-$D74*Inputs!$I$13</f>
        <v>6809.01410639903</v>
      </c>
      <c r="AD74" s="133" t="n">
        <f aca="false">EX74-$D74*Inputs!$J$13</f>
        <v>6493.18161709512</v>
      </c>
      <c r="AE74" s="133" t="n">
        <f aca="false">FN74-$D74*Inputs!$K$13</f>
        <v>5084.73963313373</v>
      </c>
      <c r="AF74" s="133" t="n">
        <f aca="false">GD74-$D74*Inputs!$L$13</f>
        <v>4910.00188193852</v>
      </c>
      <c r="AG74" s="84" t="n">
        <f aca="false">GT74</f>
        <v>23697.28918386</v>
      </c>
      <c r="AH74" s="84" t="n">
        <f aca="false">$D74*$E74</f>
        <v>270</v>
      </c>
      <c r="AI74" s="84" t="n">
        <f aca="false">BG74+$D74*$E74</f>
        <v>270</v>
      </c>
      <c r="AJ74" s="84" t="n">
        <f aca="false">BW74+$D74*$E74</f>
        <v>270</v>
      </c>
      <c r="AK74" s="84" t="n">
        <f aca="false">CM74+$D74*$E74</f>
        <v>270</v>
      </c>
      <c r="AL74" s="84" t="n">
        <f aca="false">DC74+$D74*$E74</f>
        <v>270</v>
      </c>
      <c r="AM74" s="84" t="n">
        <f aca="false">DS74+$D74*$E74</f>
        <v>270</v>
      </c>
      <c r="AN74" s="84" t="n">
        <f aca="false">EI74+$D74*$E74</f>
        <v>270</v>
      </c>
      <c r="AO74" s="84" t="n">
        <f aca="false">EY74+$D74*$E74</f>
        <v>356.536150750336</v>
      </c>
      <c r="AP74" s="84" t="n">
        <f aca="false">FO74+$D74*$E74</f>
        <v>1541.18490828343</v>
      </c>
      <c r="AQ74" s="84" t="n">
        <f aca="false">GE74+$D74*$E74</f>
        <v>1497.50047048463</v>
      </c>
      <c r="AR74" s="84" t="n">
        <f aca="false">GU74</f>
        <v>5924.32229596499</v>
      </c>
      <c r="AT74" s="133" t="n">
        <f aca="false">$D74*Inputs!$C$13-$D74*$E74</f>
        <v>3730</v>
      </c>
      <c r="AU74" s="84" t="n">
        <f aca="false">AT74*(1+$I74)</f>
        <v>4550.6</v>
      </c>
      <c r="AV74" s="133" t="n">
        <f aca="false">AU74*Inputs!$C$14</f>
        <v>0</v>
      </c>
      <c r="AW74" s="84" t="n">
        <f aca="false">AU74-AV74</f>
        <v>4550.6</v>
      </c>
      <c r="AX74" s="133" t="n">
        <f aca="false">$D74*Inputs!$C$13</f>
        <v>4000</v>
      </c>
      <c r="AY74" s="84" t="n">
        <f aca="false">MIN(AV74,AX74)</f>
        <v>0</v>
      </c>
      <c r="AZ74" s="84" t="n">
        <f aca="false">AX74-AY74</f>
        <v>4000</v>
      </c>
      <c r="BA74" s="84" t="n">
        <f aca="false">$G74*AX74</f>
        <v>0</v>
      </c>
      <c r="BB74" s="84" t="n">
        <f aca="false">MIN(AV74-AY74,BA74)</f>
        <v>0</v>
      </c>
      <c r="BC74" s="84" t="n">
        <f aca="false">BA74-BB74</f>
        <v>0</v>
      </c>
      <c r="BD74" s="84" t="n">
        <f aca="false">IF($H74=1,MIN(AV74-AY74-BB74,MAX(0,$F74/(1-$F74)*BB74)),0)</f>
        <v>0</v>
      </c>
      <c r="BE74" s="84" t="n">
        <f aca="false">AV74-AY74-BB74-BD74</f>
        <v>0</v>
      </c>
      <c r="BF74" s="84" t="n">
        <f aca="false">AY74+BB74+(1-$F74)*BE74</f>
        <v>0</v>
      </c>
      <c r="BG74" s="84" t="n">
        <f aca="false">BD74+$F74*BE74</f>
        <v>0</v>
      </c>
      <c r="BH74" s="84" t="n">
        <f aca="false">BB74+(1-$F74)*BE74</f>
        <v>0</v>
      </c>
      <c r="BI74" s="84" t="n">
        <f aca="false">BG74</f>
        <v>0</v>
      </c>
      <c r="BJ74" s="133" t="n">
        <f aca="false">AW74+$D74*Inputs!$D$13-$D74*$E74</f>
        <v>8280.6</v>
      </c>
      <c r="BK74" s="84" t="n">
        <f aca="false">BJ74*(1+$I74)</f>
        <v>10102.332</v>
      </c>
      <c r="BL74" s="133" t="n">
        <f aca="false">BK74*Inputs!$D$14</f>
        <v>0</v>
      </c>
      <c r="BM74" s="84" t="n">
        <f aca="false">BK74-BL74</f>
        <v>10102.332</v>
      </c>
      <c r="BN74" s="133" t="n">
        <f aca="false">AZ74+$D74*Inputs!$D$13</f>
        <v>8000</v>
      </c>
      <c r="BO74" s="84" t="n">
        <f aca="false">MIN(BL74,BN74)</f>
        <v>0</v>
      </c>
      <c r="BP74" s="84" t="n">
        <f aca="false">BN74-BO74</f>
        <v>8000</v>
      </c>
      <c r="BQ74" s="84" t="n">
        <f aca="false">BC74+$G74*(BN74+BC74)</f>
        <v>0</v>
      </c>
      <c r="BR74" s="84" t="n">
        <f aca="false">MIN(BL74-BO74,BQ74)</f>
        <v>0</v>
      </c>
      <c r="BS74" s="84" t="n">
        <f aca="false">BQ74-BR74</f>
        <v>0</v>
      </c>
      <c r="BT74" s="84" t="n">
        <f aca="false">IF($H74=1,MIN(BL74-BO74-BR74,MAX(0,$F74/(1-$F74)*(BH74+BR74)-BI74)),0)</f>
        <v>0</v>
      </c>
      <c r="BU74" s="84" t="n">
        <f aca="false">BL74-BO74-BR74-BT74</f>
        <v>0</v>
      </c>
      <c r="BV74" s="84" t="n">
        <f aca="false">BO74+BR74+(1-$F74)*BU74</f>
        <v>0</v>
      </c>
      <c r="BW74" s="84" t="n">
        <f aca="false">BT74+$F74*BU74</f>
        <v>0</v>
      </c>
      <c r="BX74" s="84" t="n">
        <f aca="false">BH74+BR74+(1-$F74)*BU74</f>
        <v>0</v>
      </c>
      <c r="BY74" s="84" t="n">
        <f aca="false">BI74+BW74</f>
        <v>0</v>
      </c>
      <c r="BZ74" s="133" t="n">
        <f aca="false">BM74+$D74*Inputs!$E$13-$D74*$E74</f>
        <v>13832.332</v>
      </c>
      <c r="CA74" s="84" t="n">
        <f aca="false">BZ74*(1+$I74)</f>
        <v>16875.44504</v>
      </c>
      <c r="CB74" s="133" t="n">
        <f aca="false">CA74*Inputs!$E$14</f>
        <v>0</v>
      </c>
      <c r="CC74" s="84" t="n">
        <f aca="false">CA74-CB74</f>
        <v>16875.44504</v>
      </c>
      <c r="CD74" s="133" t="n">
        <f aca="false">BP74+$D74*Inputs!$E$13</f>
        <v>12000</v>
      </c>
      <c r="CE74" s="84" t="n">
        <f aca="false">MIN(CB74,CD74)</f>
        <v>0</v>
      </c>
      <c r="CF74" s="84" t="n">
        <f aca="false">CD74-CE74</f>
        <v>12000</v>
      </c>
      <c r="CG74" s="84" t="n">
        <f aca="false">BS74+$G74*(CD74+BS74)</f>
        <v>0</v>
      </c>
      <c r="CH74" s="84" t="n">
        <f aca="false">MIN(CB74-CE74,CG74)</f>
        <v>0</v>
      </c>
      <c r="CI74" s="84" t="n">
        <f aca="false">CG74-CH74</f>
        <v>0</v>
      </c>
      <c r="CJ74" s="84" t="n">
        <f aca="false">IF($H74=1,MIN(CB74-CE74-CH74,MAX(0,$F74/(1-$F74)*(BX74+CH74)-BY74)),0)</f>
        <v>0</v>
      </c>
      <c r="CK74" s="84" t="n">
        <f aca="false">CB74-CE74-CH74-CJ74</f>
        <v>0</v>
      </c>
      <c r="CL74" s="84" t="n">
        <f aca="false">CE74+CH74+(1-$F74)*CK74</f>
        <v>0</v>
      </c>
      <c r="CM74" s="84" t="n">
        <f aca="false">CJ74+$F74*CK74</f>
        <v>0</v>
      </c>
      <c r="CN74" s="84" t="n">
        <f aca="false">BX74+CH74+(1-$F74)*CK74</f>
        <v>0</v>
      </c>
      <c r="CO74" s="84" t="n">
        <f aca="false">BY74+CM74</f>
        <v>0</v>
      </c>
      <c r="CP74" s="133" t="n">
        <f aca="false">CC74+$D74*Inputs!$F$13-$D74*$E74</f>
        <v>20605.44504</v>
      </c>
      <c r="CQ74" s="84" t="n">
        <f aca="false">CP74*(1+$I74)</f>
        <v>25138.6429488</v>
      </c>
      <c r="CR74" s="133" t="n">
        <f aca="false">CQ74*Inputs!$F$14</f>
        <v>0</v>
      </c>
      <c r="CS74" s="84" t="n">
        <f aca="false">CQ74-CR74</f>
        <v>25138.6429488</v>
      </c>
      <c r="CT74" s="133" t="n">
        <f aca="false">CF74+$D74*Inputs!$F$13</f>
        <v>16000</v>
      </c>
      <c r="CU74" s="84" t="n">
        <f aca="false">MIN(CR74,CT74)</f>
        <v>0</v>
      </c>
      <c r="CV74" s="84" t="n">
        <f aca="false">CT74-CU74</f>
        <v>16000</v>
      </c>
      <c r="CW74" s="84" t="n">
        <f aca="false">CI74+$G74*(CT74+CI74)</f>
        <v>0</v>
      </c>
      <c r="CX74" s="84" t="n">
        <f aca="false">MIN(CR74-CU74,CW74)</f>
        <v>0</v>
      </c>
      <c r="CY74" s="84" t="n">
        <f aca="false">CW74-CX74</f>
        <v>0</v>
      </c>
      <c r="CZ74" s="84" t="n">
        <f aca="false">IF($H74=1,MIN(CR74-CU74-CX74,MAX(0,$F74/(1-$F74)*(CN74+CX74)-CO74)),0)</f>
        <v>0</v>
      </c>
      <c r="DA74" s="84" t="n">
        <f aca="false">CR74-CU74-CX74-CZ74</f>
        <v>0</v>
      </c>
      <c r="DB74" s="84" t="n">
        <f aca="false">CU74+CX74+(1-$F74)*DA74</f>
        <v>0</v>
      </c>
      <c r="DC74" s="84" t="n">
        <f aca="false">CZ74+$F74*DA74</f>
        <v>0</v>
      </c>
      <c r="DD74" s="84" t="n">
        <f aca="false">CN74+CX74+(1-$F74)*DA74</f>
        <v>0</v>
      </c>
      <c r="DE74" s="84" t="n">
        <f aca="false">CO74+DC74</f>
        <v>0</v>
      </c>
      <c r="DF74" s="133" t="n">
        <f aca="false">CS74+$D74*Inputs!$G$13-$D74*$E74</f>
        <v>28868.6429488</v>
      </c>
      <c r="DG74" s="84" t="n">
        <f aca="false">DF74*(1+$I74)</f>
        <v>35219.744397536</v>
      </c>
      <c r="DH74" s="133" t="n">
        <f aca="false">DG74*Inputs!$G$14</f>
        <v>7043.9488795072</v>
      </c>
      <c r="DI74" s="84" t="n">
        <f aca="false">DG74-DH74</f>
        <v>28175.7955180288</v>
      </c>
      <c r="DJ74" s="133" t="n">
        <f aca="false">CV74+$D74*Inputs!$G$13</f>
        <v>20000</v>
      </c>
      <c r="DK74" s="84" t="n">
        <f aca="false">MIN(DH74,DJ74)</f>
        <v>7043.9488795072</v>
      </c>
      <c r="DL74" s="84" t="n">
        <f aca="false">DJ74-DK74</f>
        <v>12956.0511204928</v>
      </c>
      <c r="DM74" s="84" t="n">
        <f aca="false">CY74+$G74*(DJ74+CY74)</f>
        <v>0</v>
      </c>
      <c r="DN74" s="84" t="n">
        <f aca="false">MIN(DH74-DK74,DM74)</f>
        <v>0</v>
      </c>
      <c r="DO74" s="84" t="n">
        <f aca="false">DM74-DN74</f>
        <v>0</v>
      </c>
      <c r="DP74" s="84" t="n">
        <f aca="false">IF($H74=1,MIN(DH74-DK74-DN74,MAX(0,$F74/(1-$F74)*(DD74+DN74)-DE74)),0)</f>
        <v>0</v>
      </c>
      <c r="DQ74" s="84" t="n">
        <f aca="false">DH74-DK74-DN74-DP74</f>
        <v>0</v>
      </c>
      <c r="DR74" s="84" t="n">
        <f aca="false">DK74+DN74+(1-$F74)*DQ74</f>
        <v>7043.9488795072</v>
      </c>
      <c r="DS74" s="84" t="n">
        <f aca="false">DP74+$F74*DQ74</f>
        <v>0</v>
      </c>
      <c r="DT74" s="84" t="n">
        <f aca="false">DD74+DN74+(1-$F74)*DQ74</f>
        <v>0</v>
      </c>
      <c r="DU74" s="84" t="n">
        <f aca="false">DE74+DS74</f>
        <v>0</v>
      </c>
      <c r="DV74" s="133" t="n">
        <f aca="false">DI74+$D74*Inputs!$H$13-$D74*$E74</f>
        <v>27905.7955180288</v>
      </c>
      <c r="DW74" s="84" t="n">
        <f aca="false">DV74*(1+$I74)</f>
        <v>34045.0705319951</v>
      </c>
      <c r="DX74" s="133" t="n">
        <f aca="false">DW74*Inputs!$H$14</f>
        <v>6809.01410639903</v>
      </c>
      <c r="DY74" s="84" t="n">
        <f aca="false">DW74-DX74</f>
        <v>27236.0564255961</v>
      </c>
      <c r="DZ74" s="133" t="n">
        <f aca="false">DL74+$D74*Inputs!$H$13</f>
        <v>12956.0511204928</v>
      </c>
      <c r="EA74" s="84" t="n">
        <f aca="false">MIN(DX74,DZ74)</f>
        <v>6809.01410639903</v>
      </c>
      <c r="EB74" s="84" t="n">
        <f aca="false">DZ74-EA74</f>
        <v>6147.03701409377</v>
      </c>
      <c r="EC74" s="84" t="n">
        <f aca="false">DO74+$G74*(DZ74+DO74)</f>
        <v>0</v>
      </c>
      <c r="ED74" s="84" t="n">
        <f aca="false">MIN(DX74-EA74,EC74)</f>
        <v>0</v>
      </c>
      <c r="EE74" s="84" t="n">
        <f aca="false">EC74-ED74</f>
        <v>0</v>
      </c>
      <c r="EF74" s="84" t="n">
        <f aca="false">IF($H74=1,MIN(DX74-EA74-ED74,MAX(0,$F74/(1-$F74)*(DT74+ED74)-DU74)),0)</f>
        <v>0</v>
      </c>
      <c r="EG74" s="84" t="n">
        <f aca="false">DX74-EA74-ED74-EF74</f>
        <v>0</v>
      </c>
      <c r="EH74" s="84" t="n">
        <f aca="false">EA74+ED74+(1-$F74)*EG74</f>
        <v>6809.01410639903</v>
      </c>
      <c r="EI74" s="84" t="n">
        <f aca="false">EF74+$F74*EG74</f>
        <v>0</v>
      </c>
      <c r="EJ74" s="84" t="n">
        <f aca="false">DT74+ED74+(1-$F74)*EG74</f>
        <v>0</v>
      </c>
      <c r="EK74" s="84" t="n">
        <f aca="false">DU74+EI74</f>
        <v>0</v>
      </c>
      <c r="EL74" s="133" t="n">
        <f aca="false">DY74+$D74*Inputs!$I$13-$D74*$E74</f>
        <v>26966.0564255961</v>
      </c>
      <c r="EM74" s="84" t="n">
        <f aca="false">EL74*(1+$I74)</f>
        <v>32898.5888392273</v>
      </c>
      <c r="EN74" s="133" t="n">
        <f aca="false">EM74*Inputs!$I$14</f>
        <v>6579.71776784545</v>
      </c>
      <c r="EO74" s="84" t="n">
        <f aca="false">EM74-EN74</f>
        <v>26318.8710713818</v>
      </c>
      <c r="EP74" s="133" t="n">
        <f aca="false">EB74+$D74*Inputs!$I$13</f>
        <v>6147.03701409377</v>
      </c>
      <c r="EQ74" s="84" t="n">
        <f aca="false">MIN(EN74,EP74)</f>
        <v>6147.03701409377</v>
      </c>
      <c r="ER74" s="84" t="n">
        <f aca="false">EP74-EQ74</f>
        <v>0</v>
      </c>
      <c r="ES74" s="84" t="n">
        <f aca="false">EE74+$G74*(EP74+EE74)</f>
        <v>0</v>
      </c>
      <c r="ET74" s="84" t="n">
        <f aca="false">MIN(EN74-EQ74,ES74)</f>
        <v>0</v>
      </c>
      <c r="EU74" s="84" t="n">
        <f aca="false">ES74-ET74</f>
        <v>0</v>
      </c>
      <c r="EV74" s="84" t="n">
        <f aca="false">IF($H74=1,MIN(EN74-EQ74-ET74,MAX(0,$F74/(1-$F74)*(EJ74+ET74)-EK74)),0)</f>
        <v>0</v>
      </c>
      <c r="EW74" s="84" t="n">
        <f aca="false">EN74-EQ74-ET74-EV74</f>
        <v>432.680753751678</v>
      </c>
      <c r="EX74" s="84" t="n">
        <f aca="false">EQ74+ET74+(1-$F74)*EW74</f>
        <v>6493.18161709512</v>
      </c>
      <c r="EY74" s="84" t="n">
        <f aca="false">EV74+$F74*EW74</f>
        <v>86.5361507503356</v>
      </c>
      <c r="EZ74" s="84" t="n">
        <f aca="false">EJ74+ET74+(1-$F74)*EW74</f>
        <v>346.144603001342</v>
      </c>
      <c r="FA74" s="84" t="n">
        <f aca="false">EK74+EY74</f>
        <v>86.5361507503356</v>
      </c>
      <c r="FB74" s="133" t="n">
        <f aca="false">EO74+$D74*Inputs!$J$13-$D74*$E74</f>
        <v>26048.8710713818</v>
      </c>
      <c r="FC74" s="84" t="n">
        <f aca="false">FB74*(1+$I74)</f>
        <v>31779.6227070858</v>
      </c>
      <c r="FD74" s="133" t="n">
        <f aca="false">FC74*Inputs!$J$14</f>
        <v>6355.92454141716</v>
      </c>
      <c r="FE74" s="84" t="n">
        <f aca="false">FC74-FD74</f>
        <v>25423.6981656686</v>
      </c>
      <c r="FF74" s="133" t="n">
        <f aca="false">ER74+$D74*Inputs!$J$13</f>
        <v>0</v>
      </c>
      <c r="FG74" s="84" t="n">
        <f aca="false">MIN(FD74,FF74)</f>
        <v>0</v>
      </c>
      <c r="FH74" s="84" t="n">
        <f aca="false">FF74-FG74</f>
        <v>0</v>
      </c>
      <c r="FI74" s="84" t="n">
        <f aca="false">EU74+$G74*(FF74+EU74)</f>
        <v>0</v>
      </c>
      <c r="FJ74" s="84" t="n">
        <f aca="false">MIN(FD74-FG74,FI74)</f>
        <v>0</v>
      </c>
      <c r="FK74" s="84" t="n">
        <f aca="false">FI74-FJ74</f>
        <v>0</v>
      </c>
      <c r="FL74" s="84" t="n">
        <f aca="false">IF($H74=1,MIN(FD74-FG74-FJ74,MAX(0,$F74/(1-$F74)*(EZ74+FJ74)-FA74)),0)</f>
        <v>0</v>
      </c>
      <c r="FM74" s="84" t="n">
        <f aca="false">FD74-FG74-FJ74-FL74</f>
        <v>6355.92454141716</v>
      </c>
      <c r="FN74" s="84" t="n">
        <f aca="false">FG74+FJ74+(1-$F74)*FM74</f>
        <v>5084.73963313373</v>
      </c>
      <c r="FO74" s="84" t="n">
        <f aca="false">FL74+$F74*FM74</f>
        <v>1271.18490828343</v>
      </c>
      <c r="FP74" s="84" t="n">
        <f aca="false">EZ74+FJ74+(1-$F74)*FM74</f>
        <v>5430.88423613507</v>
      </c>
      <c r="FQ74" s="84" t="n">
        <f aca="false">FA74+FO74</f>
        <v>1357.72105903377</v>
      </c>
      <c r="FR74" s="133" t="n">
        <f aca="false">FE74+$D74*Inputs!$K$13-$D74*$E74</f>
        <v>25153.6981656686</v>
      </c>
      <c r="FS74" s="84" t="n">
        <f aca="false">FR74*(1+$I74)</f>
        <v>30687.5117621157</v>
      </c>
      <c r="FT74" s="133" t="n">
        <f aca="false">FS74*Inputs!$K$14</f>
        <v>6137.50235242315</v>
      </c>
      <c r="FU74" s="84" t="n">
        <f aca="false">FS74-FT74</f>
        <v>24550.0094096926</v>
      </c>
      <c r="FV74" s="133" t="n">
        <f aca="false">FH74+$D74*Inputs!$K$13</f>
        <v>0</v>
      </c>
      <c r="FW74" s="84" t="n">
        <f aca="false">MIN(FT74,FV74)</f>
        <v>0</v>
      </c>
      <c r="FX74" s="84" t="n">
        <f aca="false">FV74-FW74</f>
        <v>0</v>
      </c>
      <c r="FY74" s="84" t="n">
        <f aca="false">FK74+$G74*(FV74+FK74)</f>
        <v>0</v>
      </c>
      <c r="FZ74" s="84" t="n">
        <f aca="false">MIN(FT74-FW74,FY74)</f>
        <v>0</v>
      </c>
      <c r="GA74" s="84" t="n">
        <f aca="false">FY74-FZ74</f>
        <v>0</v>
      </c>
      <c r="GB74" s="84" t="n">
        <f aca="false">IF($H74=1,MIN(FT74-FW74-FZ74,MAX(0,$F74/(1-$F74)*(FP74+FZ74)-FQ74)),0)</f>
        <v>0</v>
      </c>
      <c r="GC74" s="84" t="n">
        <f aca="false">FT74-FW74-FZ74-GB74</f>
        <v>6137.50235242315</v>
      </c>
      <c r="GD74" s="84" t="n">
        <f aca="false">FW74+FZ74+(1-$F74)*GC74</f>
        <v>4910.00188193852</v>
      </c>
      <c r="GE74" s="84" t="n">
        <f aca="false">GB74+$F74*GC74</f>
        <v>1227.50047048463</v>
      </c>
      <c r="GF74" s="84" t="n">
        <f aca="false">FP74+FZ74+(1-$F74)*GC74</f>
        <v>10340.8861180736</v>
      </c>
      <c r="GG74" s="84" t="n">
        <f aca="false">FQ74+GE74</f>
        <v>2585.2215295184</v>
      </c>
      <c r="GH74" s="133" t="n">
        <f aca="false">FU74+$D74*Inputs!$L$13-$D74*$E74</f>
        <v>24280.0094096926</v>
      </c>
      <c r="GI74" s="84" t="n">
        <f aca="false">GH74*(1+$I74)</f>
        <v>29621.611479825</v>
      </c>
      <c r="GJ74" s="133" t="n">
        <f aca="false">GI74*Inputs!$L$14</f>
        <v>29621.611479825</v>
      </c>
      <c r="GK74" s="84" t="n">
        <f aca="false">GI74-GJ74</f>
        <v>0</v>
      </c>
      <c r="GL74" s="133" t="n">
        <f aca="false">FX74+$D74*Inputs!$L$13</f>
        <v>0</v>
      </c>
      <c r="GM74" s="84" t="n">
        <f aca="false">MIN(GJ74,GL74)</f>
        <v>0</v>
      </c>
      <c r="GN74" s="84" t="n">
        <f aca="false">GL74-GM74</f>
        <v>0</v>
      </c>
      <c r="GO74" s="84" t="n">
        <f aca="false">GA74+$G74*(GL74+GA74)</f>
        <v>0</v>
      </c>
      <c r="GP74" s="84" t="n">
        <f aca="false">MIN(GJ74-GM74,GO74)</f>
        <v>0</v>
      </c>
      <c r="GQ74" s="84" t="n">
        <f aca="false">GO74-GP74</f>
        <v>0</v>
      </c>
      <c r="GR74" s="84" t="n">
        <f aca="false">IF($H74=1,MIN(GJ74-GM74-GP74,MAX(0,$F74/(1-$F74)*(GF74+GP74)-GG74)),0)</f>
        <v>0</v>
      </c>
      <c r="GS74" s="84" t="n">
        <f aca="false">GJ74-GM74-GP74-GR74</f>
        <v>29621.611479825</v>
      </c>
      <c r="GT74" s="84" t="n">
        <f aca="false">GM74+GP74+(1-$F74)*GS74</f>
        <v>23697.28918386</v>
      </c>
      <c r="GU74" s="84" t="n">
        <f aca="false">GR74+$F74*GS74</f>
        <v>5924.32229596499</v>
      </c>
      <c r="GV74" s="84" t="n">
        <f aca="false">GF74+GP74+(1-$F74)*GS74</f>
        <v>34038.1753019336</v>
      </c>
      <c r="GW74" s="84" t="n">
        <f aca="false">GG74+GU74</f>
        <v>8509.54382548339</v>
      </c>
    </row>
    <row r="75" customFormat="false" ht="15" hidden="false" customHeight="false" outlineLevel="0" collapsed="false">
      <c r="A75" s="5" t="s">
        <v>637</v>
      </c>
      <c r="B75" s="5" t="s">
        <v>638</v>
      </c>
      <c r="C75" s="135" t="n">
        <v>23</v>
      </c>
      <c r="D75" s="47" t="n">
        <f aca="false">Inputs!$C$6</f>
        <v>20000</v>
      </c>
      <c r="E75" s="35" t="n">
        <f aca="false">Inputs!$C$19</f>
        <v>0.0135</v>
      </c>
      <c r="F75" s="36" t="n">
        <f aca="false">Inputs!$C$20</f>
        <v>0.2</v>
      </c>
      <c r="G75" s="30" t="n">
        <v>0</v>
      </c>
      <c r="H75" s="27" t="n">
        <v>0</v>
      </c>
      <c r="I75" s="132" t="n">
        <f aca="false">Inputs!$C$38+$C75*Inputs!$C$39</f>
        <v>0.23</v>
      </c>
      <c r="J75" s="36" t="n">
        <f aca="false">Inputs!$C$9</f>
        <v>0.15</v>
      </c>
      <c r="K75" s="89" t="n">
        <f aca="false">IRR(W75:AG75,0.1)</f>
        <v>0.187571162454014</v>
      </c>
      <c r="L75" s="45" t="n">
        <f aca="false">W75+NPV($J75,X75:AG75)</f>
        <v>3256.58904968019</v>
      </c>
      <c r="M75" s="45" t="n">
        <f aca="false">SUM(BF75,BV75,CL75,DB75,DR75,EH75,EX75,FN75,GD75,GT75)</f>
        <v>56970.7134919231</v>
      </c>
      <c r="N75" s="43" t="n">
        <f aca="false">IF($D75*SUM(Inputs!$C$13:$L$13)=0,0,M75/($D75*SUM(Inputs!$C$13:$L$13)))</f>
        <v>2.84853567459616</v>
      </c>
      <c r="O75" s="42" t="n">
        <f aca="false">$D75*$E75*COLUMNS(Inputs!$C$13:$L$13)</f>
        <v>2700</v>
      </c>
      <c r="P75" s="45" t="n">
        <f aca="false">SUM(BG75,BW75,CM75,DC75,DS75,EI75,EY75,FO75,GE75,GU75)</f>
        <v>9242.67837298078</v>
      </c>
      <c r="Q75" s="42" t="n">
        <f aca="false">PV($J75,COLUMNS(Inputs!$C$13:$L$13),-$D75*$E75,0,1)</f>
        <v>1558.32765832774</v>
      </c>
      <c r="R75" s="45" t="n">
        <f aca="false">NPV($J75,BG75,BW75,CM75,DC75,DS75,EI75,EY75,FO75,GE75,GU75)</f>
        <v>2470.40532709376</v>
      </c>
      <c r="S75" s="45" t="n">
        <f aca="false">Q75+R75</f>
        <v>4028.7329854215</v>
      </c>
      <c r="T75" s="32" t="n">
        <f aca="false">IF(S75=0,0,Q75/S75)</f>
        <v>0.386803410393976</v>
      </c>
      <c r="U75" s="45" t="n">
        <f aca="false">ROUND(ABS(GK75)+ABS(SUM(AV75,BL75,CB75,CR75,DH75,DX75,EN75,FD75,FT75,GJ75)-M75-P75)+ABS(S75-(AH75+NPV($J75,AI75:AR75))),6)</f>
        <v>0</v>
      </c>
      <c r="W75" s="133" t="n">
        <f aca="false">-$D75*Inputs!$C$13</f>
        <v>-4000</v>
      </c>
      <c r="X75" s="133" t="n">
        <f aca="false">BF75-$D75*Inputs!$D$13</f>
        <v>-4000</v>
      </c>
      <c r="Y75" s="133" t="n">
        <f aca="false">BV75-$D75*Inputs!$E$13</f>
        <v>-4000</v>
      </c>
      <c r="Z75" s="133" t="n">
        <f aca="false">CL75-$D75*Inputs!$F$13</f>
        <v>-4000</v>
      </c>
      <c r="AA75" s="133" t="n">
        <f aca="false">DB75-$D75*Inputs!$G$13</f>
        <v>-4000</v>
      </c>
      <c r="AB75" s="133" t="n">
        <f aca="false">DR75-$D75*Inputs!$H$13</f>
        <v>7242.1225643478</v>
      </c>
      <c r="AC75" s="133" t="n">
        <f aca="false">EH75-$D75*Inputs!$I$13</f>
        <v>7059.82860331824</v>
      </c>
      <c r="AD75" s="133" t="n">
        <f aca="false">EX75-$D75*Inputs!$J$13</f>
        <v>6643.97084299891</v>
      </c>
      <c r="AE75" s="133" t="n">
        <f aca="false">FN75-$D75*Inputs!$K$13</f>
        <v>5363.1552993076</v>
      </c>
      <c r="AF75" s="133" t="n">
        <f aca="false">GD75-$D75*Inputs!$L$13</f>
        <v>5224.20881451868</v>
      </c>
      <c r="AG75" s="84" t="n">
        <f aca="false">GT75</f>
        <v>25437.4273674319</v>
      </c>
      <c r="AH75" s="84" t="n">
        <f aca="false">$D75*$E75</f>
        <v>270</v>
      </c>
      <c r="AI75" s="84" t="n">
        <f aca="false">BG75+$D75*$E75</f>
        <v>270</v>
      </c>
      <c r="AJ75" s="84" t="n">
        <f aca="false">BW75+$D75*$E75</f>
        <v>270</v>
      </c>
      <c r="AK75" s="84" t="n">
        <f aca="false">CM75+$D75*$E75</f>
        <v>270</v>
      </c>
      <c r="AL75" s="84" t="n">
        <f aca="false">DC75+$D75*$E75</f>
        <v>270</v>
      </c>
      <c r="AM75" s="84" t="n">
        <f aca="false">DS75+$D75*$E75</f>
        <v>270</v>
      </c>
      <c r="AN75" s="84" t="n">
        <f aca="false">EI75+$D75*$E75</f>
        <v>270</v>
      </c>
      <c r="AO75" s="84" t="n">
        <f aca="false">EY75+$D75*$E75</f>
        <v>506.480502666236</v>
      </c>
      <c r="AP75" s="84" t="n">
        <f aca="false">FO75+$D75*$E75</f>
        <v>1610.7888248269</v>
      </c>
      <c r="AQ75" s="84" t="n">
        <f aca="false">GE75+$D75*$E75</f>
        <v>1576.05220362967</v>
      </c>
      <c r="AR75" s="84" t="n">
        <f aca="false">GU75</f>
        <v>6359.35684185798</v>
      </c>
      <c r="AT75" s="133" t="n">
        <f aca="false">$D75*Inputs!$C$13-$D75*$E75</f>
        <v>3730</v>
      </c>
      <c r="AU75" s="84" t="n">
        <f aca="false">AT75*(1+$I75)</f>
        <v>4587.9</v>
      </c>
      <c r="AV75" s="133" t="n">
        <f aca="false">AU75*Inputs!$C$14</f>
        <v>0</v>
      </c>
      <c r="AW75" s="84" t="n">
        <f aca="false">AU75-AV75</f>
        <v>4587.9</v>
      </c>
      <c r="AX75" s="133" t="n">
        <f aca="false">$D75*Inputs!$C$13</f>
        <v>4000</v>
      </c>
      <c r="AY75" s="84" t="n">
        <f aca="false">MIN(AV75,AX75)</f>
        <v>0</v>
      </c>
      <c r="AZ75" s="84" t="n">
        <f aca="false">AX75-AY75</f>
        <v>4000</v>
      </c>
      <c r="BA75" s="84" t="n">
        <f aca="false">$G75*AX75</f>
        <v>0</v>
      </c>
      <c r="BB75" s="84" t="n">
        <f aca="false">MIN(AV75-AY75,BA75)</f>
        <v>0</v>
      </c>
      <c r="BC75" s="84" t="n">
        <f aca="false">BA75-BB75</f>
        <v>0</v>
      </c>
      <c r="BD75" s="84" t="n">
        <f aca="false">IF($H75=1,MIN(AV75-AY75-BB75,MAX(0,$F75/(1-$F75)*BB75)),0)</f>
        <v>0</v>
      </c>
      <c r="BE75" s="84" t="n">
        <f aca="false">AV75-AY75-BB75-BD75</f>
        <v>0</v>
      </c>
      <c r="BF75" s="84" t="n">
        <f aca="false">AY75+BB75+(1-$F75)*BE75</f>
        <v>0</v>
      </c>
      <c r="BG75" s="84" t="n">
        <f aca="false">BD75+$F75*BE75</f>
        <v>0</v>
      </c>
      <c r="BH75" s="84" t="n">
        <f aca="false">BB75+(1-$F75)*BE75</f>
        <v>0</v>
      </c>
      <c r="BI75" s="84" t="n">
        <f aca="false">BG75</f>
        <v>0</v>
      </c>
      <c r="BJ75" s="133" t="n">
        <f aca="false">AW75+$D75*Inputs!$D$13-$D75*$E75</f>
        <v>8317.9</v>
      </c>
      <c r="BK75" s="84" t="n">
        <f aca="false">BJ75*(1+$I75)</f>
        <v>10231.017</v>
      </c>
      <c r="BL75" s="133" t="n">
        <f aca="false">BK75*Inputs!$D$14</f>
        <v>0</v>
      </c>
      <c r="BM75" s="84" t="n">
        <f aca="false">BK75-BL75</f>
        <v>10231.017</v>
      </c>
      <c r="BN75" s="133" t="n">
        <f aca="false">AZ75+$D75*Inputs!$D$13</f>
        <v>8000</v>
      </c>
      <c r="BO75" s="84" t="n">
        <f aca="false">MIN(BL75,BN75)</f>
        <v>0</v>
      </c>
      <c r="BP75" s="84" t="n">
        <f aca="false">BN75-BO75</f>
        <v>8000</v>
      </c>
      <c r="BQ75" s="84" t="n">
        <f aca="false">BC75+$G75*(BN75+BC75)</f>
        <v>0</v>
      </c>
      <c r="BR75" s="84" t="n">
        <f aca="false">MIN(BL75-BO75,BQ75)</f>
        <v>0</v>
      </c>
      <c r="BS75" s="84" t="n">
        <f aca="false">BQ75-BR75</f>
        <v>0</v>
      </c>
      <c r="BT75" s="84" t="n">
        <f aca="false">IF($H75=1,MIN(BL75-BO75-BR75,MAX(0,$F75/(1-$F75)*(BH75+BR75)-BI75)),0)</f>
        <v>0</v>
      </c>
      <c r="BU75" s="84" t="n">
        <f aca="false">BL75-BO75-BR75-BT75</f>
        <v>0</v>
      </c>
      <c r="BV75" s="84" t="n">
        <f aca="false">BO75+BR75+(1-$F75)*BU75</f>
        <v>0</v>
      </c>
      <c r="BW75" s="84" t="n">
        <f aca="false">BT75+$F75*BU75</f>
        <v>0</v>
      </c>
      <c r="BX75" s="84" t="n">
        <f aca="false">BH75+BR75+(1-$F75)*BU75</f>
        <v>0</v>
      </c>
      <c r="BY75" s="84" t="n">
        <f aca="false">BI75+BW75</f>
        <v>0</v>
      </c>
      <c r="BZ75" s="133" t="n">
        <f aca="false">BM75+$D75*Inputs!$E$13-$D75*$E75</f>
        <v>13961.017</v>
      </c>
      <c r="CA75" s="84" t="n">
        <f aca="false">BZ75*(1+$I75)</f>
        <v>17172.05091</v>
      </c>
      <c r="CB75" s="133" t="n">
        <f aca="false">CA75*Inputs!$E$14</f>
        <v>0</v>
      </c>
      <c r="CC75" s="84" t="n">
        <f aca="false">CA75-CB75</f>
        <v>17172.05091</v>
      </c>
      <c r="CD75" s="133" t="n">
        <f aca="false">BP75+$D75*Inputs!$E$13</f>
        <v>12000</v>
      </c>
      <c r="CE75" s="84" t="n">
        <f aca="false">MIN(CB75,CD75)</f>
        <v>0</v>
      </c>
      <c r="CF75" s="84" t="n">
        <f aca="false">CD75-CE75</f>
        <v>12000</v>
      </c>
      <c r="CG75" s="84" t="n">
        <f aca="false">BS75+$G75*(CD75+BS75)</f>
        <v>0</v>
      </c>
      <c r="CH75" s="84" t="n">
        <f aca="false">MIN(CB75-CE75,CG75)</f>
        <v>0</v>
      </c>
      <c r="CI75" s="84" t="n">
        <f aca="false">CG75-CH75</f>
        <v>0</v>
      </c>
      <c r="CJ75" s="84" t="n">
        <f aca="false">IF($H75=1,MIN(CB75-CE75-CH75,MAX(0,$F75/(1-$F75)*(BX75+CH75)-BY75)),0)</f>
        <v>0</v>
      </c>
      <c r="CK75" s="84" t="n">
        <f aca="false">CB75-CE75-CH75-CJ75</f>
        <v>0</v>
      </c>
      <c r="CL75" s="84" t="n">
        <f aca="false">CE75+CH75+(1-$F75)*CK75</f>
        <v>0</v>
      </c>
      <c r="CM75" s="84" t="n">
        <f aca="false">CJ75+$F75*CK75</f>
        <v>0</v>
      </c>
      <c r="CN75" s="84" t="n">
        <f aca="false">BX75+CH75+(1-$F75)*CK75</f>
        <v>0</v>
      </c>
      <c r="CO75" s="84" t="n">
        <f aca="false">BY75+CM75</f>
        <v>0</v>
      </c>
      <c r="CP75" s="133" t="n">
        <f aca="false">CC75+$D75*Inputs!$F$13-$D75*$E75</f>
        <v>20902.05091</v>
      </c>
      <c r="CQ75" s="84" t="n">
        <f aca="false">CP75*(1+$I75)</f>
        <v>25709.5226193</v>
      </c>
      <c r="CR75" s="133" t="n">
        <f aca="false">CQ75*Inputs!$F$14</f>
        <v>0</v>
      </c>
      <c r="CS75" s="84" t="n">
        <f aca="false">CQ75-CR75</f>
        <v>25709.5226193</v>
      </c>
      <c r="CT75" s="133" t="n">
        <f aca="false">CF75+$D75*Inputs!$F$13</f>
        <v>16000</v>
      </c>
      <c r="CU75" s="84" t="n">
        <f aca="false">MIN(CR75,CT75)</f>
        <v>0</v>
      </c>
      <c r="CV75" s="84" t="n">
        <f aca="false">CT75-CU75</f>
        <v>16000</v>
      </c>
      <c r="CW75" s="84" t="n">
        <f aca="false">CI75+$G75*(CT75+CI75)</f>
        <v>0</v>
      </c>
      <c r="CX75" s="84" t="n">
        <f aca="false">MIN(CR75-CU75,CW75)</f>
        <v>0</v>
      </c>
      <c r="CY75" s="84" t="n">
        <f aca="false">CW75-CX75</f>
        <v>0</v>
      </c>
      <c r="CZ75" s="84" t="n">
        <f aca="false">IF($H75=1,MIN(CR75-CU75-CX75,MAX(0,$F75/(1-$F75)*(CN75+CX75)-CO75)),0)</f>
        <v>0</v>
      </c>
      <c r="DA75" s="84" t="n">
        <f aca="false">CR75-CU75-CX75-CZ75</f>
        <v>0</v>
      </c>
      <c r="DB75" s="84" t="n">
        <f aca="false">CU75+CX75+(1-$F75)*DA75</f>
        <v>0</v>
      </c>
      <c r="DC75" s="84" t="n">
        <f aca="false">CZ75+$F75*DA75</f>
        <v>0</v>
      </c>
      <c r="DD75" s="84" t="n">
        <f aca="false">CN75+CX75+(1-$F75)*DA75</f>
        <v>0</v>
      </c>
      <c r="DE75" s="84" t="n">
        <f aca="false">CO75+DC75</f>
        <v>0</v>
      </c>
      <c r="DF75" s="133" t="n">
        <f aca="false">CS75+$D75*Inputs!$G$13-$D75*$E75</f>
        <v>29439.5226193</v>
      </c>
      <c r="DG75" s="84" t="n">
        <f aca="false">DF75*(1+$I75)</f>
        <v>36210.612821739</v>
      </c>
      <c r="DH75" s="133" t="n">
        <f aca="false">DG75*Inputs!$G$14</f>
        <v>7242.1225643478</v>
      </c>
      <c r="DI75" s="84" t="n">
        <f aca="false">DG75-DH75</f>
        <v>28968.4902573912</v>
      </c>
      <c r="DJ75" s="133" t="n">
        <f aca="false">CV75+$D75*Inputs!$G$13</f>
        <v>20000</v>
      </c>
      <c r="DK75" s="84" t="n">
        <f aca="false">MIN(DH75,DJ75)</f>
        <v>7242.1225643478</v>
      </c>
      <c r="DL75" s="84" t="n">
        <f aca="false">DJ75-DK75</f>
        <v>12757.8774356522</v>
      </c>
      <c r="DM75" s="84" t="n">
        <f aca="false">CY75+$G75*(DJ75+CY75)</f>
        <v>0</v>
      </c>
      <c r="DN75" s="84" t="n">
        <f aca="false">MIN(DH75-DK75,DM75)</f>
        <v>0</v>
      </c>
      <c r="DO75" s="84" t="n">
        <f aca="false">DM75-DN75</f>
        <v>0</v>
      </c>
      <c r="DP75" s="84" t="n">
        <f aca="false">IF($H75=1,MIN(DH75-DK75-DN75,MAX(0,$F75/(1-$F75)*(DD75+DN75)-DE75)),0)</f>
        <v>0</v>
      </c>
      <c r="DQ75" s="84" t="n">
        <f aca="false">DH75-DK75-DN75-DP75</f>
        <v>0</v>
      </c>
      <c r="DR75" s="84" t="n">
        <f aca="false">DK75+DN75+(1-$F75)*DQ75</f>
        <v>7242.1225643478</v>
      </c>
      <c r="DS75" s="84" t="n">
        <f aca="false">DP75+$F75*DQ75</f>
        <v>0</v>
      </c>
      <c r="DT75" s="84" t="n">
        <f aca="false">DD75+DN75+(1-$F75)*DQ75</f>
        <v>0</v>
      </c>
      <c r="DU75" s="84" t="n">
        <f aca="false">DE75+DS75</f>
        <v>0</v>
      </c>
      <c r="DV75" s="133" t="n">
        <f aca="false">DI75+$D75*Inputs!$H$13-$D75*$E75</f>
        <v>28698.4902573912</v>
      </c>
      <c r="DW75" s="84" t="n">
        <f aca="false">DV75*(1+$I75)</f>
        <v>35299.1430165912</v>
      </c>
      <c r="DX75" s="133" t="n">
        <f aca="false">DW75*Inputs!$H$14</f>
        <v>7059.82860331824</v>
      </c>
      <c r="DY75" s="84" t="n">
        <f aca="false">DW75-DX75</f>
        <v>28239.3144132729</v>
      </c>
      <c r="DZ75" s="133" t="n">
        <f aca="false">DL75+$D75*Inputs!$H$13</f>
        <v>12757.8774356522</v>
      </c>
      <c r="EA75" s="84" t="n">
        <f aca="false">MIN(DX75,DZ75)</f>
        <v>7059.82860331824</v>
      </c>
      <c r="EB75" s="84" t="n">
        <f aca="false">DZ75-EA75</f>
        <v>5698.04883233397</v>
      </c>
      <c r="EC75" s="84" t="n">
        <f aca="false">DO75+$G75*(DZ75+DO75)</f>
        <v>0</v>
      </c>
      <c r="ED75" s="84" t="n">
        <f aca="false">MIN(DX75-EA75,EC75)</f>
        <v>0</v>
      </c>
      <c r="EE75" s="84" t="n">
        <f aca="false">EC75-ED75</f>
        <v>0</v>
      </c>
      <c r="EF75" s="84" t="n">
        <f aca="false">IF($H75=1,MIN(DX75-EA75-ED75,MAX(0,$F75/(1-$F75)*(DT75+ED75)-DU75)),0)</f>
        <v>0</v>
      </c>
      <c r="EG75" s="84" t="n">
        <f aca="false">DX75-EA75-ED75-EF75</f>
        <v>0</v>
      </c>
      <c r="EH75" s="84" t="n">
        <f aca="false">EA75+ED75+(1-$F75)*EG75</f>
        <v>7059.82860331824</v>
      </c>
      <c r="EI75" s="84" t="n">
        <f aca="false">EF75+$F75*EG75</f>
        <v>0</v>
      </c>
      <c r="EJ75" s="84" t="n">
        <f aca="false">DT75+ED75+(1-$F75)*EG75</f>
        <v>0</v>
      </c>
      <c r="EK75" s="84" t="n">
        <f aca="false">DU75+EI75</f>
        <v>0</v>
      </c>
      <c r="EL75" s="133" t="n">
        <f aca="false">DY75+$D75*Inputs!$I$13-$D75*$E75</f>
        <v>27969.3144132729</v>
      </c>
      <c r="EM75" s="84" t="n">
        <f aca="false">EL75*(1+$I75)</f>
        <v>34402.2567283257</v>
      </c>
      <c r="EN75" s="133" t="n">
        <f aca="false">EM75*Inputs!$I$14</f>
        <v>6880.45134566514</v>
      </c>
      <c r="EO75" s="84" t="n">
        <f aca="false">EM75-EN75</f>
        <v>27521.8053826606</v>
      </c>
      <c r="EP75" s="133" t="n">
        <f aca="false">EB75+$D75*Inputs!$I$13</f>
        <v>5698.04883233397</v>
      </c>
      <c r="EQ75" s="84" t="n">
        <f aca="false">MIN(EN75,EP75)</f>
        <v>5698.04883233397</v>
      </c>
      <c r="ER75" s="84" t="n">
        <f aca="false">EP75-EQ75</f>
        <v>0</v>
      </c>
      <c r="ES75" s="84" t="n">
        <f aca="false">EE75+$G75*(EP75+EE75)</f>
        <v>0</v>
      </c>
      <c r="ET75" s="84" t="n">
        <f aca="false">MIN(EN75-EQ75,ES75)</f>
        <v>0</v>
      </c>
      <c r="EU75" s="84" t="n">
        <f aca="false">ES75-ET75</f>
        <v>0</v>
      </c>
      <c r="EV75" s="84" t="n">
        <f aca="false">IF($H75=1,MIN(EN75-EQ75-ET75,MAX(0,$F75/(1-$F75)*(EJ75+ET75)-EK75)),0)</f>
        <v>0</v>
      </c>
      <c r="EW75" s="84" t="n">
        <f aca="false">EN75-EQ75-ET75-EV75</f>
        <v>1182.40251333118</v>
      </c>
      <c r="EX75" s="84" t="n">
        <f aca="false">EQ75+ET75+(1-$F75)*EW75</f>
        <v>6643.97084299891</v>
      </c>
      <c r="EY75" s="84" t="n">
        <f aca="false">EV75+$F75*EW75</f>
        <v>236.480502666236</v>
      </c>
      <c r="EZ75" s="84" t="n">
        <f aca="false">EJ75+ET75+(1-$F75)*EW75</f>
        <v>945.922010664942</v>
      </c>
      <c r="FA75" s="84" t="n">
        <f aca="false">EK75+EY75</f>
        <v>236.480502666236</v>
      </c>
      <c r="FB75" s="133" t="n">
        <f aca="false">EO75+$D75*Inputs!$J$13-$D75*$E75</f>
        <v>27251.8053826606</v>
      </c>
      <c r="FC75" s="84" t="n">
        <f aca="false">FB75*(1+$I75)</f>
        <v>33519.7206206725</v>
      </c>
      <c r="FD75" s="133" t="n">
        <f aca="false">FC75*Inputs!$J$14</f>
        <v>6703.9441241345</v>
      </c>
      <c r="FE75" s="84" t="n">
        <f aca="false">FC75-FD75</f>
        <v>26815.776496538</v>
      </c>
      <c r="FF75" s="133" t="n">
        <f aca="false">ER75+$D75*Inputs!$J$13</f>
        <v>0</v>
      </c>
      <c r="FG75" s="84" t="n">
        <f aca="false">MIN(FD75,FF75)</f>
        <v>0</v>
      </c>
      <c r="FH75" s="84" t="n">
        <f aca="false">FF75-FG75</f>
        <v>0</v>
      </c>
      <c r="FI75" s="84" t="n">
        <f aca="false">EU75+$G75*(FF75+EU75)</f>
        <v>0</v>
      </c>
      <c r="FJ75" s="84" t="n">
        <f aca="false">MIN(FD75-FG75,FI75)</f>
        <v>0</v>
      </c>
      <c r="FK75" s="84" t="n">
        <f aca="false">FI75-FJ75</f>
        <v>0</v>
      </c>
      <c r="FL75" s="84" t="n">
        <f aca="false">IF($H75=1,MIN(FD75-FG75-FJ75,MAX(0,$F75/(1-$F75)*(EZ75+FJ75)-FA75)),0)</f>
        <v>0</v>
      </c>
      <c r="FM75" s="84" t="n">
        <f aca="false">FD75-FG75-FJ75-FL75</f>
        <v>6703.9441241345</v>
      </c>
      <c r="FN75" s="84" t="n">
        <f aca="false">FG75+FJ75+(1-$F75)*FM75</f>
        <v>5363.1552993076</v>
      </c>
      <c r="FO75" s="84" t="n">
        <f aca="false">FL75+$F75*FM75</f>
        <v>1340.7888248269</v>
      </c>
      <c r="FP75" s="84" t="n">
        <f aca="false">EZ75+FJ75+(1-$F75)*FM75</f>
        <v>6309.07730997254</v>
      </c>
      <c r="FQ75" s="84" t="n">
        <f aca="false">FA75+FO75</f>
        <v>1577.26932749314</v>
      </c>
      <c r="FR75" s="133" t="n">
        <f aca="false">FE75+$D75*Inputs!$K$13-$D75*$E75</f>
        <v>26545.776496538</v>
      </c>
      <c r="FS75" s="84" t="n">
        <f aca="false">FR75*(1+$I75)</f>
        <v>32651.3050907417</v>
      </c>
      <c r="FT75" s="133" t="n">
        <f aca="false">FS75*Inputs!$K$14</f>
        <v>6530.26101814835</v>
      </c>
      <c r="FU75" s="84" t="n">
        <f aca="false">FS75-FT75</f>
        <v>26121.0440725934</v>
      </c>
      <c r="FV75" s="133" t="n">
        <f aca="false">FH75+$D75*Inputs!$K$13</f>
        <v>0</v>
      </c>
      <c r="FW75" s="84" t="n">
        <f aca="false">MIN(FT75,FV75)</f>
        <v>0</v>
      </c>
      <c r="FX75" s="84" t="n">
        <f aca="false">FV75-FW75</f>
        <v>0</v>
      </c>
      <c r="FY75" s="84" t="n">
        <f aca="false">FK75+$G75*(FV75+FK75)</f>
        <v>0</v>
      </c>
      <c r="FZ75" s="84" t="n">
        <f aca="false">MIN(FT75-FW75,FY75)</f>
        <v>0</v>
      </c>
      <c r="GA75" s="84" t="n">
        <f aca="false">FY75-FZ75</f>
        <v>0</v>
      </c>
      <c r="GB75" s="84" t="n">
        <f aca="false">IF($H75=1,MIN(FT75-FW75-FZ75,MAX(0,$F75/(1-$F75)*(FP75+FZ75)-FQ75)),0)</f>
        <v>0</v>
      </c>
      <c r="GC75" s="84" t="n">
        <f aca="false">FT75-FW75-FZ75-GB75</f>
        <v>6530.26101814835</v>
      </c>
      <c r="GD75" s="84" t="n">
        <f aca="false">FW75+FZ75+(1-$F75)*GC75</f>
        <v>5224.20881451868</v>
      </c>
      <c r="GE75" s="84" t="n">
        <f aca="false">GB75+$F75*GC75</f>
        <v>1306.05220362967</v>
      </c>
      <c r="GF75" s="84" t="n">
        <f aca="false">FP75+FZ75+(1-$F75)*GC75</f>
        <v>11533.2861244912</v>
      </c>
      <c r="GG75" s="84" t="n">
        <f aca="false">FQ75+GE75</f>
        <v>2883.32153112281</v>
      </c>
      <c r="GH75" s="133" t="n">
        <f aca="false">FU75+$D75*Inputs!$L$13-$D75*$E75</f>
        <v>25851.0440725934</v>
      </c>
      <c r="GI75" s="84" t="n">
        <f aca="false">GH75*(1+$I75)</f>
        <v>31796.7842092899</v>
      </c>
      <c r="GJ75" s="133" t="n">
        <f aca="false">GI75*Inputs!$L$14</f>
        <v>31796.7842092899</v>
      </c>
      <c r="GK75" s="84" t="n">
        <f aca="false">GI75-GJ75</f>
        <v>0</v>
      </c>
      <c r="GL75" s="133" t="n">
        <f aca="false">FX75+$D75*Inputs!$L$13</f>
        <v>0</v>
      </c>
      <c r="GM75" s="84" t="n">
        <f aca="false">MIN(GJ75,GL75)</f>
        <v>0</v>
      </c>
      <c r="GN75" s="84" t="n">
        <f aca="false">GL75-GM75</f>
        <v>0</v>
      </c>
      <c r="GO75" s="84" t="n">
        <f aca="false">GA75+$G75*(GL75+GA75)</f>
        <v>0</v>
      </c>
      <c r="GP75" s="84" t="n">
        <f aca="false">MIN(GJ75-GM75,GO75)</f>
        <v>0</v>
      </c>
      <c r="GQ75" s="84" t="n">
        <f aca="false">GO75-GP75</f>
        <v>0</v>
      </c>
      <c r="GR75" s="84" t="n">
        <f aca="false">IF($H75=1,MIN(GJ75-GM75-GP75,MAX(0,$F75/(1-$F75)*(GF75+GP75)-GG75)),0)</f>
        <v>0</v>
      </c>
      <c r="GS75" s="84" t="n">
        <f aca="false">GJ75-GM75-GP75-GR75</f>
        <v>31796.7842092899</v>
      </c>
      <c r="GT75" s="84" t="n">
        <f aca="false">GM75+GP75+(1-$F75)*GS75</f>
        <v>25437.4273674319</v>
      </c>
      <c r="GU75" s="84" t="n">
        <f aca="false">GR75+$F75*GS75</f>
        <v>6359.35684185798</v>
      </c>
      <c r="GV75" s="84" t="n">
        <f aca="false">GF75+GP75+(1-$F75)*GS75</f>
        <v>36970.7134919231</v>
      </c>
      <c r="GW75" s="84" t="n">
        <f aca="false">GG75+GU75</f>
        <v>9242.67837298078</v>
      </c>
    </row>
    <row r="76" customFormat="false" ht="15" hidden="false" customHeight="false" outlineLevel="0" collapsed="false">
      <c r="A76" s="5" t="s">
        <v>637</v>
      </c>
      <c r="B76" s="5" t="s">
        <v>638</v>
      </c>
      <c r="C76" s="135" t="n">
        <v>24</v>
      </c>
      <c r="D76" s="47" t="n">
        <f aca="false">Inputs!$C$6</f>
        <v>20000</v>
      </c>
      <c r="E76" s="35" t="n">
        <f aca="false">Inputs!$C$19</f>
        <v>0.0135</v>
      </c>
      <c r="F76" s="36" t="n">
        <f aca="false">Inputs!$C$20</f>
        <v>0.2</v>
      </c>
      <c r="G76" s="30" t="n">
        <v>0</v>
      </c>
      <c r="H76" s="27" t="n">
        <v>0</v>
      </c>
      <c r="I76" s="132" t="n">
        <f aca="false">Inputs!$C$38+$C76*Inputs!$C$39</f>
        <v>0.24</v>
      </c>
      <c r="J76" s="36" t="n">
        <f aca="false">Inputs!$C$9</f>
        <v>0.15</v>
      </c>
      <c r="K76" s="89" t="n">
        <f aca="false">IRR(W76:AG76,0.1)</f>
        <v>0.196969469294876</v>
      </c>
      <c r="L76" s="45" t="n">
        <f aca="false">W76+NPV($J76,X76:AG76)</f>
        <v>4176.39029444595</v>
      </c>
      <c r="M76" s="45" t="n">
        <f aca="false">SUM(BF76,BV76,CL76,DB76,DR76,EH76,EX76,FN76,GD76,GT76)</f>
        <v>60066.655638087</v>
      </c>
      <c r="N76" s="43" t="n">
        <f aca="false">IF($D76*SUM(Inputs!$C$13:$L$13)=0,0,M76/($D76*SUM(Inputs!$C$13:$L$13)))</f>
        <v>3.00333278190435</v>
      </c>
      <c r="O76" s="42" t="n">
        <f aca="false">$D76*$E76*COLUMNS(Inputs!$C$13:$L$13)</f>
        <v>2700</v>
      </c>
      <c r="P76" s="45" t="n">
        <f aca="false">SUM(BG76,BW76,CM76,DC76,DS76,EI76,EY76,FO76,GE76,GU76)</f>
        <v>10016.6639095217</v>
      </c>
      <c r="Q76" s="42" t="n">
        <f aca="false">PV($J76,COLUMNS(Inputs!$C$13:$L$13),-$D76*$E76,0,1)</f>
        <v>1558.32765832774</v>
      </c>
      <c r="R76" s="45" t="n">
        <f aca="false">NPV($J76,BG76,BW76,CM76,DC76,DS76,EI76,EY76,FO76,GE76,GU76)</f>
        <v>2690.55444516435</v>
      </c>
      <c r="S76" s="45" t="n">
        <f aca="false">Q76+R76</f>
        <v>4248.88210349208</v>
      </c>
      <c r="T76" s="32" t="n">
        <f aca="false">IF(S76=0,0,Q76/S76)</f>
        <v>0.366761802368434</v>
      </c>
      <c r="U76" s="45" t="n">
        <f aca="false">ROUND(ABS(GK76)+ABS(SUM(AV76,BL76,CB76,CR76,DH76,DX76,EN76,FD76,FT76,GJ76)-M76-P76)+ABS(S76-(AH76+NPV($J76,AI76:AR76))),6)</f>
        <v>0</v>
      </c>
      <c r="W76" s="133" t="n">
        <f aca="false">-$D76*Inputs!$C$13</f>
        <v>-4000</v>
      </c>
      <c r="X76" s="133" t="n">
        <f aca="false">BF76-$D76*Inputs!$D$13</f>
        <v>-4000</v>
      </c>
      <c r="Y76" s="133" t="n">
        <f aca="false">BV76-$D76*Inputs!$E$13</f>
        <v>-4000</v>
      </c>
      <c r="Z76" s="133" t="n">
        <f aca="false">CL76-$D76*Inputs!$F$13</f>
        <v>-4000</v>
      </c>
      <c r="AA76" s="133" t="n">
        <f aca="false">DB76-$D76*Inputs!$G$13</f>
        <v>-4000</v>
      </c>
      <c r="AB76" s="133" t="n">
        <f aca="false">DR76-$D76*Inputs!$H$13</f>
        <v>7445.1268655104</v>
      </c>
      <c r="AC76" s="133" t="n">
        <f aca="false">EH76-$D76*Inputs!$I$13</f>
        <v>7318.60585058632</v>
      </c>
      <c r="AD76" s="133" t="n">
        <f aca="false">EX76-$D76*Inputs!$J$13</f>
        <v>6801.73105980596</v>
      </c>
      <c r="AE76" s="133" t="n">
        <f aca="false">FN76-$D76*Inputs!$K$13</f>
        <v>5654.8737822011</v>
      </c>
      <c r="AF76" s="133" t="n">
        <f aca="false">GD76-$D76*Inputs!$L$13</f>
        <v>5556.06679194349</v>
      </c>
      <c r="AG76" s="84" t="n">
        <f aca="false">GT76</f>
        <v>27290.2512880397</v>
      </c>
      <c r="AH76" s="84" t="n">
        <f aca="false">$D76*$E76</f>
        <v>270</v>
      </c>
      <c r="AI76" s="84" t="n">
        <f aca="false">BG76+$D76*$E76</f>
        <v>270</v>
      </c>
      <c r="AJ76" s="84" t="n">
        <f aca="false">BW76+$D76*$E76</f>
        <v>270</v>
      </c>
      <c r="AK76" s="84" t="n">
        <f aca="false">CM76+$D76*$E76</f>
        <v>270</v>
      </c>
      <c r="AL76" s="84" t="n">
        <f aca="false">DC76+$D76*$E76</f>
        <v>270</v>
      </c>
      <c r="AM76" s="84" t="n">
        <f aca="false">DS76+$D76*$E76</f>
        <v>270</v>
      </c>
      <c r="AN76" s="84" t="n">
        <f aca="false">EI76+$D76*$E76</f>
        <v>270</v>
      </c>
      <c r="AO76" s="84" t="n">
        <f aca="false">EY76+$D76*$E76</f>
        <v>661.365943975669</v>
      </c>
      <c r="AP76" s="84" t="n">
        <f aca="false">FO76+$D76*$E76</f>
        <v>1683.71844555027</v>
      </c>
      <c r="AQ76" s="84" t="n">
        <f aca="false">GE76+$D76*$E76</f>
        <v>1659.01669798587</v>
      </c>
      <c r="AR76" s="84" t="n">
        <f aca="false">GU76</f>
        <v>6822.56282200993</v>
      </c>
      <c r="AT76" s="133" t="n">
        <f aca="false">$D76*Inputs!$C$13-$D76*$E76</f>
        <v>3730</v>
      </c>
      <c r="AU76" s="84" t="n">
        <f aca="false">AT76*(1+$I76)</f>
        <v>4625.2</v>
      </c>
      <c r="AV76" s="133" t="n">
        <f aca="false">AU76*Inputs!$C$14</f>
        <v>0</v>
      </c>
      <c r="AW76" s="84" t="n">
        <f aca="false">AU76-AV76</f>
        <v>4625.2</v>
      </c>
      <c r="AX76" s="133" t="n">
        <f aca="false">$D76*Inputs!$C$13</f>
        <v>4000</v>
      </c>
      <c r="AY76" s="84" t="n">
        <f aca="false">MIN(AV76,AX76)</f>
        <v>0</v>
      </c>
      <c r="AZ76" s="84" t="n">
        <f aca="false">AX76-AY76</f>
        <v>4000</v>
      </c>
      <c r="BA76" s="84" t="n">
        <f aca="false">$G76*AX76</f>
        <v>0</v>
      </c>
      <c r="BB76" s="84" t="n">
        <f aca="false">MIN(AV76-AY76,BA76)</f>
        <v>0</v>
      </c>
      <c r="BC76" s="84" t="n">
        <f aca="false">BA76-BB76</f>
        <v>0</v>
      </c>
      <c r="BD76" s="84" t="n">
        <f aca="false">IF($H76=1,MIN(AV76-AY76-BB76,MAX(0,$F76/(1-$F76)*BB76)),0)</f>
        <v>0</v>
      </c>
      <c r="BE76" s="84" t="n">
        <f aca="false">AV76-AY76-BB76-BD76</f>
        <v>0</v>
      </c>
      <c r="BF76" s="84" t="n">
        <f aca="false">AY76+BB76+(1-$F76)*BE76</f>
        <v>0</v>
      </c>
      <c r="BG76" s="84" t="n">
        <f aca="false">BD76+$F76*BE76</f>
        <v>0</v>
      </c>
      <c r="BH76" s="84" t="n">
        <f aca="false">BB76+(1-$F76)*BE76</f>
        <v>0</v>
      </c>
      <c r="BI76" s="84" t="n">
        <f aca="false">BG76</f>
        <v>0</v>
      </c>
      <c r="BJ76" s="133" t="n">
        <f aca="false">AW76+$D76*Inputs!$D$13-$D76*$E76</f>
        <v>8355.2</v>
      </c>
      <c r="BK76" s="84" t="n">
        <f aca="false">BJ76*(1+$I76)</f>
        <v>10360.448</v>
      </c>
      <c r="BL76" s="133" t="n">
        <f aca="false">BK76*Inputs!$D$14</f>
        <v>0</v>
      </c>
      <c r="BM76" s="84" t="n">
        <f aca="false">BK76-BL76</f>
        <v>10360.448</v>
      </c>
      <c r="BN76" s="133" t="n">
        <f aca="false">AZ76+$D76*Inputs!$D$13</f>
        <v>8000</v>
      </c>
      <c r="BO76" s="84" t="n">
        <f aca="false">MIN(BL76,BN76)</f>
        <v>0</v>
      </c>
      <c r="BP76" s="84" t="n">
        <f aca="false">BN76-BO76</f>
        <v>8000</v>
      </c>
      <c r="BQ76" s="84" t="n">
        <f aca="false">BC76+$G76*(BN76+BC76)</f>
        <v>0</v>
      </c>
      <c r="BR76" s="84" t="n">
        <f aca="false">MIN(BL76-BO76,BQ76)</f>
        <v>0</v>
      </c>
      <c r="BS76" s="84" t="n">
        <f aca="false">BQ76-BR76</f>
        <v>0</v>
      </c>
      <c r="BT76" s="84" t="n">
        <f aca="false">IF($H76=1,MIN(BL76-BO76-BR76,MAX(0,$F76/(1-$F76)*(BH76+BR76)-BI76)),0)</f>
        <v>0</v>
      </c>
      <c r="BU76" s="84" t="n">
        <f aca="false">BL76-BO76-BR76-BT76</f>
        <v>0</v>
      </c>
      <c r="BV76" s="84" t="n">
        <f aca="false">BO76+BR76+(1-$F76)*BU76</f>
        <v>0</v>
      </c>
      <c r="BW76" s="84" t="n">
        <f aca="false">BT76+$F76*BU76</f>
        <v>0</v>
      </c>
      <c r="BX76" s="84" t="n">
        <f aca="false">BH76+BR76+(1-$F76)*BU76</f>
        <v>0</v>
      </c>
      <c r="BY76" s="84" t="n">
        <f aca="false">BI76+BW76</f>
        <v>0</v>
      </c>
      <c r="BZ76" s="133" t="n">
        <f aca="false">BM76+$D76*Inputs!$E$13-$D76*$E76</f>
        <v>14090.448</v>
      </c>
      <c r="CA76" s="84" t="n">
        <f aca="false">BZ76*(1+$I76)</f>
        <v>17472.15552</v>
      </c>
      <c r="CB76" s="133" t="n">
        <f aca="false">CA76*Inputs!$E$14</f>
        <v>0</v>
      </c>
      <c r="CC76" s="84" t="n">
        <f aca="false">CA76-CB76</f>
        <v>17472.15552</v>
      </c>
      <c r="CD76" s="133" t="n">
        <f aca="false">BP76+$D76*Inputs!$E$13</f>
        <v>12000</v>
      </c>
      <c r="CE76" s="84" t="n">
        <f aca="false">MIN(CB76,CD76)</f>
        <v>0</v>
      </c>
      <c r="CF76" s="84" t="n">
        <f aca="false">CD76-CE76</f>
        <v>12000</v>
      </c>
      <c r="CG76" s="84" t="n">
        <f aca="false">BS76+$G76*(CD76+BS76)</f>
        <v>0</v>
      </c>
      <c r="CH76" s="84" t="n">
        <f aca="false">MIN(CB76-CE76,CG76)</f>
        <v>0</v>
      </c>
      <c r="CI76" s="84" t="n">
        <f aca="false">CG76-CH76</f>
        <v>0</v>
      </c>
      <c r="CJ76" s="84" t="n">
        <f aca="false">IF($H76=1,MIN(CB76-CE76-CH76,MAX(0,$F76/(1-$F76)*(BX76+CH76)-BY76)),0)</f>
        <v>0</v>
      </c>
      <c r="CK76" s="84" t="n">
        <f aca="false">CB76-CE76-CH76-CJ76</f>
        <v>0</v>
      </c>
      <c r="CL76" s="84" t="n">
        <f aca="false">CE76+CH76+(1-$F76)*CK76</f>
        <v>0</v>
      </c>
      <c r="CM76" s="84" t="n">
        <f aca="false">CJ76+$F76*CK76</f>
        <v>0</v>
      </c>
      <c r="CN76" s="84" t="n">
        <f aca="false">BX76+CH76+(1-$F76)*CK76</f>
        <v>0</v>
      </c>
      <c r="CO76" s="84" t="n">
        <f aca="false">BY76+CM76</f>
        <v>0</v>
      </c>
      <c r="CP76" s="133" t="n">
        <f aca="false">CC76+$D76*Inputs!$F$13-$D76*$E76</f>
        <v>21202.15552</v>
      </c>
      <c r="CQ76" s="84" t="n">
        <f aca="false">CP76*(1+$I76)</f>
        <v>26290.6728448</v>
      </c>
      <c r="CR76" s="133" t="n">
        <f aca="false">CQ76*Inputs!$F$14</f>
        <v>0</v>
      </c>
      <c r="CS76" s="84" t="n">
        <f aca="false">CQ76-CR76</f>
        <v>26290.6728448</v>
      </c>
      <c r="CT76" s="133" t="n">
        <f aca="false">CF76+$D76*Inputs!$F$13</f>
        <v>16000</v>
      </c>
      <c r="CU76" s="84" t="n">
        <f aca="false">MIN(CR76,CT76)</f>
        <v>0</v>
      </c>
      <c r="CV76" s="84" t="n">
        <f aca="false">CT76-CU76</f>
        <v>16000</v>
      </c>
      <c r="CW76" s="84" t="n">
        <f aca="false">CI76+$G76*(CT76+CI76)</f>
        <v>0</v>
      </c>
      <c r="CX76" s="84" t="n">
        <f aca="false">MIN(CR76-CU76,CW76)</f>
        <v>0</v>
      </c>
      <c r="CY76" s="84" t="n">
        <f aca="false">CW76-CX76</f>
        <v>0</v>
      </c>
      <c r="CZ76" s="84" t="n">
        <f aca="false">IF($H76=1,MIN(CR76-CU76-CX76,MAX(0,$F76/(1-$F76)*(CN76+CX76)-CO76)),0)</f>
        <v>0</v>
      </c>
      <c r="DA76" s="84" t="n">
        <f aca="false">CR76-CU76-CX76-CZ76</f>
        <v>0</v>
      </c>
      <c r="DB76" s="84" t="n">
        <f aca="false">CU76+CX76+(1-$F76)*DA76</f>
        <v>0</v>
      </c>
      <c r="DC76" s="84" t="n">
        <f aca="false">CZ76+$F76*DA76</f>
        <v>0</v>
      </c>
      <c r="DD76" s="84" t="n">
        <f aca="false">CN76+CX76+(1-$F76)*DA76</f>
        <v>0</v>
      </c>
      <c r="DE76" s="84" t="n">
        <f aca="false">CO76+DC76</f>
        <v>0</v>
      </c>
      <c r="DF76" s="133" t="n">
        <f aca="false">CS76+$D76*Inputs!$G$13-$D76*$E76</f>
        <v>30020.6728448</v>
      </c>
      <c r="DG76" s="84" t="n">
        <f aca="false">DF76*(1+$I76)</f>
        <v>37225.634327552</v>
      </c>
      <c r="DH76" s="133" t="n">
        <f aca="false">DG76*Inputs!$G$14</f>
        <v>7445.1268655104</v>
      </c>
      <c r="DI76" s="84" t="n">
        <f aca="false">DG76-DH76</f>
        <v>29780.5074620416</v>
      </c>
      <c r="DJ76" s="133" t="n">
        <f aca="false">CV76+$D76*Inputs!$G$13</f>
        <v>20000</v>
      </c>
      <c r="DK76" s="84" t="n">
        <f aca="false">MIN(DH76,DJ76)</f>
        <v>7445.1268655104</v>
      </c>
      <c r="DL76" s="84" t="n">
        <f aca="false">DJ76-DK76</f>
        <v>12554.8731344896</v>
      </c>
      <c r="DM76" s="84" t="n">
        <f aca="false">CY76+$G76*(DJ76+CY76)</f>
        <v>0</v>
      </c>
      <c r="DN76" s="84" t="n">
        <f aca="false">MIN(DH76-DK76,DM76)</f>
        <v>0</v>
      </c>
      <c r="DO76" s="84" t="n">
        <f aca="false">DM76-DN76</f>
        <v>0</v>
      </c>
      <c r="DP76" s="84" t="n">
        <f aca="false">IF($H76=1,MIN(DH76-DK76-DN76,MAX(0,$F76/(1-$F76)*(DD76+DN76)-DE76)),0)</f>
        <v>0</v>
      </c>
      <c r="DQ76" s="84" t="n">
        <f aca="false">DH76-DK76-DN76-DP76</f>
        <v>0</v>
      </c>
      <c r="DR76" s="84" t="n">
        <f aca="false">DK76+DN76+(1-$F76)*DQ76</f>
        <v>7445.1268655104</v>
      </c>
      <c r="DS76" s="84" t="n">
        <f aca="false">DP76+$F76*DQ76</f>
        <v>0</v>
      </c>
      <c r="DT76" s="84" t="n">
        <f aca="false">DD76+DN76+(1-$F76)*DQ76</f>
        <v>0</v>
      </c>
      <c r="DU76" s="84" t="n">
        <f aca="false">DE76+DS76</f>
        <v>0</v>
      </c>
      <c r="DV76" s="133" t="n">
        <f aca="false">DI76+$D76*Inputs!$H$13-$D76*$E76</f>
        <v>29510.5074620416</v>
      </c>
      <c r="DW76" s="84" t="n">
        <f aca="false">DV76*(1+$I76)</f>
        <v>36593.0292529316</v>
      </c>
      <c r="DX76" s="133" t="n">
        <f aca="false">DW76*Inputs!$H$14</f>
        <v>7318.60585058632</v>
      </c>
      <c r="DY76" s="84" t="n">
        <f aca="false">DW76-DX76</f>
        <v>29274.4234023453</v>
      </c>
      <c r="DZ76" s="133" t="n">
        <f aca="false">DL76+$D76*Inputs!$H$13</f>
        <v>12554.8731344896</v>
      </c>
      <c r="EA76" s="84" t="n">
        <f aca="false">MIN(DX76,DZ76)</f>
        <v>7318.60585058632</v>
      </c>
      <c r="EB76" s="84" t="n">
        <f aca="false">DZ76-EA76</f>
        <v>5236.26728390328</v>
      </c>
      <c r="EC76" s="84" t="n">
        <f aca="false">DO76+$G76*(DZ76+DO76)</f>
        <v>0</v>
      </c>
      <c r="ED76" s="84" t="n">
        <f aca="false">MIN(DX76-EA76,EC76)</f>
        <v>0</v>
      </c>
      <c r="EE76" s="84" t="n">
        <f aca="false">EC76-ED76</f>
        <v>0</v>
      </c>
      <c r="EF76" s="84" t="n">
        <f aca="false">IF($H76=1,MIN(DX76-EA76-ED76,MAX(0,$F76/(1-$F76)*(DT76+ED76)-DU76)),0)</f>
        <v>0</v>
      </c>
      <c r="EG76" s="84" t="n">
        <f aca="false">DX76-EA76-ED76-EF76</f>
        <v>0</v>
      </c>
      <c r="EH76" s="84" t="n">
        <f aca="false">EA76+ED76+(1-$F76)*EG76</f>
        <v>7318.60585058632</v>
      </c>
      <c r="EI76" s="84" t="n">
        <f aca="false">EF76+$F76*EG76</f>
        <v>0</v>
      </c>
      <c r="EJ76" s="84" t="n">
        <f aca="false">DT76+ED76+(1-$F76)*EG76</f>
        <v>0</v>
      </c>
      <c r="EK76" s="84" t="n">
        <f aca="false">DU76+EI76</f>
        <v>0</v>
      </c>
      <c r="EL76" s="133" t="n">
        <f aca="false">DY76+$D76*Inputs!$I$13-$D76*$E76</f>
        <v>29004.4234023453</v>
      </c>
      <c r="EM76" s="84" t="n">
        <f aca="false">EL76*(1+$I76)</f>
        <v>35965.4850189081</v>
      </c>
      <c r="EN76" s="133" t="n">
        <f aca="false">EM76*Inputs!$I$14</f>
        <v>7193.09700378163</v>
      </c>
      <c r="EO76" s="84" t="n">
        <f aca="false">EM76-EN76</f>
        <v>28772.3880151265</v>
      </c>
      <c r="EP76" s="133" t="n">
        <f aca="false">EB76+$D76*Inputs!$I$13</f>
        <v>5236.26728390328</v>
      </c>
      <c r="EQ76" s="84" t="n">
        <f aca="false">MIN(EN76,EP76)</f>
        <v>5236.26728390328</v>
      </c>
      <c r="ER76" s="84" t="n">
        <f aca="false">EP76-EQ76</f>
        <v>0</v>
      </c>
      <c r="ES76" s="84" t="n">
        <f aca="false">EE76+$G76*(EP76+EE76)</f>
        <v>0</v>
      </c>
      <c r="ET76" s="84" t="n">
        <f aca="false">MIN(EN76-EQ76,ES76)</f>
        <v>0</v>
      </c>
      <c r="EU76" s="84" t="n">
        <f aca="false">ES76-ET76</f>
        <v>0</v>
      </c>
      <c r="EV76" s="84" t="n">
        <f aca="false">IF($H76=1,MIN(EN76-EQ76-ET76,MAX(0,$F76/(1-$F76)*(EJ76+ET76)-EK76)),0)</f>
        <v>0</v>
      </c>
      <c r="EW76" s="84" t="n">
        <f aca="false">EN76-EQ76-ET76-EV76</f>
        <v>1956.82971987834</v>
      </c>
      <c r="EX76" s="84" t="n">
        <f aca="false">EQ76+ET76+(1-$F76)*EW76</f>
        <v>6801.73105980596</v>
      </c>
      <c r="EY76" s="84" t="n">
        <f aca="false">EV76+$F76*EW76</f>
        <v>391.365943975669</v>
      </c>
      <c r="EZ76" s="84" t="n">
        <f aca="false">EJ76+ET76+(1-$F76)*EW76</f>
        <v>1565.46377590268</v>
      </c>
      <c r="FA76" s="84" t="n">
        <f aca="false">EK76+EY76</f>
        <v>391.365943975669</v>
      </c>
      <c r="FB76" s="133" t="n">
        <f aca="false">EO76+$D76*Inputs!$J$13-$D76*$E76</f>
        <v>28502.3880151265</v>
      </c>
      <c r="FC76" s="84" t="n">
        <f aca="false">FB76*(1+$I76)</f>
        <v>35342.9611387569</v>
      </c>
      <c r="FD76" s="133" t="n">
        <f aca="false">FC76*Inputs!$J$14</f>
        <v>7068.59222775137</v>
      </c>
      <c r="FE76" s="84" t="n">
        <f aca="false">FC76-FD76</f>
        <v>28274.3689110055</v>
      </c>
      <c r="FF76" s="133" t="n">
        <f aca="false">ER76+$D76*Inputs!$J$13</f>
        <v>0</v>
      </c>
      <c r="FG76" s="84" t="n">
        <f aca="false">MIN(FD76,FF76)</f>
        <v>0</v>
      </c>
      <c r="FH76" s="84" t="n">
        <f aca="false">FF76-FG76</f>
        <v>0</v>
      </c>
      <c r="FI76" s="84" t="n">
        <f aca="false">EU76+$G76*(FF76+EU76)</f>
        <v>0</v>
      </c>
      <c r="FJ76" s="84" t="n">
        <f aca="false">MIN(FD76-FG76,FI76)</f>
        <v>0</v>
      </c>
      <c r="FK76" s="84" t="n">
        <f aca="false">FI76-FJ76</f>
        <v>0</v>
      </c>
      <c r="FL76" s="84" t="n">
        <f aca="false">IF($H76=1,MIN(FD76-FG76-FJ76,MAX(0,$F76/(1-$F76)*(EZ76+FJ76)-FA76)),0)</f>
        <v>0</v>
      </c>
      <c r="FM76" s="84" t="n">
        <f aca="false">FD76-FG76-FJ76-FL76</f>
        <v>7068.59222775137</v>
      </c>
      <c r="FN76" s="84" t="n">
        <f aca="false">FG76+FJ76+(1-$F76)*FM76</f>
        <v>5654.8737822011</v>
      </c>
      <c r="FO76" s="84" t="n">
        <f aca="false">FL76+$F76*FM76</f>
        <v>1413.71844555027</v>
      </c>
      <c r="FP76" s="84" t="n">
        <f aca="false">EZ76+FJ76+(1-$F76)*FM76</f>
        <v>7220.33755810377</v>
      </c>
      <c r="FQ76" s="84" t="n">
        <f aca="false">FA76+FO76</f>
        <v>1805.08438952594</v>
      </c>
      <c r="FR76" s="133" t="n">
        <f aca="false">FE76+$D76*Inputs!$K$13-$D76*$E76</f>
        <v>28004.3689110055</v>
      </c>
      <c r="FS76" s="84" t="n">
        <f aca="false">FR76*(1+$I76)</f>
        <v>34725.4174496468</v>
      </c>
      <c r="FT76" s="133" t="n">
        <f aca="false">FS76*Inputs!$K$14</f>
        <v>6945.08348992936</v>
      </c>
      <c r="FU76" s="84" t="n">
        <f aca="false">FS76-FT76</f>
        <v>27780.3339597175</v>
      </c>
      <c r="FV76" s="133" t="n">
        <f aca="false">FH76+$D76*Inputs!$K$13</f>
        <v>0</v>
      </c>
      <c r="FW76" s="84" t="n">
        <f aca="false">MIN(FT76,FV76)</f>
        <v>0</v>
      </c>
      <c r="FX76" s="84" t="n">
        <f aca="false">FV76-FW76</f>
        <v>0</v>
      </c>
      <c r="FY76" s="84" t="n">
        <f aca="false">FK76+$G76*(FV76+FK76)</f>
        <v>0</v>
      </c>
      <c r="FZ76" s="84" t="n">
        <f aca="false">MIN(FT76-FW76,FY76)</f>
        <v>0</v>
      </c>
      <c r="GA76" s="84" t="n">
        <f aca="false">FY76-FZ76</f>
        <v>0</v>
      </c>
      <c r="GB76" s="84" t="n">
        <f aca="false">IF($H76=1,MIN(FT76-FW76-FZ76,MAX(0,$F76/(1-$F76)*(FP76+FZ76)-FQ76)),0)</f>
        <v>0</v>
      </c>
      <c r="GC76" s="84" t="n">
        <f aca="false">FT76-FW76-FZ76-GB76</f>
        <v>6945.08348992936</v>
      </c>
      <c r="GD76" s="84" t="n">
        <f aca="false">FW76+FZ76+(1-$F76)*GC76</f>
        <v>5556.06679194349</v>
      </c>
      <c r="GE76" s="84" t="n">
        <f aca="false">GB76+$F76*GC76</f>
        <v>1389.01669798587</v>
      </c>
      <c r="GF76" s="84" t="n">
        <f aca="false">FP76+FZ76+(1-$F76)*GC76</f>
        <v>12776.4043500473</v>
      </c>
      <c r="GG76" s="84" t="n">
        <f aca="false">FQ76+GE76</f>
        <v>3194.10108751182</v>
      </c>
      <c r="GH76" s="133" t="n">
        <f aca="false">FU76+$D76*Inputs!$L$13-$D76*$E76</f>
        <v>27510.3339597175</v>
      </c>
      <c r="GI76" s="84" t="n">
        <f aca="false">GH76*(1+$I76)</f>
        <v>34112.8141100496</v>
      </c>
      <c r="GJ76" s="133" t="n">
        <f aca="false">GI76*Inputs!$L$14</f>
        <v>34112.8141100496</v>
      </c>
      <c r="GK76" s="84" t="n">
        <f aca="false">GI76-GJ76</f>
        <v>0</v>
      </c>
      <c r="GL76" s="133" t="n">
        <f aca="false">FX76+$D76*Inputs!$L$13</f>
        <v>0</v>
      </c>
      <c r="GM76" s="84" t="n">
        <f aca="false">MIN(GJ76,GL76)</f>
        <v>0</v>
      </c>
      <c r="GN76" s="84" t="n">
        <f aca="false">GL76-GM76</f>
        <v>0</v>
      </c>
      <c r="GO76" s="84" t="n">
        <f aca="false">GA76+$G76*(GL76+GA76)</f>
        <v>0</v>
      </c>
      <c r="GP76" s="84" t="n">
        <f aca="false">MIN(GJ76-GM76,GO76)</f>
        <v>0</v>
      </c>
      <c r="GQ76" s="84" t="n">
        <f aca="false">GO76-GP76</f>
        <v>0</v>
      </c>
      <c r="GR76" s="84" t="n">
        <f aca="false">IF($H76=1,MIN(GJ76-GM76-GP76,MAX(0,$F76/(1-$F76)*(GF76+GP76)-GG76)),0)</f>
        <v>0</v>
      </c>
      <c r="GS76" s="84" t="n">
        <f aca="false">GJ76-GM76-GP76-GR76</f>
        <v>34112.8141100496</v>
      </c>
      <c r="GT76" s="84" t="n">
        <f aca="false">GM76+GP76+(1-$F76)*GS76</f>
        <v>27290.2512880397</v>
      </c>
      <c r="GU76" s="84" t="n">
        <f aca="false">GR76+$F76*GS76</f>
        <v>6822.56282200993</v>
      </c>
      <c r="GV76" s="84" t="n">
        <f aca="false">GF76+GP76+(1-$F76)*GS76</f>
        <v>40066.655638087</v>
      </c>
      <c r="GW76" s="84" t="n">
        <f aca="false">GG76+GU76</f>
        <v>10016.6639095217</v>
      </c>
    </row>
    <row r="77" customFormat="false" ht="15" hidden="false" customHeight="false" outlineLevel="0" collapsed="false">
      <c r="A77" s="5" t="s">
        <v>637</v>
      </c>
      <c r="B77" s="5" t="s">
        <v>638</v>
      </c>
      <c r="C77" s="135" t="n">
        <v>25</v>
      </c>
      <c r="D77" s="47" t="n">
        <f aca="false">Inputs!$C$6</f>
        <v>20000</v>
      </c>
      <c r="E77" s="35" t="n">
        <f aca="false">Inputs!$C$19</f>
        <v>0.0135</v>
      </c>
      <c r="F77" s="36" t="n">
        <f aca="false">Inputs!$C$20</f>
        <v>0.2</v>
      </c>
      <c r="G77" s="30" t="n">
        <v>0</v>
      </c>
      <c r="H77" s="27" t="n">
        <v>0</v>
      </c>
      <c r="I77" s="132" t="n">
        <f aca="false">Inputs!$C$38+$C77*Inputs!$C$39</f>
        <v>0.25</v>
      </c>
      <c r="J77" s="36" t="n">
        <f aca="false">Inputs!$C$9</f>
        <v>0.15</v>
      </c>
      <c r="K77" s="89" t="n">
        <f aca="false">IRR(W77:AG77,0.1)</f>
        <v>0.206384877129988</v>
      </c>
      <c r="L77" s="45" t="n">
        <f aca="false">W77+NPV($J77,X77:AG77)</f>
        <v>5144.13823424131</v>
      </c>
      <c r="M77" s="45" t="n">
        <f aca="false">SUM(BF77,BV77,CL77,DB77,DR77,EH77,EX77,FN77,GD77,GT77)</f>
        <v>63334.453125</v>
      </c>
      <c r="N77" s="43" t="n">
        <f aca="false">IF($D77*SUM(Inputs!$C$13:$L$13)=0,0,M77/($D77*SUM(Inputs!$C$13:$L$13)))</f>
        <v>3.16672265625</v>
      </c>
      <c r="O77" s="42" t="n">
        <f aca="false">$D77*$E77*COLUMNS(Inputs!$C$13:$L$13)</f>
        <v>2700</v>
      </c>
      <c r="P77" s="45" t="n">
        <f aca="false">SUM(BG77,BW77,CM77,DC77,DS77,EI77,EY77,FO77,GE77,GU77)</f>
        <v>10833.61328125</v>
      </c>
      <c r="Q77" s="42" t="n">
        <f aca="false">PV($J77,COLUMNS(Inputs!$C$13:$L$13),-$D77*$E77,0,1)</f>
        <v>1558.32765832774</v>
      </c>
      <c r="R77" s="45" t="n">
        <f aca="false">NPV($J77,BG77,BW77,CM77,DC77,DS77,EI77,EY77,FO77,GE77,GU77)</f>
        <v>2922.42571859664</v>
      </c>
      <c r="S77" s="45" t="n">
        <f aca="false">Q77+R77</f>
        <v>4480.75337692438</v>
      </c>
      <c r="T77" s="32" t="n">
        <f aca="false">IF(S77=0,0,Q77/S77)</f>
        <v>0.347782510493221</v>
      </c>
      <c r="U77" s="45" t="n">
        <f aca="false">ROUND(ABS(GK77)+ABS(SUM(AV77,BL77,CB77,CR77,DH77,DX77,EN77,FD77,FT77,GJ77)-M77-P77)+ABS(S77-(AH77+NPV($J77,AI77:AR77))),6)</f>
        <v>0</v>
      </c>
      <c r="W77" s="133" t="n">
        <f aca="false">-$D77*Inputs!$C$13</f>
        <v>-4000</v>
      </c>
      <c r="X77" s="133" t="n">
        <f aca="false">BF77-$D77*Inputs!$D$13</f>
        <v>-4000</v>
      </c>
      <c r="Y77" s="133" t="n">
        <f aca="false">BV77-$D77*Inputs!$E$13</f>
        <v>-4000</v>
      </c>
      <c r="Z77" s="133" t="n">
        <f aca="false">CL77-$D77*Inputs!$F$13</f>
        <v>-4000</v>
      </c>
      <c r="AA77" s="133" t="n">
        <f aca="false">DB77-$D77*Inputs!$G$13</f>
        <v>-4000</v>
      </c>
      <c r="AB77" s="133" t="n">
        <f aca="false">DR77-$D77*Inputs!$H$13</f>
        <v>7653.056640625</v>
      </c>
      <c r="AC77" s="133" t="n">
        <f aca="false">EH77-$D77*Inputs!$I$13</f>
        <v>7585.556640625</v>
      </c>
      <c r="AD77" s="133" t="n">
        <f aca="false">EX77-$D77*Inputs!$J$13</f>
        <v>6966.72265625</v>
      </c>
      <c r="AE77" s="133" t="n">
        <f aca="false">FN77-$D77*Inputs!$K$13</f>
        <v>5960.4453125</v>
      </c>
      <c r="AF77" s="133" t="n">
        <f aca="false">GD77-$D77*Inputs!$L$13</f>
        <v>5906.4453125</v>
      </c>
      <c r="AG77" s="84" t="n">
        <f aca="false">GT77</f>
        <v>29262.2265625</v>
      </c>
      <c r="AH77" s="84" t="n">
        <f aca="false">$D77*$E77</f>
        <v>270</v>
      </c>
      <c r="AI77" s="84" t="n">
        <f aca="false">BG77+$D77*$E77</f>
        <v>270</v>
      </c>
      <c r="AJ77" s="84" t="n">
        <f aca="false">BW77+$D77*$E77</f>
        <v>270</v>
      </c>
      <c r="AK77" s="84" t="n">
        <f aca="false">CM77+$D77*$E77</f>
        <v>270</v>
      </c>
      <c r="AL77" s="84" t="n">
        <f aca="false">DC77+$D77*$E77</f>
        <v>270</v>
      </c>
      <c r="AM77" s="84" t="n">
        <f aca="false">DS77+$D77*$E77</f>
        <v>270</v>
      </c>
      <c r="AN77" s="84" t="n">
        <f aca="false">EI77+$D77*$E77</f>
        <v>270</v>
      </c>
      <c r="AO77" s="84" t="n">
        <f aca="false">EY77+$D77*$E77</f>
        <v>821.333984375</v>
      </c>
      <c r="AP77" s="84" t="n">
        <f aca="false">FO77+$D77*$E77</f>
        <v>1760.111328125</v>
      </c>
      <c r="AQ77" s="84" t="n">
        <f aca="false">GE77+$D77*$E77</f>
        <v>1746.611328125</v>
      </c>
      <c r="AR77" s="84" t="n">
        <f aca="false">GU77</f>
        <v>7315.556640625</v>
      </c>
      <c r="AT77" s="133" t="n">
        <f aca="false">$D77*Inputs!$C$13-$D77*$E77</f>
        <v>3730</v>
      </c>
      <c r="AU77" s="84" t="n">
        <f aca="false">AT77*(1+$I77)</f>
        <v>4662.5</v>
      </c>
      <c r="AV77" s="133" t="n">
        <f aca="false">AU77*Inputs!$C$14</f>
        <v>0</v>
      </c>
      <c r="AW77" s="84" t="n">
        <f aca="false">AU77-AV77</f>
        <v>4662.5</v>
      </c>
      <c r="AX77" s="133" t="n">
        <f aca="false">$D77*Inputs!$C$13</f>
        <v>4000</v>
      </c>
      <c r="AY77" s="84" t="n">
        <f aca="false">MIN(AV77,AX77)</f>
        <v>0</v>
      </c>
      <c r="AZ77" s="84" t="n">
        <f aca="false">AX77-AY77</f>
        <v>4000</v>
      </c>
      <c r="BA77" s="84" t="n">
        <f aca="false">$G77*AX77</f>
        <v>0</v>
      </c>
      <c r="BB77" s="84" t="n">
        <f aca="false">MIN(AV77-AY77,BA77)</f>
        <v>0</v>
      </c>
      <c r="BC77" s="84" t="n">
        <f aca="false">BA77-BB77</f>
        <v>0</v>
      </c>
      <c r="BD77" s="84" t="n">
        <f aca="false">IF($H77=1,MIN(AV77-AY77-BB77,MAX(0,$F77/(1-$F77)*BB77)),0)</f>
        <v>0</v>
      </c>
      <c r="BE77" s="84" t="n">
        <f aca="false">AV77-AY77-BB77-BD77</f>
        <v>0</v>
      </c>
      <c r="BF77" s="84" t="n">
        <f aca="false">AY77+BB77+(1-$F77)*BE77</f>
        <v>0</v>
      </c>
      <c r="BG77" s="84" t="n">
        <f aca="false">BD77+$F77*BE77</f>
        <v>0</v>
      </c>
      <c r="BH77" s="84" t="n">
        <f aca="false">BB77+(1-$F77)*BE77</f>
        <v>0</v>
      </c>
      <c r="BI77" s="84" t="n">
        <f aca="false">BG77</f>
        <v>0</v>
      </c>
      <c r="BJ77" s="133" t="n">
        <f aca="false">AW77+$D77*Inputs!$D$13-$D77*$E77</f>
        <v>8392.5</v>
      </c>
      <c r="BK77" s="84" t="n">
        <f aca="false">BJ77*(1+$I77)</f>
        <v>10490.625</v>
      </c>
      <c r="BL77" s="133" t="n">
        <f aca="false">BK77*Inputs!$D$14</f>
        <v>0</v>
      </c>
      <c r="BM77" s="84" t="n">
        <f aca="false">BK77-BL77</f>
        <v>10490.625</v>
      </c>
      <c r="BN77" s="133" t="n">
        <f aca="false">AZ77+$D77*Inputs!$D$13</f>
        <v>8000</v>
      </c>
      <c r="BO77" s="84" t="n">
        <f aca="false">MIN(BL77,BN77)</f>
        <v>0</v>
      </c>
      <c r="BP77" s="84" t="n">
        <f aca="false">BN77-BO77</f>
        <v>8000</v>
      </c>
      <c r="BQ77" s="84" t="n">
        <f aca="false">BC77+$G77*(BN77+BC77)</f>
        <v>0</v>
      </c>
      <c r="BR77" s="84" t="n">
        <f aca="false">MIN(BL77-BO77,BQ77)</f>
        <v>0</v>
      </c>
      <c r="BS77" s="84" t="n">
        <f aca="false">BQ77-BR77</f>
        <v>0</v>
      </c>
      <c r="BT77" s="84" t="n">
        <f aca="false">IF($H77=1,MIN(BL77-BO77-BR77,MAX(0,$F77/(1-$F77)*(BH77+BR77)-BI77)),0)</f>
        <v>0</v>
      </c>
      <c r="BU77" s="84" t="n">
        <f aca="false">BL77-BO77-BR77-BT77</f>
        <v>0</v>
      </c>
      <c r="BV77" s="84" t="n">
        <f aca="false">BO77+BR77+(1-$F77)*BU77</f>
        <v>0</v>
      </c>
      <c r="BW77" s="84" t="n">
        <f aca="false">BT77+$F77*BU77</f>
        <v>0</v>
      </c>
      <c r="BX77" s="84" t="n">
        <f aca="false">BH77+BR77+(1-$F77)*BU77</f>
        <v>0</v>
      </c>
      <c r="BY77" s="84" t="n">
        <f aca="false">BI77+BW77</f>
        <v>0</v>
      </c>
      <c r="BZ77" s="133" t="n">
        <f aca="false">BM77+$D77*Inputs!$E$13-$D77*$E77</f>
        <v>14220.625</v>
      </c>
      <c r="CA77" s="84" t="n">
        <f aca="false">BZ77*(1+$I77)</f>
        <v>17775.78125</v>
      </c>
      <c r="CB77" s="133" t="n">
        <f aca="false">CA77*Inputs!$E$14</f>
        <v>0</v>
      </c>
      <c r="CC77" s="84" t="n">
        <f aca="false">CA77-CB77</f>
        <v>17775.78125</v>
      </c>
      <c r="CD77" s="133" t="n">
        <f aca="false">BP77+$D77*Inputs!$E$13</f>
        <v>12000</v>
      </c>
      <c r="CE77" s="84" t="n">
        <f aca="false">MIN(CB77,CD77)</f>
        <v>0</v>
      </c>
      <c r="CF77" s="84" t="n">
        <f aca="false">CD77-CE77</f>
        <v>12000</v>
      </c>
      <c r="CG77" s="84" t="n">
        <f aca="false">BS77+$G77*(CD77+BS77)</f>
        <v>0</v>
      </c>
      <c r="CH77" s="84" t="n">
        <f aca="false">MIN(CB77-CE77,CG77)</f>
        <v>0</v>
      </c>
      <c r="CI77" s="84" t="n">
        <f aca="false">CG77-CH77</f>
        <v>0</v>
      </c>
      <c r="CJ77" s="84" t="n">
        <f aca="false">IF($H77=1,MIN(CB77-CE77-CH77,MAX(0,$F77/(1-$F77)*(BX77+CH77)-BY77)),0)</f>
        <v>0</v>
      </c>
      <c r="CK77" s="84" t="n">
        <f aca="false">CB77-CE77-CH77-CJ77</f>
        <v>0</v>
      </c>
      <c r="CL77" s="84" t="n">
        <f aca="false">CE77+CH77+(1-$F77)*CK77</f>
        <v>0</v>
      </c>
      <c r="CM77" s="84" t="n">
        <f aca="false">CJ77+$F77*CK77</f>
        <v>0</v>
      </c>
      <c r="CN77" s="84" t="n">
        <f aca="false">BX77+CH77+(1-$F77)*CK77</f>
        <v>0</v>
      </c>
      <c r="CO77" s="84" t="n">
        <f aca="false">BY77+CM77</f>
        <v>0</v>
      </c>
      <c r="CP77" s="133" t="n">
        <f aca="false">CC77+$D77*Inputs!$F$13-$D77*$E77</f>
        <v>21505.78125</v>
      </c>
      <c r="CQ77" s="84" t="n">
        <f aca="false">CP77*(1+$I77)</f>
        <v>26882.2265625</v>
      </c>
      <c r="CR77" s="133" t="n">
        <f aca="false">CQ77*Inputs!$F$14</f>
        <v>0</v>
      </c>
      <c r="CS77" s="84" t="n">
        <f aca="false">CQ77-CR77</f>
        <v>26882.2265625</v>
      </c>
      <c r="CT77" s="133" t="n">
        <f aca="false">CF77+$D77*Inputs!$F$13</f>
        <v>16000</v>
      </c>
      <c r="CU77" s="84" t="n">
        <f aca="false">MIN(CR77,CT77)</f>
        <v>0</v>
      </c>
      <c r="CV77" s="84" t="n">
        <f aca="false">CT77-CU77</f>
        <v>16000</v>
      </c>
      <c r="CW77" s="84" t="n">
        <f aca="false">CI77+$G77*(CT77+CI77)</f>
        <v>0</v>
      </c>
      <c r="CX77" s="84" t="n">
        <f aca="false">MIN(CR77-CU77,CW77)</f>
        <v>0</v>
      </c>
      <c r="CY77" s="84" t="n">
        <f aca="false">CW77-CX77</f>
        <v>0</v>
      </c>
      <c r="CZ77" s="84" t="n">
        <f aca="false">IF($H77=1,MIN(CR77-CU77-CX77,MAX(0,$F77/(1-$F77)*(CN77+CX77)-CO77)),0)</f>
        <v>0</v>
      </c>
      <c r="DA77" s="84" t="n">
        <f aca="false">CR77-CU77-CX77-CZ77</f>
        <v>0</v>
      </c>
      <c r="DB77" s="84" t="n">
        <f aca="false">CU77+CX77+(1-$F77)*DA77</f>
        <v>0</v>
      </c>
      <c r="DC77" s="84" t="n">
        <f aca="false">CZ77+$F77*DA77</f>
        <v>0</v>
      </c>
      <c r="DD77" s="84" t="n">
        <f aca="false">CN77+CX77+(1-$F77)*DA77</f>
        <v>0</v>
      </c>
      <c r="DE77" s="84" t="n">
        <f aca="false">CO77+DC77</f>
        <v>0</v>
      </c>
      <c r="DF77" s="133" t="n">
        <f aca="false">CS77+$D77*Inputs!$G$13-$D77*$E77</f>
        <v>30612.2265625</v>
      </c>
      <c r="DG77" s="84" t="n">
        <f aca="false">DF77*(1+$I77)</f>
        <v>38265.283203125</v>
      </c>
      <c r="DH77" s="133" t="n">
        <f aca="false">DG77*Inputs!$G$14</f>
        <v>7653.056640625</v>
      </c>
      <c r="DI77" s="84" t="n">
        <f aca="false">DG77-DH77</f>
        <v>30612.2265625</v>
      </c>
      <c r="DJ77" s="133" t="n">
        <f aca="false">CV77+$D77*Inputs!$G$13</f>
        <v>20000</v>
      </c>
      <c r="DK77" s="84" t="n">
        <f aca="false">MIN(DH77,DJ77)</f>
        <v>7653.056640625</v>
      </c>
      <c r="DL77" s="84" t="n">
        <f aca="false">DJ77-DK77</f>
        <v>12346.943359375</v>
      </c>
      <c r="DM77" s="84" t="n">
        <f aca="false">CY77+$G77*(DJ77+CY77)</f>
        <v>0</v>
      </c>
      <c r="DN77" s="84" t="n">
        <f aca="false">MIN(DH77-DK77,DM77)</f>
        <v>0</v>
      </c>
      <c r="DO77" s="84" t="n">
        <f aca="false">DM77-DN77</f>
        <v>0</v>
      </c>
      <c r="DP77" s="84" t="n">
        <f aca="false">IF($H77=1,MIN(DH77-DK77-DN77,MAX(0,$F77/(1-$F77)*(DD77+DN77)-DE77)),0)</f>
        <v>0</v>
      </c>
      <c r="DQ77" s="84" t="n">
        <f aca="false">DH77-DK77-DN77-DP77</f>
        <v>0</v>
      </c>
      <c r="DR77" s="84" t="n">
        <f aca="false">DK77+DN77+(1-$F77)*DQ77</f>
        <v>7653.056640625</v>
      </c>
      <c r="DS77" s="84" t="n">
        <f aca="false">DP77+$F77*DQ77</f>
        <v>0</v>
      </c>
      <c r="DT77" s="84" t="n">
        <f aca="false">DD77+DN77+(1-$F77)*DQ77</f>
        <v>0</v>
      </c>
      <c r="DU77" s="84" t="n">
        <f aca="false">DE77+DS77</f>
        <v>0</v>
      </c>
      <c r="DV77" s="133" t="n">
        <f aca="false">DI77+$D77*Inputs!$H$13-$D77*$E77</f>
        <v>30342.2265625</v>
      </c>
      <c r="DW77" s="84" t="n">
        <f aca="false">DV77*(1+$I77)</f>
        <v>37927.783203125</v>
      </c>
      <c r="DX77" s="133" t="n">
        <f aca="false">DW77*Inputs!$H$14</f>
        <v>7585.556640625</v>
      </c>
      <c r="DY77" s="84" t="n">
        <f aca="false">DW77-DX77</f>
        <v>30342.2265625</v>
      </c>
      <c r="DZ77" s="133" t="n">
        <f aca="false">DL77+$D77*Inputs!$H$13</f>
        <v>12346.943359375</v>
      </c>
      <c r="EA77" s="84" t="n">
        <f aca="false">MIN(DX77,DZ77)</f>
        <v>7585.556640625</v>
      </c>
      <c r="EB77" s="84" t="n">
        <f aca="false">DZ77-EA77</f>
        <v>4761.38671875</v>
      </c>
      <c r="EC77" s="84" t="n">
        <f aca="false">DO77+$G77*(DZ77+DO77)</f>
        <v>0</v>
      </c>
      <c r="ED77" s="84" t="n">
        <f aca="false">MIN(DX77-EA77,EC77)</f>
        <v>0</v>
      </c>
      <c r="EE77" s="84" t="n">
        <f aca="false">EC77-ED77</f>
        <v>0</v>
      </c>
      <c r="EF77" s="84" t="n">
        <f aca="false">IF($H77=1,MIN(DX77-EA77-ED77,MAX(0,$F77/(1-$F77)*(DT77+ED77)-DU77)),0)</f>
        <v>0</v>
      </c>
      <c r="EG77" s="84" t="n">
        <f aca="false">DX77-EA77-ED77-EF77</f>
        <v>0</v>
      </c>
      <c r="EH77" s="84" t="n">
        <f aca="false">EA77+ED77+(1-$F77)*EG77</f>
        <v>7585.556640625</v>
      </c>
      <c r="EI77" s="84" t="n">
        <f aca="false">EF77+$F77*EG77</f>
        <v>0</v>
      </c>
      <c r="EJ77" s="84" t="n">
        <f aca="false">DT77+ED77+(1-$F77)*EG77</f>
        <v>0</v>
      </c>
      <c r="EK77" s="84" t="n">
        <f aca="false">DU77+EI77</f>
        <v>0</v>
      </c>
      <c r="EL77" s="133" t="n">
        <f aca="false">DY77+$D77*Inputs!$I$13-$D77*$E77</f>
        <v>30072.2265625</v>
      </c>
      <c r="EM77" s="84" t="n">
        <f aca="false">EL77*(1+$I77)</f>
        <v>37590.283203125</v>
      </c>
      <c r="EN77" s="133" t="n">
        <f aca="false">EM77*Inputs!$I$14</f>
        <v>7518.056640625</v>
      </c>
      <c r="EO77" s="84" t="n">
        <f aca="false">EM77-EN77</f>
        <v>30072.2265625</v>
      </c>
      <c r="EP77" s="133" t="n">
        <f aca="false">EB77+$D77*Inputs!$I$13</f>
        <v>4761.38671875</v>
      </c>
      <c r="EQ77" s="84" t="n">
        <f aca="false">MIN(EN77,EP77)</f>
        <v>4761.38671875</v>
      </c>
      <c r="ER77" s="84" t="n">
        <f aca="false">EP77-EQ77</f>
        <v>0</v>
      </c>
      <c r="ES77" s="84" t="n">
        <f aca="false">EE77+$G77*(EP77+EE77)</f>
        <v>0</v>
      </c>
      <c r="ET77" s="84" t="n">
        <f aca="false">MIN(EN77-EQ77,ES77)</f>
        <v>0</v>
      </c>
      <c r="EU77" s="84" t="n">
        <f aca="false">ES77-ET77</f>
        <v>0</v>
      </c>
      <c r="EV77" s="84" t="n">
        <f aca="false">IF($H77=1,MIN(EN77-EQ77-ET77,MAX(0,$F77/(1-$F77)*(EJ77+ET77)-EK77)),0)</f>
        <v>0</v>
      </c>
      <c r="EW77" s="84" t="n">
        <f aca="false">EN77-EQ77-ET77-EV77</f>
        <v>2756.669921875</v>
      </c>
      <c r="EX77" s="84" t="n">
        <f aca="false">EQ77+ET77+(1-$F77)*EW77</f>
        <v>6966.72265625</v>
      </c>
      <c r="EY77" s="84" t="n">
        <f aca="false">EV77+$F77*EW77</f>
        <v>551.333984375</v>
      </c>
      <c r="EZ77" s="84" t="n">
        <f aca="false">EJ77+ET77+(1-$F77)*EW77</f>
        <v>2205.3359375</v>
      </c>
      <c r="FA77" s="84" t="n">
        <f aca="false">EK77+EY77</f>
        <v>551.333984375</v>
      </c>
      <c r="FB77" s="133" t="n">
        <f aca="false">EO77+$D77*Inputs!$J$13-$D77*$E77</f>
        <v>29802.2265625</v>
      </c>
      <c r="FC77" s="84" t="n">
        <f aca="false">FB77*(1+$I77)</f>
        <v>37252.783203125</v>
      </c>
      <c r="FD77" s="133" t="n">
        <f aca="false">FC77*Inputs!$J$14</f>
        <v>7450.556640625</v>
      </c>
      <c r="FE77" s="84" t="n">
        <f aca="false">FC77-FD77</f>
        <v>29802.2265625</v>
      </c>
      <c r="FF77" s="133" t="n">
        <f aca="false">ER77+$D77*Inputs!$J$13</f>
        <v>0</v>
      </c>
      <c r="FG77" s="84" t="n">
        <f aca="false">MIN(FD77,FF77)</f>
        <v>0</v>
      </c>
      <c r="FH77" s="84" t="n">
        <f aca="false">FF77-FG77</f>
        <v>0</v>
      </c>
      <c r="FI77" s="84" t="n">
        <f aca="false">EU77+$G77*(FF77+EU77)</f>
        <v>0</v>
      </c>
      <c r="FJ77" s="84" t="n">
        <f aca="false">MIN(FD77-FG77,FI77)</f>
        <v>0</v>
      </c>
      <c r="FK77" s="84" t="n">
        <f aca="false">FI77-FJ77</f>
        <v>0</v>
      </c>
      <c r="FL77" s="84" t="n">
        <f aca="false">IF($H77=1,MIN(FD77-FG77-FJ77,MAX(0,$F77/(1-$F77)*(EZ77+FJ77)-FA77)),0)</f>
        <v>0</v>
      </c>
      <c r="FM77" s="84" t="n">
        <f aca="false">FD77-FG77-FJ77-FL77</f>
        <v>7450.556640625</v>
      </c>
      <c r="FN77" s="84" t="n">
        <f aca="false">FG77+FJ77+(1-$F77)*FM77</f>
        <v>5960.4453125</v>
      </c>
      <c r="FO77" s="84" t="n">
        <f aca="false">FL77+$F77*FM77</f>
        <v>1490.111328125</v>
      </c>
      <c r="FP77" s="84" t="n">
        <f aca="false">EZ77+FJ77+(1-$F77)*FM77</f>
        <v>8165.78125</v>
      </c>
      <c r="FQ77" s="84" t="n">
        <f aca="false">FA77+FO77</f>
        <v>2041.4453125</v>
      </c>
      <c r="FR77" s="133" t="n">
        <f aca="false">FE77+$D77*Inputs!$K$13-$D77*$E77</f>
        <v>29532.2265625</v>
      </c>
      <c r="FS77" s="84" t="n">
        <f aca="false">FR77*(1+$I77)</f>
        <v>36915.283203125</v>
      </c>
      <c r="FT77" s="133" t="n">
        <f aca="false">FS77*Inputs!$K$14</f>
        <v>7383.056640625</v>
      </c>
      <c r="FU77" s="84" t="n">
        <f aca="false">FS77-FT77</f>
        <v>29532.2265625</v>
      </c>
      <c r="FV77" s="133" t="n">
        <f aca="false">FH77+$D77*Inputs!$K$13</f>
        <v>0</v>
      </c>
      <c r="FW77" s="84" t="n">
        <f aca="false">MIN(FT77,FV77)</f>
        <v>0</v>
      </c>
      <c r="FX77" s="84" t="n">
        <f aca="false">FV77-FW77</f>
        <v>0</v>
      </c>
      <c r="FY77" s="84" t="n">
        <f aca="false">FK77+$G77*(FV77+FK77)</f>
        <v>0</v>
      </c>
      <c r="FZ77" s="84" t="n">
        <f aca="false">MIN(FT77-FW77,FY77)</f>
        <v>0</v>
      </c>
      <c r="GA77" s="84" t="n">
        <f aca="false">FY77-FZ77</f>
        <v>0</v>
      </c>
      <c r="GB77" s="84" t="n">
        <f aca="false">IF($H77=1,MIN(FT77-FW77-FZ77,MAX(0,$F77/(1-$F77)*(FP77+FZ77)-FQ77)),0)</f>
        <v>0</v>
      </c>
      <c r="GC77" s="84" t="n">
        <f aca="false">FT77-FW77-FZ77-GB77</f>
        <v>7383.056640625</v>
      </c>
      <c r="GD77" s="84" t="n">
        <f aca="false">FW77+FZ77+(1-$F77)*GC77</f>
        <v>5906.4453125</v>
      </c>
      <c r="GE77" s="84" t="n">
        <f aca="false">GB77+$F77*GC77</f>
        <v>1476.611328125</v>
      </c>
      <c r="GF77" s="84" t="n">
        <f aca="false">FP77+FZ77+(1-$F77)*GC77</f>
        <v>14072.2265625</v>
      </c>
      <c r="GG77" s="84" t="n">
        <f aca="false">FQ77+GE77</f>
        <v>3518.056640625</v>
      </c>
      <c r="GH77" s="133" t="n">
        <f aca="false">FU77+$D77*Inputs!$L$13-$D77*$E77</f>
        <v>29262.2265625</v>
      </c>
      <c r="GI77" s="84" t="n">
        <f aca="false">GH77*(1+$I77)</f>
        <v>36577.783203125</v>
      </c>
      <c r="GJ77" s="133" t="n">
        <f aca="false">GI77*Inputs!$L$14</f>
        <v>36577.783203125</v>
      </c>
      <c r="GK77" s="84" t="n">
        <f aca="false">GI77-GJ77</f>
        <v>0</v>
      </c>
      <c r="GL77" s="133" t="n">
        <f aca="false">FX77+$D77*Inputs!$L$13</f>
        <v>0</v>
      </c>
      <c r="GM77" s="84" t="n">
        <f aca="false">MIN(GJ77,GL77)</f>
        <v>0</v>
      </c>
      <c r="GN77" s="84" t="n">
        <f aca="false">GL77-GM77</f>
        <v>0</v>
      </c>
      <c r="GO77" s="84" t="n">
        <f aca="false">GA77+$G77*(GL77+GA77)</f>
        <v>0</v>
      </c>
      <c r="GP77" s="84" t="n">
        <f aca="false">MIN(GJ77-GM77,GO77)</f>
        <v>0</v>
      </c>
      <c r="GQ77" s="84" t="n">
        <f aca="false">GO77-GP77</f>
        <v>0</v>
      </c>
      <c r="GR77" s="84" t="n">
        <f aca="false">IF($H77=1,MIN(GJ77-GM77-GP77,MAX(0,$F77/(1-$F77)*(GF77+GP77)-GG77)),0)</f>
        <v>0</v>
      </c>
      <c r="GS77" s="84" t="n">
        <f aca="false">GJ77-GM77-GP77-GR77</f>
        <v>36577.783203125</v>
      </c>
      <c r="GT77" s="84" t="n">
        <f aca="false">GM77+GP77+(1-$F77)*GS77</f>
        <v>29262.2265625</v>
      </c>
      <c r="GU77" s="84" t="n">
        <f aca="false">GR77+$F77*GS77</f>
        <v>7315.556640625</v>
      </c>
      <c r="GV77" s="84" t="n">
        <f aca="false">GF77+GP77+(1-$F77)*GS77</f>
        <v>43334.453125</v>
      </c>
      <c r="GW77" s="84" t="n">
        <f aca="false">GG77+GU77</f>
        <v>10833.61328125</v>
      </c>
    </row>
    <row r="78" customFormat="false" ht="15" hidden="false" customHeight="false" outlineLevel="0" collapsed="false">
      <c r="A78" s="5" t="s">
        <v>637</v>
      </c>
      <c r="B78" s="5" t="s">
        <v>638</v>
      </c>
      <c r="C78" s="135" t="n">
        <v>26</v>
      </c>
      <c r="D78" s="47" t="n">
        <f aca="false">Inputs!$C$6</f>
        <v>20000</v>
      </c>
      <c r="E78" s="35" t="n">
        <f aca="false">Inputs!$C$19</f>
        <v>0.0135</v>
      </c>
      <c r="F78" s="36" t="n">
        <f aca="false">Inputs!$C$20</f>
        <v>0.2</v>
      </c>
      <c r="G78" s="30" t="n">
        <v>0</v>
      </c>
      <c r="H78" s="27" t="n">
        <v>0</v>
      </c>
      <c r="I78" s="132" t="n">
        <f aca="false">Inputs!$C$38+$C78*Inputs!$C$39</f>
        <v>0.26</v>
      </c>
      <c r="J78" s="36" t="n">
        <f aca="false">Inputs!$C$9</f>
        <v>0.15</v>
      </c>
      <c r="K78" s="89" t="n">
        <f aca="false">IRR(W78:AG78,0.1)</f>
        <v>0.2158165698397</v>
      </c>
      <c r="L78" s="45" t="n">
        <f aca="false">W78+NPV($J78,X78:AG78)</f>
        <v>6162.19703913071</v>
      </c>
      <c r="M78" s="45" t="n">
        <f aca="false">SUM(BF78,BV78,CL78,DB78,DR78,EH78,EX78,FN78,GD78,GT78)</f>
        <v>66782.9526583856</v>
      </c>
      <c r="N78" s="43" t="n">
        <f aca="false">IF($D78*SUM(Inputs!$C$13:$L$13)=0,0,M78/($D78*SUM(Inputs!$C$13:$L$13)))</f>
        <v>3.33914763291928</v>
      </c>
      <c r="O78" s="42" t="n">
        <f aca="false">$D78*$E78*COLUMNS(Inputs!$C$13:$L$13)</f>
        <v>2700</v>
      </c>
      <c r="P78" s="45" t="n">
        <f aca="false">SUM(BG78,BW78,CM78,DC78,DS78,EI78,EY78,FO78,GE78,GU78)</f>
        <v>11695.7381645964</v>
      </c>
      <c r="Q78" s="42" t="n">
        <f aca="false">PV($J78,COLUMNS(Inputs!$C$13:$L$13),-$D78*$E78,0,1)</f>
        <v>1558.32765832774</v>
      </c>
      <c r="R78" s="45" t="n">
        <f aca="false">NPV($J78,BG78,BW78,CM78,DC78,DS78,EI78,EY78,FO78,GE78,GU78)</f>
        <v>3166.60424292052</v>
      </c>
      <c r="S78" s="45" t="n">
        <f aca="false">Q78+R78</f>
        <v>4724.93190124826</v>
      </c>
      <c r="T78" s="32" t="n">
        <f aca="false">IF(S78=0,0,Q78/S78)</f>
        <v>0.329809548771708</v>
      </c>
      <c r="U78" s="45" t="n">
        <f aca="false">ROUND(ABS(GK78)+ABS(SUM(AV78,BL78,CB78,CR78,DH78,DX78,EN78,FD78,FT78,GJ78)-M78-P78)+ABS(S78-(AH78+NPV($J78,AI78:AR78))),6)</f>
        <v>0</v>
      </c>
      <c r="W78" s="133" t="n">
        <f aca="false">-$D78*Inputs!$C$13</f>
        <v>-4000</v>
      </c>
      <c r="X78" s="133" t="n">
        <f aca="false">BF78-$D78*Inputs!$D$13</f>
        <v>-4000</v>
      </c>
      <c r="Y78" s="133" t="n">
        <f aca="false">BV78-$D78*Inputs!$E$13</f>
        <v>-4000</v>
      </c>
      <c r="Z78" s="133" t="n">
        <f aca="false">CL78-$D78*Inputs!$F$13</f>
        <v>-4000</v>
      </c>
      <c r="AA78" s="133" t="n">
        <f aca="false">DB78-$D78*Inputs!$G$13</f>
        <v>-4000</v>
      </c>
      <c r="AB78" s="133" t="n">
        <f aca="false">DR78-$D78*Inputs!$H$13</f>
        <v>7866.0080364096</v>
      </c>
      <c r="AC78" s="133" t="n">
        <f aca="false">EH78-$D78*Inputs!$I$13</f>
        <v>7860.89610070088</v>
      </c>
      <c r="AD78" s="133" t="n">
        <f aca="false">EX78-$D78*Inputs!$J$13</f>
        <v>7139.21378818309</v>
      </c>
      <c r="AE78" s="133" t="n">
        <f aca="false">FN78-$D78*Inputs!$K$13</f>
        <v>6280.43937253003</v>
      </c>
      <c r="AF78" s="133" t="n">
        <f aca="false">GD78-$D78*Inputs!$L$13</f>
        <v>6276.25088751027</v>
      </c>
      <c r="AG78" s="84" t="n">
        <f aca="false">GT78</f>
        <v>31360.1444730518</v>
      </c>
      <c r="AH78" s="84" t="n">
        <f aca="false">$D78*$E78</f>
        <v>270</v>
      </c>
      <c r="AI78" s="84" t="n">
        <f aca="false">BG78+$D78*$E78</f>
        <v>270</v>
      </c>
      <c r="AJ78" s="84" t="n">
        <f aca="false">BW78+$D78*$E78</f>
        <v>270</v>
      </c>
      <c r="AK78" s="84" t="n">
        <f aca="false">CM78+$D78*$E78</f>
        <v>270</v>
      </c>
      <c r="AL78" s="84" t="n">
        <f aca="false">DC78+$D78*$E78</f>
        <v>270</v>
      </c>
      <c r="AM78" s="84" t="n">
        <f aca="false">DS78+$D78*$E78</f>
        <v>270</v>
      </c>
      <c r="AN78" s="84" t="n">
        <f aca="false">EI78+$D78*$E78</f>
        <v>270</v>
      </c>
      <c r="AO78" s="84" t="n">
        <f aca="false">EY78+$D78*$E78</f>
        <v>986.529481323392</v>
      </c>
      <c r="AP78" s="84" t="n">
        <f aca="false">FO78+$D78*$E78</f>
        <v>1840.10984313251</v>
      </c>
      <c r="AQ78" s="84" t="n">
        <f aca="false">GE78+$D78*$E78</f>
        <v>1839.06272187757</v>
      </c>
      <c r="AR78" s="84" t="n">
        <f aca="false">GU78</f>
        <v>7840.03611826294</v>
      </c>
      <c r="AT78" s="133" t="n">
        <f aca="false">$D78*Inputs!$C$13-$D78*$E78</f>
        <v>3730</v>
      </c>
      <c r="AU78" s="84" t="n">
        <f aca="false">AT78*(1+$I78)</f>
        <v>4699.8</v>
      </c>
      <c r="AV78" s="133" t="n">
        <f aca="false">AU78*Inputs!$C$14</f>
        <v>0</v>
      </c>
      <c r="AW78" s="84" t="n">
        <f aca="false">AU78-AV78</f>
        <v>4699.8</v>
      </c>
      <c r="AX78" s="133" t="n">
        <f aca="false">$D78*Inputs!$C$13</f>
        <v>4000</v>
      </c>
      <c r="AY78" s="84" t="n">
        <f aca="false">MIN(AV78,AX78)</f>
        <v>0</v>
      </c>
      <c r="AZ78" s="84" t="n">
        <f aca="false">AX78-AY78</f>
        <v>4000</v>
      </c>
      <c r="BA78" s="84" t="n">
        <f aca="false">$G78*AX78</f>
        <v>0</v>
      </c>
      <c r="BB78" s="84" t="n">
        <f aca="false">MIN(AV78-AY78,BA78)</f>
        <v>0</v>
      </c>
      <c r="BC78" s="84" t="n">
        <f aca="false">BA78-BB78</f>
        <v>0</v>
      </c>
      <c r="BD78" s="84" t="n">
        <f aca="false">IF($H78=1,MIN(AV78-AY78-BB78,MAX(0,$F78/(1-$F78)*BB78)),0)</f>
        <v>0</v>
      </c>
      <c r="BE78" s="84" t="n">
        <f aca="false">AV78-AY78-BB78-BD78</f>
        <v>0</v>
      </c>
      <c r="BF78" s="84" t="n">
        <f aca="false">AY78+BB78+(1-$F78)*BE78</f>
        <v>0</v>
      </c>
      <c r="BG78" s="84" t="n">
        <f aca="false">BD78+$F78*BE78</f>
        <v>0</v>
      </c>
      <c r="BH78" s="84" t="n">
        <f aca="false">BB78+(1-$F78)*BE78</f>
        <v>0</v>
      </c>
      <c r="BI78" s="84" t="n">
        <f aca="false">BG78</f>
        <v>0</v>
      </c>
      <c r="BJ78" s="133" t="n">
        <f aca="false">AW78+$D78*Inputs!$D$13-$D78*$E78</f>
        <v>8429.8</v>
      </c>
      <c r="BK78" s="84" t="n">
        <f aca="false">BJ78*(1+$I78)</f>
        <v>10621.548</v>
      </c>
      <c r="BL78" s="133" t="n">
        <f aca="false">BK78*Inputs!$D$14</f>
        <v>0</v>
      </c>
      <c r="BM78" s="84" t="n">
        <f aca="false">BK78-BL78</f>
        <v>10621.548</v>
      </c>
      <c r="BN78" s="133" t="n">
        <f aca="false">AZ78+$D78*Inputs!$D$13</f>
        <v>8000</v>
      </c>
      <c r="BO78" s="84" t="n">
        <f aca="false">MIN(BL78,BN78)</f>
        <v>0</v>
      </c>
      <c r="BP78" s="84" t="n">
        <f aca="false">BN78-BO78</f>
        <v>8000</v>
      </c>
      <c r="BQ78" s="84" t="n">
        <f aca="false">BC78+$G78*(BN78+BC78)</f>
        <v>0</v>
      </c>
      <c r="BR78" s="84" t="n">
        <f aca="false">MIN(BL78-BO78,BQ78)</f>
        <v>0</v>
      </c>
      <c r="BS78" s="84" t="n">
        <f aca="false">BQ78-BR78</f>
        <v>0</v>
      </c>
      <c r="BT78" s="84" t="n">
        <f aca="false">IF($H78=1,MIN(BL78-BO78-BR78,MAX(0,$F78/(1-$F78)*(BH78+BR78)-BI78)),0)</f>
        <v>0</v>
      </c>
      <c r="BU78" s="84" t="n">
        <f aca="false">BL78-BO78-BR78-BT78</f>
        <v>0</v>
      </c>
      <c r="BV78" s="84" t="n">
        <f aca="false">BO78+BR78+(1-$F78)*BU78</f>
        <v>0</v>
      </c>
      <c r="BW78" s="84" t="n">
        <f aca="false">BT78+$F78*BU78</f>
        <v>0</v>
      </c>
      <c r="BX78" s="84" t="n">
        <f aca="false">BH78+BR78+(1-$F78)*BU78</f>
        <v>0</v>
      </c>
      <c r="BY78" s="84" t="n">
        <f aca="false">BI78+BW78</f>
        <v>0</v>
      </c>
      <c r="BZ78" s="133" t="n">
        <f aca="false">BM78+$D78*Inputs!$E$13-$D78*$E78</f>
        <v>14351.548</v>
      </c>
      <c r="CA78" s="84" t="n">
        <f aca="false">BZ78*(1+$I78)</f>
        <v>18082.95048</v>
      </c>
      <c r="CB78" s="133" t="n">
        <f aca="false">CA78*Inputs!$E$14</f>
        <v>0</v>
      </c>
      <c r="CC78" s="84" t="n">
        <f aca="false">CA78-CB78</f>
        <v>18082.95048</v>
      </c>
      <c r="CD78" s="133" t="n">
        <f aca="false">BP78+$D78*Inputs!$E$13</f>
        <v>12000</v>
      </c>
      <c r="CE78" s="84" t="n">
        <f aca="false">MIN(CB78,CD78)</f>
        <v>0</v>
      </c>
      <c r="CF78" s="84" t="n">
        <f aca="false">CD78-CE78</f>
        <v>12000</v>
      </c>
      <c r="CG78" s="84" t="n">
        <f aca="false">BS78+$G78*(CD78+BS78)</f>
        <v>0</v>
      </c>
      <c r="CH78" s="84" t="n">
        <f aca="false">MIN(CB78-CE78,CG78)</f>
        <v>0</v>
      </c>
      <c r="CI78" s="84" t="n">
        <f aca="false">CG78-CH78</f>
        <v>0</v>
      </c>
      <c r="CJ78" s="84" t="n">
        <f aca="false">IF($H78=1,MIN(CB78-CE78-CH78,MAX(0,$F78/(1-$F78)*(BX78+CH78)-BY78)),0)</f>
        <v>0</v>
      </c>
      <c r="CK78" s="84" t="n">
        <f aca="false">CB78-CE78-CH78-CJ78</f>
        <v>0</v>
      </c>
      <c r="CL78" s="84" t="n">
        <f aca="false">CE78+CH78+(1-$F78)*CK78</f>
        <v>0</v>
      </c>
      <c r="CM78" s="84" t="n">
        <f aca="false">CJ78+$F78*CK78</f>
        <v>0</v>
      </c>
      <c r="CN78" s="84" t="n">
        <f aca="false">BX78+CH78+(1-$F78)*CK78</f>
        <v>0</v>
      </c>
      <c r="CO78" s="84" t="n">
        <f aca="false">BY78+CM78</f>
        <v>0</v>
      </c>
      <c r="CP78" s="133" t="n">
        <f aca="false">CC78+$D78*Inputs!$F$13-$D78*$E78</f>
        <v>21812.95048</v>
      </c>
      <c r="CQ78" s="84" t="n">
        <f aca="false">CP78*(1+$I78)</f>
        <v>27484.3176048</v>
      </c>
      <c r="CR78" s="133" t="n">
        <f aca="false">CQ78*Inputs!$F$14</f>
        <v>0</v>
      </c>
      <c r="CS78" s="84" t="n">
        <f aca="false">CQ78-CR78</f>
        <v>27484.3176048</v>
      </c>
      <c r="CT78" s="133" t="n">
        <f aca="false">CF78+$D78*Inputs!$F$13</f>
        <v>16000</v>
      </c>
      <c r="CU78" s="84" t="n">
        <f aca="false">MIN(CR78,CT78)</f>
        <v>0</v>
      </c>
      <c r="CV78" s="84" t="n">
        <f aca="false">CT78-CU78</f>
        <v>16000</v>
      </c>
      <c r="CW78" s="84" t="n">
        <f aca="false">CI78+$G78*(CT78+CI78)</f>
        <v>0</v>
      </c>
      <c r="CX78" s="84" t="n">
        <f aca="false">MIN(CR78-CU78,CW78)</f>
        <v>0</v>
      </c>
      <c r="CY78" s="84" t="n">
        <f aca="false">CW78-CX78</f>
        <v>0</v>
      </c>
      <c r="CZ78" s="84" t="n">
        <f aca="false">IF($H78=1,MIN(CR78-CU78-CX78,MAX(0,$F78/(1-$F78)*(CN78+CX78)-CO78)),0)</f>
        <v>0</v>
      </c>
      <c r="DA78" s="84" t="n">
        <f aca="false">CR78-CU78-CX78-CZ78</f>
        <v>0</v>
      </c>
      <c r="DB78" s="84" t="n">
        <f aca="false">CU78+CX78+(1-$F78)*DA78</f>
        <v>0</v>
      </c>
      <c r="DC78" s="84" t="n">
        <f aca="false">CZ78+$F78*DA78</f>
        <v>0</v>
      </c>
      <c r="DD78" s="84" t="n">
        <f aca="false">CN78+CX78+(1-$F78)*DA78</f>
        <v>0</v>
      </c>
      <c r="DE78" s="84" t="n">
        <f aca="false">CO78+DC78</f>
        <v>0</v>
      </c>
      <c r="DF78" s="133" t="n">
        <f aca="false">CS78+$D78*Inputs!$G$13-$D78*$E78</f>
        <v>31214.3176048</v>
      </c>
      <c r="DG78" s="84" t="n">
        <f aca="false">DF78*(1+$I78)</f>
        <v>39330.040182048</v>
      </c>
      <c r="DH78" s="133" t="n">
        <f aca="false">DG78*Inputs!$G$14</f>
        <v>7866.0080364096</v>
      </c>
      <c r="DI78" s="84" t="n">
        <f aca="false">DG78-DH78</f>
        <v>31464.0321456384</v>
      </c>
      <c r="DJ78" s="133" t="n">
        <f aca="false">CV78+$D78*Inputs!$G$13</f>
        <v>20000</v>
      </c>
      <c r="DK78" s="84" t="n">
        <f aca="false">MIN(DH78,DJ78)</f>
        <v>7866.0080364096</v>
      </c>
      <c r="DL78" s="84" t="n">
        <f aca="false">DJ78-DK78</f>
        <v>12133.9919635904</v>
      </c>
      <c r="DM78" s="84" t="n">
        <f aca="false">CY78+$G78*(DJ78+CY78)</f>
        <v>0</v>
      </c>
      <c r="DN78" s="84" t="n">
        <f aca="false">MIN(DH78-DK78,DM78)</f>
        <v>0</v>
      </c>
      <c r="DO78" s="84" t="n">
        <f aca="false">DM78-DN78</f>
        <v>0</v>
      </c>
      <c r="DP78" s="84" t="n">
        <f aca="false">IF($H78=1,MIN(DH78-DK78-DN78,MAX(0,$F78/(1-$F78)*(DD78+DN78)-DE78)),0)</f>
        <v>0</v>
      </c>
      <c r="DQ78" s="84" t="n">
        <f aca="false">DH78-DK78-DN78-DP78</f>
        <v>0</v>
      </c>
      <c r="DR78" s="84" t="n">
        <f aca="false">DK78+DN78+(1-$F78)*DQ78</f>
        <v>7866.0080364096</v>
      </c>
      <c r="DS78" s="84" t="n">
        <f aca="false">DP78+$F78*DQ78</f>
        <v>0</v>
      </c>
      <c r="DT78" s="84" t="n">
        <f aca="false">DD78+DN78+(1-$F78)*DQ78</f>
        <v>0</v>
      </c>
      <c r="DU78" s="84" t="n">
        <f aca="false">DE78+DS78</f>
        <v>0</v>
      </c>
      <c r="DV78" s="133" t="n">
        <f aca="false">DI78+$D78*Inputs!$H$13-$D78*$E78</f>
        <v>31194.0321456384</v>
      </c>
      <c r="DW78" s="84" t="n">
        <f aca="false">DV78*(1+$I78)</f>
        <v>39304.4805035044</v>
      </c>
      <c r="DX78" s="133" t="n">
        <f aca="false">DW78*Inputs!$H$14</f>
        <v>7860.89610070088</v>
      </c>
      <c r="DY78" s="84" t="n">
        <f aca="false">DW78-DX78</f>
        <v>31443.5844028035</v>
      </c>
      <c r="DZ78" s="133" t="n">
        <f aca="false">DL78+$D78*Inputs!$H$13</f>
        <v>12133.9919635904</v>
      </c>
      <c r="EA78" s="84" t="n">
        <f aca="false">MIN(DX78,DZ78)</f>
        <v>7860.89610070088</v>
      </c>
      <c r="EB78" s="84" t="n">
        <f aca="false">DZ78-EA78</f>
        <v>4273.09586288952</v>
      </c>
      <c r="EC78" s="84" t="n">
        <f aca="false">DO78+$G78*(DZ78+DO78)</f>
        <v>0</v>
      </c>
      <c r="ED78" s="84" t="n">
        <f aca="false">MIN(DX78-EA78,EC78)</f>
        <v>0</v>
      </c>
      <c r="EE78" s="84" t="n">
        <f aca="false">EC78-ED78</f>
        <v>0</v>
      </c>
      <c r="EF78" s="84" t="n">
        <f aca="false">IF($H78=1,MIN(DX78-EA78-ED78,MAX(0,$F78/(1-$F78)*(DT78+ED78)-DU78)),0)</f>
        <v>0</v>
      </c>
      <c r="EG78" s="84" t="n">
        <f aca="false">DX78-EA78-ED78-EF78</f>
        <v>0</v>
      </c>
      <c r="EH78" s="84" t="n">
        <f aca="false">EA78+ED78+(1-$F78)*EG78</f>
        <v>7860.89610070088</v>
      </c>
      <c r="EI78" s="84" t="n">
        <f aca="false">EF78+$F78*EG78</f>
        <v>0</v>
      </c>
      <c r="EJ78" s="84" t="n">
        <f aca="false">DT78+ED78+(1-$F78)*EG78</f>
        <v>0</v>
      </c>
      <c r="EK78" s="84" t="n">
        <f aca="false">DU78+EI78</f>
        <v>0</v>
      </c>
      <c r="EL78" s="133" t="n">
        <f aca="false">DY78+$D78*Inputs!$I$13-$D78*$E78</f>
        <v>31173.5844028035</v>
      </c>
      <c r="EM78" s="84" t="n">
        <f aca="false">EL78*(1+$I78)</f>
        <v>39278.7163475324</v>
      </c>
      <c r="EN78" s="133" t="n">
        <f aca="false">EM78*Inputs!$I$14</f>
        <v>7855.74326950648</v>
      </c>
      <c r="EO78" s="84" t="n">
        <f aca="false">EM78-EN78</f>
        <v>31422.9730780259</v>
      </c>
      <c r="EP78" s="133" t="n">
        <f aca="false">EB78+$D78*Inputs!$I$13</f>
        <v>4273.09586288952</v>
      </c>
      <c r="EQ78" s="84" t="n">
        <f aca="false">MIN(EN78,EP78)</f>
        <v>4273.09586288952</v>
      </c>
      <c r="ER78" s="84" t="n">
        <f aca="false">EP78-EQ78</f>
        <v>0</v>
      </c>
      <c r="ES78" s="84" t="n">
        <f aca="false">EE78+$G78*(EP78+EE78)</f>
        <v>0</v>
      </c>
      <c r="ET78" s="84" t="n">
        <f aca="false">MIN(EN78-EQ78,ES78)</f>
        <v>0</v>
      </c>
      <c r="EU78" s="84" t="n">
        <f aca="false">ES78-ET78</f>
        <v>0</v>
      </c>
      <c r="EV78" s="84" t="n">
        <f aca="false">IF($H78=1,MIN(EN78-EQ78-ET78,MAX(0,$F78/(1-$F78)*(EJ78+ET78)-EK78)),0)</f>
        <v>0</v>
      </c>
      <c r="EW78" s="84" t="n">
        <f aca="false">EN78-EQ78-ET78-EV78</f>
        <v>3582.64740661696</v>
      </c>
      <c r="EX78" s="84" t="n">
        <f aca="false">EQ78+ET78+(1-$F78)*EW78</f>
        <v>7139.21378818309</v>
      </c>
      <c r="EY78" s="84" t="n">
        <f aca="false">EV78+$F78*EW78</f>
        <v>716.529481323392</v>
      </c>
      <c r="EZ78" s="84" t="n">
        <f aca="false">EJ78+ET78+(1-$F78)*EW78</f>
        <v>2866.11792529357</v>
      </c>
      <c r="FA78" s="84" t="n">
        <f aca="false">EK78+EY78</f>
        <v>716.529481323392</v>
      </c>
      <c r="FB78" s="133" t="n">
        <f aca="false">EO78+$D78*Inputs!$J$13-$D78*$E78</f>
        <v>31152.9730780259</v>
      </c>
      <c r="FC78" s="84" t="n">
        <f aca="false">FB78*(1+$I78)</f>
        <v>39252.7460783127</v>
      </c>
      <c r="FD78" s="133" t="n">
        <f aca="false">FC78*Inputs!$J$14</f>
        <v>7850.54921566254</v>
      </c>
      <c r="FE78" s="84" t="n">
        <f aca="false">FC78-FD78</f>
        <v>31402.1968626501</v>
      </c>
      <c r="FF78" s="133" t="n">
        <f aca="false">ER78+$D78*Inputs!$J$13</f>
        <v>0</v>
      </c>
      <c r="FG78" s="84" t="n">
        <f aca="false">MIN(FD78,FF78)</f>
        <v>0</v>
      </c>
      <c r="FH78" s="84" t="n">
        <f aca="false">FF78-FG78</f>
        <v>0</v>
      </c>
      <c r="FI78" s="84" t="n">
        <f aca="false">EU78+$G78*(FF78+EU78)</f>
        <v>0</v>
      </c>
      <c r="FJ78" s="84" t="n">
        <f aca="false">MIN(FD78-FG78,FI78)</f>
        <v>0</v>
      </c>
      <c r="FK78" s="84" t="n">
        <f aca="false">FI78-FJ78</f>
        <v>0</v>
      </c>
      <c r="FL78" s="84" t="n">
        <f aca="false">IF($H78=1,MIN(FD78-FG78-FJ78,MAX(0,$F78/(1-$F78)*(EZ78+FJ78)-FA78)),0)</f>
        <v>0</v>
      </c>
      <c r="FM78" s="84" t="n">
        <f aca="false">FD78-FG78-FJ78-FL78</f>
        <v>7850.54921566254</v>
      </c>
      <c r="FN78" s="84" t="n">
        <f aca="false">FG78+FJ78+(1-$F78)*FM78</f>
        <v>6280.43937253003</v>
      </c>
      <c r="FO78" s="84" t="n">
        <f aca="false">FL78+$F78*FM78</f>
        <v>1570.10984313251</v>
      </c>
      <c r="FP78" s="84" t="n">
        <f aca="false">EZ78+FJ78+(1-$F78)*FM78</f>
        <v>9146.5572978236</v>
      </c>
      <c r="FQ78" s="84" t="n">
        <f aca="false">FA78+FO78</f>
        <v>2286.6393244559</v>
      </c>
      <c r="FR78" s="133" t="n">
        <f aca="false">FE78+$D78*Inputs!$K$13-$D78*$E78</f>
        <v>31132.1968626501</v>
      </c>
      <c r="FS78" s="84" t="n">
        <f aca="false">FR78*(1+$I78)</f>
        <v>39226.5680469392</v>
      </c>
      <c r="FT78" s="133" t="n">
        <f aca="false">FS78*Inputs!$K$14</f>
        <v>7845.31360938784</v>
      </c>
      <c r="FU78" s="84" t="n">
        <f aca="false">FS78-FT78</f>
        <v>31381.2544375513</v>
      </c>
      <c r="FV78" s="133" t="n">
        <f aca="false">FH78+$D78*Inputs!$K$13</f>
        <v>0</v>
      </c>
      <c r="FW78" s="84" t="n">
        <f aca="false">MIN(FT78,FV78)</f>
        <v>0</v>
      </c>
      <c r="FX78" s="84" t="n">
        <f aca="false">FV78-FW78</f>
        <v>0</v>
      </c>
      <c r="FY78" s="84" t="n">
        <f aca="false">FK78+$G78*(FV78+FK78)</f>
        <v>0</v>
      </c>
      <c r="FZ78" s="84" t="n">
        <f aca="false">MIN(FT78-FW78,FY78)</f>
        <v>0</v>
      </c>
      <c r="GA78" s="84" t="n">
        <f aca="false">FY78-FZ78</f>
        <v>0</v>
      </c>
      <c r="GB78" s="84" t="n">
        <f aca="false">IF($H78=1,MIN(FT78-FW78-FZ78,MAX(0,$F78/(1-$F78)*(FP78+FZ78)-FQ78)),0)</f>
        <v>0</v>
      </c>
      <c r="GC78" s="84" t="n">
        <f aca="false">FT78-FW78-FZ78-GB78</f>
        <v>7845.31360938784</v>
      </c>
      <c r="GD78" s="84" t="n">
        <f aca="false">FW78+FZ78+(1-$F78)*GC78</f>
        <v>6276.25088751027</v>
      </c>
      <c r="GE78" s="84" t="n">
        <f aca="false">GB78+$F78*GC78</f>
        <v>1569.06272187757</v>
      </c>
      <c r="GF78" s="84" t="n">
        <f aca="false">FP78+FZ78+(1-$F78)*GC78</f>
        <v>15422.8081853339</v>
      </c>
      <c r="GG78" s="84" t="n">
        <f aca="false">FQ78+GE78</f>
        <v>3855.70204633347</v>
      </c>
      <c r="GH78" s="133" t="n">
        <f aca="false">FU78+$D78*Inputs!$L$13-$D78*$E78</f>
        <v>31111.2544375513</v>
      </c>
      <c r="GI78" s="84" t="n">
        <f aca="false">GH78*(1+$I78)</f>
        <v>39200.1805913147</v>
      </c>
      <c r="GJ78" s="133" t="n">
        <f aca="false">GI78*Inputs!$L$14</f>
        <v>39200.1805913147</v>
      </c>
      <c r="GK78" s="84" t="n">
        <f aca="false">GI78-GJ78</f>
        <v>0</v>
      </c>
      <c r="GL78" s="133" t="n">
        <f aca="false">FX78+$D78*Inputs!$L$13</f>
        <v>0</v>
      </c>
      <c r="GM78" s="84" t="n">
        <f aca="false">MIN(GJ78,GL78)</f>
        <v>0</v>
      </c>
      <c r="GN78" s="84" t="n">
        <f aca="false">GL78-GM78</f>
        <v>0</v>
      </c>
      <c r="GO78" s="84" t="n">
        <f aca="false">GA78+$G78*(GL78+GA78)</f>
        <v>0</v>
      </c>
      <c r="GP78" s="84" t="n">
        <f aca="false">MIN(GJ78-GM78,GO78)</f>
        <v>0</v>
      </c>
      <c r="GQ78" s="84" t="n">
        <f aca="false">GO78-GP78</f>
        <v>0</v>
      </c>
      <c r="GR78" s="84" t="n">
        <f aca="false">IF($H78=1,MIN(GJ78-GM78-GP78,MAX(0,$F78/(1-$F78)*(GF78+GP78)-GG78)),0)</f>
        <v>0</v>
      </c>
      <c r="GS78" s="84" t="n">
        <f aca="false">GJ78-GM78-GP78-GR78</f>
        <v>39200.1805913147</v>
      </c>
      <c r="GT78" s="84" t="n">
        <f aca="false">GM78+GP78+(1-$F78)*GS78</f>
        <v>31360.1444730518</v>
      </c>
      <c r="GU78" s="84" t="n">
        <f aca="false">GR78+$F78*GS78</f>
        <v>7840.03611826294</v>
      </c>
      <c r="GV78" s="84" t="n">
        <f aca="false">GF78+GP78+(1-$F78)*GS78</f>
        <v>46782.9526583856</v>
      </c>
      <c r="GW78" s="84" t="n">
        <f aca="false">GG78+GU78</f>
        <v>11695.7381645964</v>
      </c>
    </row>
    <row r="79" customFormat="false" ht="15" hidden="false" customHeight="false" outlineLevel="0" collapsed="false">
      <c r="A79" s="5" t="s">
        <v>637</v>
      </c>
      <c r="B79" s="5" t="s">
        <v>638</v>
      </c>
      <c r="C79" s="135" t="n">
        <v>27</v>
      </c>
      <c r="D79" s="47" t="n">
        <f aca="false">Inputs!$C$6</f>
        <v>20000</v>
      </c>
      <c r="E79" s="35" t="n">
        <f aca="false">Inputs!$C$19</f>
        <v>0.0135</v>
      </c>
      <c r="F79" s="36" t="n">
        <f aca="false">Inputs!$C$20</f>
        <v>0.2</v>
      </c>
      <c r="G79" s="30" t="n">
        <v>0</v>
      </c>
      <c r="H79" s="27" t="n">
        <v>0</v>
      </c>
      <c r="I79" s="132" t="n">
        <f aca="false">Inputs!$C$38+$C79*Inputs!$C$39</f>
        <v>0.27</v>
      </c>
      <c r="J79" s="36" t="n">
        <f aca="false">Inputs!$C$9</f>
        <v>0.15</v>
      </c>
      <c r="K79" s="89" t="n">
        <f aca="false">IRR(W79:AG79,0.1)</f>
        <v>0.225263770876889</v>
      </c>
      <c r="L79" s="45" t="n">
        <f aca="false">W79+NPV($J79,X79:AG79)</f>
        <v>7233.03777432138</v>
      </c>
      <c r="M79" s="45" t="n">
        <f aca="false">SUM(BF79,BV79,CL79,DB79,DR79,EH79,EX79,FN79,GD79,GT79)</f>
        <v>70421.4125172689</v>
      </c>
      <c r="N79" s="43" t="n">
        <f aca="false">IF($D79*SUM(Inputs!$C$13:$L$13)=0,0,M79/($D79*SUM(Inputs!$C$13:$L$13)))</f>
        <v>3.52107062586344</v>
      </c>
      <c r="O79" s="42" t="n">
        <f aca="false">$D79*$E79*COLUMNS(Inputs!$C$13:$L$13)</f>
        <v>2700</v>
      </c>
      <c r="P79" s="45" t="n">
        <f aca="false">SUM(BG79,BW79,CM79,DC79,DS79,EI79,EY79,FO79,GE79,GU79)</f>
        <v>12605.3531293172</v>
      </c>
      <c r="Q79" s="42" t="n">
        <f aca="false">PV($J79,COLUMNS(Inputs!$C$13:$L$13),-$D79*$E79,0,1)</f>
        <v>1558.32765832774</v>
      </c>
      <c r="R79" s="45" t="n">
        <f aca="false">NPV($J79,BG79,BW79,CM79,DC79,DS79,EI79,EY79,FO79,GE79,GU79)</f>
        <v>3423.70173614183</v>
      </c>
      <c r="S79" s="45" t="n">
        <f aca="false">Q79+R79</f>
        <v>4982.02939446956</v>
      </c>
      <c r="T79" s="32" t="n">
        <f aca="false">IF(S79=0,0,Q79/S79)</f>
        <v>0.312789735856959</v>
      </c>
      <c r="U79" s="45" t="n">
        <f aca="false">ROUND(ABS(GK79)+ABS(SUM(AV79,BL79,CB79,CR79,DH79,DX79,EN79,FD79,FT79,GJ79)-M79-P79)+ABS(S79-(AH79+NPV($J79,AI79:AR79))),6)</f>
        <v>0</v>
      </c>
      <c r="W79" s="133" t="n">
        <f aca="false">-$D79*Inputs!$C$13</f>
        <v>-4000</v>
      </c>
      <c r="X79" s="133" t="n">
        <f aca="false">BF79-$D79*Inputs!$D$13</f>
        <v>-4000</v>
      </c>
      <c r="Y79" s="133" t="n">
        <f aca="false">BV79-$D79*Inputs!$E$13</f>
        <v>-4000</v>
      </c>
      <c r="Z79" s="133" t="n">
        <f aca="false">CL79-$D79*Inputs!$F$13</f>
        <v>-4000</v>
      </c>
      <c r="AA79" s="133" t="n">
        <f aca="false">DB79-$D79*Inputs!$G$13</f>
        <v>-4000</v>
      </c>
      <c r="AB79" s="133" t="n">
        <f aca="false">DR79-$D79*Inputs!$H$13</f>
        <v>8084.0784976222</v>
      </c>
      <c r="AC79" s="133" t="n">
        <f aca="false">EH79-$D79*Inputs!$I$13</f>
        <v>8144.84375358416</v>
      </c>
      <c r="AD79" s="133" t="n">
        <f aca="false">EX79-$D79*Inputs!$J$13</f>
        <v>7319.48055267193</v>
      </c>
      <c r="AE79" s="133" t="n">
        <f aca="false">FN79-$D79*Inputs!$K$13</f>
        <v>6615.44524295981</v>
      </c>
      <c r="AF79" s="133" t="n">
        <f aca="false">GD79-$D79*Inputs!$L$13</f>
        <v>6666.42836684717</v>
      </c>
      <c r="AG79" s="84" t="n">
        <f aca="false">GT79</f>
        <v>33591.1361035836</v>
      </c>
      <c r="AH79" s="84" t="n">
        <f aca="false">$D79*$E79</f>
        <v>270</v>
      </c>
      <c r="AI79" s="84" t="n">
        <f aca="false">BG79+$D79*$E79</f>
        <v>270</v>
      </c>
      <c r="AJ79" s="84" t="n">
        <f aca="false">BW79+$D79*$E79</f>
        <v>270</v>
      </c>
      <c r="AK79" s="84" t="n">
        <f aca="false">CM79+$D79*$E79</f>
        <v>270</v>
      </c>
      <c r="AL79" s="84" t="n">
        <f aca="false">DC79+$D79*$E79</f>
        <v>270</v>
      </c>
      <c r="AM79" s="84" t="n">
        <f aca="false">DS79+$D79*$E79</f>
        <v>270</v>
      </c>
      <c r="AN79" s="84" t="n">
        <f aca="false">EI79+$D79*$E79</f>
        <v>270</v>
      </c>
      <c r="AO79" s="84" t="n">
        <f aca="false">EY79+$D79*$E79</f>
        <v>1157.10070096957</v>
      </c>
      <c r="AP79" s="84" t="n">
        <f aca="false">FO79+$D79*$E79</f>
        <v>1923.86131073995</v>
      </c>
      <c r="AQ79" s="84" t="n">
        <f aca="false">GE79+$D79*$E79</f>
        <v>1936.60709171179</v>
      </c>
      <c r="AR79" s="84" t="n">
        <f aca="false">GU79</f>
        <v>8397.78402589591</v>
      </c>
      <c r="AT79" s="133" t="n">
        <f aca="false">$D79*Inputs!$C$13-$D79*$E79</f>
        <v>3730</v>
      </c>
      <c r="AU79" s="84" t="n">
        <f aca="false">AT79*(1+$I79)</f>
        <v>4737.1</v>
      </c>
      <c r="AV79" s="133" t="n">
        <f aca="false">AU79*Inputs!$C$14</f>
        <v>0</v>
      </c>
      <c r="AW79" s="84" t="n">
        <f aca="false">AU79-AV79</f>
        <v>4737.1</v>
      </c>
      <c r="AX79" s="133" t="n">
        <f aca="false">$D79*Inputs!$C$13</f>
        <v>4000</v>
      </c>
      <c r="AY79" s="84" t="n">
        <f aca="false">MIN(AV79,AX79)</f>
        <v>0</v>
      </c>
      <c r="AZ79" s="84" t="n">
        <f aca="false">AX79-AY79</f>
        <v>4000</v>
      </c>
      <c r="BA79" s="84" t="n">
        <f aca="false">$G79*AX79</f>
        <v>0</v>
      </c>
      <c r="BB79" s="84" t="n">
        <f aca="false">MIN(AV79-AY79,BA79)</f>
        <v>0</v>
      </c>
      <c r="BC79" s="84" t="n">
        <f aca="false">BA79-BB79</f>
        <v>0</v>
      </c>
      <c r="BD79" s="84" t="n">
        <f aca="false">IF($H79=1,MIN(AV79-AY79-BB79,MAX(0,$F79/(1-$F79)*BB79)),0)</f>
        <v>0</v>
      </c>
      <c r="BE79" s="84" t="n">
        <f aca="false">AV79-AY79-BB79-BD79</f>
        <v>0</v>
      </c>
      <c r="BF79" s="84" t="n">
        <f aca="false">AY79+BB79+(1-$F79)*BE79</f>
        <v>0</v>
      </c>
      <c r="BG79" s="84" t="n">
        <f aca="false">BD79+$F79*BE79</f>
        <v>0</v>
      </c>
      <c r="BH79" s="84" t="n">
        <f aca="false">BB79+(1-$F79)*BE79</f>
        <v>0</v>
      </c>
      <c r="BI79" s="84" t="n">
        <f aca="false">BG79</f>
        <v>0</v>
      </c>
      <c r="BJ79" s="133" t="n">
        <f aca="false">AW79+$D79*Inputs!$D$13-$D79*$E79</f>
        <v>8467.1</v>
      </c>
      <c r="BK79" s="84" t="n">
        <f aca="false">BJ79*(1+$I79)</f>
        <v>10753.217</v>
      </c>
      <c r="BL79" s="133" t="n">
        <f aca="false">BK79*Inputs!$D$14</f>
        <v>0</v>
      </c>
      <c r="BM79" s="84" t="n">
        <f aca="false">BK79-BL79</f>
        <v>10753.217</v>
      </c>
      <c r="BN79" s="133" t="n">
        <f aca="false">AZ79+$D79*Inputs!$D$13</f>
        <v>8000</v>
      </c>
      <c r="BO79" s="84" t="n">
        <f aca="false">MIN(BL79,BN79)</f>
        <v>0</v>
      </c>
      <c r="BP79" s="84" t="n">
        <f aca="false">BN79-BO79</f>
        <v>8000</v>
      </c>
      <c r="BQ79" s="84" t="n">
        <f aca="false">BC79+$G79*(BN79+BC79)</f>
        <v>0</v>
      </c>
      <c r="BR79" s="84" t="n">
        <f aca="false">MIN(BL79-BO79,BQ79)</f>
        <v>0</v>
      </c>
      <c r="BS79" s="84" t="n">
        <f aca="false">BQ79-BR79</f>
        <v>0</v>
      </c>
      <c r="BT79" s="84" t="n">
        <f aca="false">IF($H79=1,MIN(BL79-BO79-BR79,MAX(0,$F79/(1-$F79)*(BH79+BR79)-BI79)),0)</f>
        <v>0</v>
      </c>
      <c r="BU79" s="84" t="n">
        <f aca="false">BL79-BO79-BR79-BT79</f>
        <v>0</v>
      </c>
      <c r="BV79" s="84" t="n">
        <f aca="false">BO79+BR79+(1-$F79)*BU79</f>
        <v>0</v>
      </c>
      <c r="BW79" s="84" t="n">
        <f aca="false">BT79+$F79*BU79</f>
        <v>0</v>
      </c>
      <c r="BX79" s="84" t="n">
        <f aca="false">BH79+BR79+(1-$F79)*BU79</f>
        <v>0</v>
      </c>
      <c r="BY79" s="84" t="n">
        <f aca="false">BI79+BW79</f>
        <v>0</v>
      </c>
      <c r="BZ79" s="133" t="n">
        <f aca="false">BM79+$D79*Inputs!$E$13-$D79*$E79</f>
        <v>14483.217</v>
      </c>
      <c r="CA79" s="84" t="n">
        <f aca="false">BZ79*(1+$I79)</f>
        <v>18393.68559</v>
      </c>
      <c r="CB79" s="133" t="n">
        <f aca="false">CA79*Inputs!$E$14</f>
        <v>0</v>
      </c>
      <c r="CC79" s="84" t="n">
        <f aca="false">CA79-CB79</f>
        <v>18393.68559</v>
      </c>
      <c r="CD79" s="133" t="n">
        <f aca="false">BP79+$D79*Inputs!$E$13</f>
        <v>12000</v>
      </c>
      <c r="CE79" s="84" t="n">
        <f aca="false">MIN(CB79,CD79)</f>
        <v>0</v>
      </c>
      <c r="CF79" s="84" t="n">
        <f aca="false">CD79-CE79</f>
        <v>12000</v>
      </c>
      <c r="CG79" s="84" t="n">
        <f aca="false">BS79+$G79*(CD79+BS79)</f>
        <v>0</v>
      </c>
      <c r="CH79" s="84" t="n">
        <f aca="false">MIN(CB79-CE79,CG79)</f>
        <v>0</v>
      </c>
      <c r="CI79" s="84" t="n">
        <f aca="false">CG79-CH79</f>
        <v>0</v>
      </c>
      <c r="CJ79" s="84" t="n">
        <f aca="false">IF($H79=1,MIN(CB79-CE79-CH79,MAX(0,$F79/(1-$F79)*(BX79+CH79)-BY79)),0)</f>
        <v>0</v>
      </c>
      <c r="CK79" s="84" t="n">
        <f aca="false">CB79-CE79-CH79-CJ79</f>
        <v>0</v>
      </c>
      <c r="CL79" s="84" t="n">
        <f aca="false">CE79+CH79+(1-$F79)*CK79</f>
        <v>0</v>
      </c>
      <c r="CM79" s="84" t="n">
        <f aca="false">CJ79+$F79*CK79</f>
        <v>0</v>
      </c>
      <c r="CN79" s="84" t="n">
        <f aca="false">BX79+CH79+(1-$F79)*CK79</f>
        <v>0</v>
      </c>
      <c r="CO79" s="84" t="n">
        <f aca="false">BY79+CM79</f>
        <v>0</v>
      </c>
      <c r="CP79" s="133" t="n">
        <f aca="false">CC79+$D79*Inputs!$F$13-$D79*$E79</f>
        <v>22123.68559</v>
      </c>
      <c r="CQ79" s="84" t="n">
        <f aca="false">CP79*(1+$I79)</f>
        <v>28097.0806993</v>
      </c>
      <c r="CR79" s="133" t="n">
        <f aca="false">CQ79*Inputs!$F$14</f>
        <v>0</v>
      </c>
      <c r="CS79" s="84" t="n">
        <f aca="false">CQ79-CR79</f>
        <v>28097.0806993</v>
      </c>
      <c r="CT79" s="133" t="n">
        <f aca="false">CF79+$D79*Inputs!$F$13</f>
        <v>16000</v>
      </c>
      <c r="CU79" s="84" t="n">
        <f aca="false">MIN(CR79,CT79)</f>
        <v>0</v>
      </c>
      <c r="CV79" s="84" t="n">
        <f aca="false">CT79-CU79</f>
        <v>16000</v>
      </c>
      <c r="CW79" s="84" t="n">
        <f aca="false">CI79+$G79*(CT79+CI79)</f>
        <v>0</v>
      </c>
      <c r="CX79" s="84" t="n">
        <f aca="false">MIN(CR79-CU79,CW79)</f>
        <v>0</v>
      </c>
      <c r="CY79" s="84" t="n">
        <f aca="false">CW79-CX79</f>
        <v>0</v>
      </c>
      <c r="CZ79" s="84" t="n">
        <f aca="false">IF($H79=1,MIN(CR79-CU79-CX79,MAX(0,$F79/(1-$F79)*(CN79+CX79)-CO79)),0)</f>
        <v>0</v>
      </c>
      <c r="DA79" s="84" t="n">
        <f aca="false">CR79-CU79-CX79-CZ79</f>
        <v>0</v>
      </c>
      <c r="DB79" s="84" t="n">
        <f aca="false">CU79+CX79+(1-$F79)*DA79</f>
        <v>0</v>
      </c>
      <c r="DC79" s="84" t="n">
        <f aca="false">CZ79+$F79*DA79</f>
        <v>0</v>
      </c>
      <c r="DD79" s="84" t="n">
        <f aca="false">CN79+CX79+(1-$F79)*DA79</f>
        <v>0</v>
      </c>
      <c r="DE79" s="84" t="n">
        <f aca="false">CO79+DC79</f>
        <v>0</v>
      </c>
      <c r="DF79" s="133" t="n">
        <f aca="false">CS79+$D79*Inputs!$G$13-$D79*$E79</f>
        <v>31827.0806993</v>
      </c>
      <c r="DG79" s="84" t="n">
        <f aca="false">DF79*(1+$I79)</f>
        <v>40420.392488111</v>
      </c>
      <c r="DH79" s="133" t="n">
        <f aca="false">DG79*Inputs!$G$14</f>
        <v>8084.0784976222</v>
      </c>
      <c r="DI79" s="84" t="n">
        <f aca="false">DG79-DH79</f>
        <v>32336.3139904888</v>
      </c>
      <c r="DJ79" s="133" t="n">
        <f aca="false">CV79+$D79*Inputs!$G$13</f>
        <v>20000</v>
      </c>
      <c r="DK79" s="84" t="n">
        <f aca="false">MIN(DH79,DJ79)</f>
        <v>8084.0784976222</v>
      </c>
      <c r="DL79" s="84" t="n">
        <f aca="false">DJ79-DK79</f>
        <v>11915.9215023778</v>
      </c>
      <c r="DM79" s="84" t="n">
        <f aca="false">CY79+$G79*(DJ79+CY79)</f>
        <v>0</v>
      </c>
      <c r="DN79" s="84" t="n">
        <f aca="false">MIN(DH79-DK79,DM79)</f>
        <v>0</v>
      </c>
      <c r="DO79" s="84" t="n">
        <f aca="false">DM79-DN79</f>
        <v>0</v>
      </c>
      <c r="DP79" s="84" t="n">
        <f aca="false">IF($H79=1,MIN(DH79-DK79-DN79,MAX(0,$F79/(1-$F79)*(DD79+DN79)-DE79)),0)</f>
        <v>0</v>
      </c>
      <c r="DQ79" s="84" t="n">
        <f aca="false">DH79-DK79-DN79-DP79</f>
        <v>0</v>
      </c>
      <c r="DR79" s="84" t="n">
        <f aca="false">DK79+DN79+(1-$F79)*DQ79</f>
        <v>8084.0784976222</v>
      </c>
      <c r="DS79" s="84" t="n">
        <f aca="false">DP79+$F79*DQ79</f>
        <v>0</v>
      </c>
      <c r="DT79" s="84" t="n">
        <f aca="false">DD79+DN79+(1-$F79)*DQ79</f>
        <v>0</v>
      </c>
      <c r="DU79" s="84" t="n">
        <f aca="false">DE79+DS79</f>
        <v>0</v>
      </c>
      <c r="DV79" s="133" t="n">
        <f aca="false">DI79+$D79*Inputs!$H$13-$D79*$E79</f>
        <v>32066.3139904888</v>
      </c>
      <c r="DW79" s="84" t="n">
        <f aca="false">DV79*(1+$I79)</f>
        <v>40724.2187679208</v>
      </c>
      <c r="DX79" s="133" t="n">
        <f aca="false">DW79*Inputs!$H$14</f>
        <v>8144.84375358416</v>
      </c>
      <c r="DY79" s="84" t="n">
        <f aca="false">DW79-DX79</f>
        <v>32579.3750143366</v>
      </c>
      <c r="DZ79" s="133" t="n">
        <f aca="false">DL79+$D79*Inputs!$H$13</f>
        <v>11915.9215023778</v>
      </c>
      <c r="EA79" s="84" t="n">
        <f aca="false">MIN(DX79,DZ79)</f>
        <v>8144.84375358416</v>
      </c>
      <c r="EB79" s="84" t="n">
        <f aca="false">DZ79-EA79</f>
        <v>3771.07774879364</v>
      </c>
      <c r="EC79" s="84" t="n">
        <f aca="false">DO79+$G79*(DZ79+DO79)</f>
        <v>0</v>
      </c>
      <c r="ED79" s="84" t="n">
        <f aca="false">MIN(DX79-EA79,EC79)</f>
        <v>0</v>
      </c>
      <c r="EE79" s="84" t="n">
        <f aca="false">EC79-ED79</f>
        <v>0</v>
      </c>
      <c r="EF79" s="84" t="n">
        <f aca="false">IF($H79=1,MIN(DX79-EA79-ED79,MAX(0,$F79/(1-$F79)*(DT79+ED79)-DU79)),0)</f>
        <v>0</v>
      </c>
      <c r="EG79" s="84" t="n">
        <f aca="false">DX79-EA79-ED79-EF79</f>
        <v>0</v>
      </c>
      <c r="EH79" s="84" t="n">
        <f aca="false">EA79+ED79+(1-$F79)*EG79</f>
        <v>8144.84375358416</v>
      </c>
      <c r="EI79" s="84" t="n">
        <f aca="false">EF79+$F79*EG79</f>
        <v>0</v>
      </c>
      <c r="EJ79" s="84" t="n">
        <f aca="false">DT79+ED79+(1-$F79)*EG79</f>
        <v>0</v>
      </c>
      <c r="EK79" s="84" t="n">
        <f aca="false">DU79+EI79</f>
        <v>0</v>
      </c>
      <c r="EL79" s="133" t="n">
        <f aca="false">DY79+$D79*Inputs!$I$13-$D79*$E79</f>
        <v>32309.3750143366</v>
      </c>
      <c r="EM79" s="84" t="n">
        <f aca="false">EL79*(1+$I79)</f>
        <v>41032.9062682075</v>
      </c>
      <c r="EN79" s="133" t="n">
        <f aca="false">EM79*Inputs!$I$14</f>
        <v>8206.5812536415</v>
      </c>
      <c r="EO79" s="84" t="n">
        <f aca="false">EM79-EN79</f>
        <v>32826.325014566</v>
      </c>
      <c r="EP79" s="133" t="n">
        <f aca="false">EB79+$D79*Inputs!$I$13</f>
        <v>3771.07774879364</v>
      </c>
      <c r="EQ79" s="84" t="n">
        <f aca="false">MIN(EN79,EP79)</f>
        <v>3771.07774879364</v>
      </c>
      <c r="ER79" s="84" t="n">
        <f aca="false">EP79-EQ79</f>
        <v>0</v>
      </c>
      <c r="ES79" s="84" t="n">
        <f aca="false">EE79+$G79*(EP79+EE79)</f>
        <v>0</v>
      </c>
      <c r="ET79" s="84" t="n">
        <f aca="false">MIN(EN79-EQ79,ES79)</f>
        <v>0</v>
      </c>
      <c r="EU79" s="84" t="n">
        <f aca="false">ES79-ET79</f>
        <v>0</v>
      </c>
      <c r="EV79" s="84" t="n">
        <f aca="false">IF($H79=1,MIN(EN79-EQ79-ET79,MAX(0,$F79/(1-$F79)*(EJ79+ET79)-EK79)),0)</f>
        <v>0</v>
      </c>
      <c r="EW79" s="84" t="n">
        <f aca="false">EN79-EQ79-ET79-EV79</f>
        <v>4435.50350484786</v>
      </c>
      <c r="EX79" s="84" t="n">
        <f aca="false">EQ79+ET79+(1-$F79)*EW79</f>
        <v>7319.48055267193</v>
      </c>
      <c r="EY79" s="84" t="n">
        <f aca="false">EV79+$F79*EW79</f>
        <v>887.100700969572</v>
      </c>
      <c r="EZ79" s="84" t="n">
        <f aca="false">EJ79+ET79+(1-$F79)*EW79</f>
        <v>3548.40280387829</v>
      </c>
      <c r="FA79" s="84" t="n">
        <f aca="false">EK79+EY79</f>
        <v>887.100700969572</v>
      </c>
      <c r="FB79" s="133" t="n">
        <f aca="false">EO79+$D79*Inputs!$J$13-$D79*$E79</f>
        <v>32556.325014566</v>
      </c>
      <c r="FC79" s="84" t="n">
        <f aca="false">FB79*(1+$I79)</f>
        <v>41346.5327684988</v>
      </c>
      <c r="FD79" s="133" t="n">
        <f aca="false">FC79*Inputs!$J$14</f>
        <v>8269.30655369977</v>
      </c>
      <c r="FE79" s="84" t="n">
        <f aca="false">FC79-FD79</f>
        <v>33077.2262147991</v>
      </c>
      <c r="FF79" s="133" t="n">
        <f aca="false">ER79+$D79*Inputs!$J$13</f>
        <v>0</v>
      </c>
      <c r="FG79" s="84" t="n">
        <f aca="false">MIN(FD79,FF79)</f>
        <v>0</v>
      </c>
      <c r="FH79" s="84" t="n">
        <f aca="false">FF79-FG79</f>
        <v>0</v>
      </c>
      <c r="FI79" s="84" t="n">
        <f aca="false">EU79+$G79*(FF79+EU79)</f>
        <v>0</v>
      </c>
      <c r="FJ79" s="84" t="n">
        <f aca="false">MIN(FD79-FG79,FI79)</f>
        <v>0</v>
      </c>
      <c r="FK79" s="84" t="n">
        <f aca="false">FI79-FJ79</f>
        <v>0</v>
      </c>
      <c r="FL79" s="84" t="n">
        <f aca="false">IF($H79=1,MIN(FD79-FG79-FJ79,MAX(0,$F79/(1-$F79)*(EZ79+FJ79)-FA79)),0)</f>
        <v>0</v>
      </c>
      <c r="FM79" s="84" t="n">
        <f aca="false">FD79-FG79-FJ79-FL79</f>
        <v>8269.30655369977</v>
      </c>
      <c r="FN79" s="84" t="n">
        <f aca="false">FG79+FJ79+(1-$F79)*FM79</f>
        <v>6615.44524295981</v>
      </c>
      <c r="FO79" s="84" t="n">
        <f aca="false">FL79+$F79*FM79</f>
        <v>1653.86131073995</v>
      </c>
      <c r="FP79" s="84" t="n">
        <f aca="false">EZ79+FJ79+(1-$F79)*FM79</f>
        <v>10163.8480468381</v>
      </c>
      <c r="FQ79" s="84" t="n">
        <f aca="false">FA79+FO79</f>
        <v>2540.96201170952</v>
      </c>
      <c r="FR79" s="133" t="n">
        <f aca="false">FE79+$D79*Inputs!$K$13-$D79*$E79</f>
        <v>32807.2262147991</v>
      </c>
      <c r="FS79" s="84" t="n">
        <f aca="false">FR79*(1+$I79)</f>
        <v>41665.1772927948</v>
      </c>
      <c r="FT79" s="133" t="n">
        <f aca="false">FS79*Inputs!$K$14</f>
        <v>8333.03545855896</v>
      </c>
      <c r="FU79" s="84" t="n">
        <f aca="false">FS79-FT79</f>
        <v>33332.1418342359</v>
      </c>
      <c r="FV79" s="133" t="n">
        <f aca="false">FH79+$D79*Inputs!$K$13</f>
        <v>0</v>
      </c>
      <c r="FW79" s="84" t="n">
        <f aca="false">MIN(FT79,FV79)</f>
        <v>0</v>
      </c>
      <c r="FX79" s="84" t="n">
        <f aca="false">FV79-FW79</f>
        <v>0</v>
      </c>
      <c r="FY79" s="84" t="n">
        <f aca="false">FK79+$G79*(FV79+FK79)</f>
        <v>0</v>
      </c>
      <c r="FZ79" s="84" t="n">
        <f aca="false">MIN(FT79-FW79,FY79)</f>
        <v>0</v>
      </c>
      <c r="GA79" s="84" t="n">
        <f aca="false">FY79-FZ79</f>
        <v>0</v>
      </c>
      <c r="GB79" s="84" t="n">
        <f aca="false">IF($H79=1,MIN(FT79-FW79-FZ79,MAX(0,$F79/(1-$F79)*(FP79+FZ79)-FQ79)),0)</f>
        <v>0</v>
      </c>
      <c r="GC79" s="84" t="n">
        <f aca="false">FT79-FW79-FZ79-GB79</f>
        <v>8333.03545855896</v>
      </c>
      <c r="GD79" s="84" t="n">
        <f aca="false">FW79+FZ79+(1-$F79)*GC79</f>
        <v>6666.42836684717</v>
      </c>
      <c r="GE79" s="84" t="n">
        <f aca="false">GB79+$F79*GC79</f>
        <v>1666.60709171179</v>
      </c>
      <c r="GF79" s="84" t="n">
        <f aca="false">FP79+FZ79+(1-$F79)*GC79</f>
        <v>16830.2764136853</v>
      </c>
      <c r="GG79" s="84" t="n">
        <f aca="false">FQ79+GE79</f>
        <v>4207.56910342132</v>
      </c>
      <c r="GH79" s="133" t="n">
        <f aca="false">FU79+$D79*Inputs!$L$13-$D79*$E79</f>
        <v>33062.1418342359</v>
      </c>
      <c r="GI79" s="84" t="n">
        <f aca="false">GH79*(1+$I79)</f>
        <v>41988.9201294795</v>
      </c>
      <c r="GJ79" s="133" t="n">
        <f aca="false">GI79*Inputs!$L$14</f>
        <v>41988.9201294795</v>
      </c>
      <c r="GK79" s="84" t="n">
        <f aca="false">GI79-GJ79</f>
        <v>0</v>
      </c>
      <c r="GL79" s="133" t="n">
        <f aca="false">FX79+$D79*Inputs!$L$13</f>
        <v>0</v>
      </c>
      <c r="GM79" s="84" t="n">
        <f aca="false">MIN(GJ79,GL79)</f>
        <v>0</v>
      </c>
      <c r="GN79" s="84" t="n">
        <f aca="false">GL79-GM79</f>
        <v>0</v>
      </c>
      <c r="GO79" s="84" t="n">
        <f aca="false">GA79+$G79*(GL79+GA79)</f>
        <v>0</v>
      </c>
      <c r="GP79" s="84" t="n">
        <f aca="false">MIN(GJ79-GM79,GO79)</f>
        <v>0</v>
      </c>
      <c r="GQ79" s="84" t="n">
        <f aca="false">GO79-GP79</f>
        <v>0</v>
      </c>
      <c r="GR79" s="84" t="n">
        <f aca="false">IF($H79=1,MIN(GJ79-GM79-GP79,MAX(0,$F79/(1-$F79)*(GF79+GP79)-GG79)),0)</f>
        <v>0</v>
      </c>
      <c r="GS79" s="84" t="n">
        <f aca="false">GJ79-GM79-GP79-GR79</f>
        <v>41988.9201294795</v>
      </c>
      <c r="GT79" s="84" t="n">
        <f aca="false">GM79+GP79+(1-$F79)*GS79</f>
        <v>33591.1361035836</v>
      </c>
      <c r="GU79" s="84" t="n">
        <f aca="false">GR79+$F79*GS79</f>
        <v>8397.78402589591</v>
      </c>
      <c r="GV79" s="84" t="n">
        <f aca="false">GF79+GP79+(1-$F79)*GS79</f>
        <v>50421.4125172689</v>
      </c>
      <c r="GW79" s="84" t="n">
        <f aca="false">GG79+GU79</f>
        <v>12605.3531293172</v>
      </c>
    </row>
    <row r="80" customFormat="false" ht="15" hidden="false" customHeight="false" outlineLevel="0" collapsed="false">
      <c r="A80" s="5" t="s">
        <v>637</v>
      </c>
      <c r="B80" s="5" t="s">
        <v>638</v>
      </c>
      <c r="C80" s="135" t="n">
        <v>28</v>
      </c>
      <c r="D80" s="47" t="n">
        <f aca="false">Inputs!$C$6</f>
        <v>20000</v>
      </c>
      <c r="E80" s="35" t="n">
        <f aca="false">Inputs!$C$19</f>
        <v>0.0135</v>
      </c>
      <c r="F80" s="36" t="n">
        <f aca="false">Inputs!$C$20</f>
        <v>0.2</v>
      </c>
      <c r="G80" s="30" t="n">
        <v>0</v>
      </c>
      <c r="H80" s="27" t="n">
        <v>0</v>
      </c>
      <c r="I80" s="132" t="n">
        <f aca="false">Inputs!$C$38+$C80*Inputs!$C$39</f>
        <v>0.28</v>
      </c>
      <c r="J80" s="36" t="n">
        <f aca="false">Inputs!$C$9</f>
        <v>0.15</v>
      </c>
      <c r="K80" s="89" t="n">
        <f aca="false">IRR(W80:AG80,0.1)</f>
        <v>0.234725741306942</v>
      </c>
      <c r="L80" s="45" t="n">
        <f aca="false">W80+NPV($J80,X80:AG80)</f>
        <v>8359.24268905513</v>
      </c>
      <c r="M80" s="45" t="n">
        <f aca="false">SUM(BF80,BV80,CL80,DB80,DR80,EH80,EX80,FN80,GD80,GT80)</f>
        <v>74259.5193734131</v>
      </c>
      <c r="N80" s="43" t="n">
        <f aca="false">IF($D80*SUM(Inputs!$C$13:$L$13)=0,0,M80/($D80*SUM(Inputs!$C$13:$L$13)))</f>
        <v>3.71297596867065</v>
      </c>
      <c r="O80" s="42" t="n">
        <f aca="false">$D80*$E80*COLUMNS(Inputs!$C$13:$L$13)</f>
        <v>2700</v>
      </c>
      <c r="P80" s="45" t="n">
        <f aca="false">SUM(BG80,BW80,CM80,DC80,DS80,EI80,EY80,FO80,GE80,GU80)</f>
        <v>13564.8798433533</v>
      </c>
      <c r="Q80" s="42" t="n">
        <f aca="false">PV($J80,COLUMNS(Inputs!$C$13:$L$13),-$D80*$E80,0,1)</f>
        <v>1558.32765832774</v>
      </c>
      <c r="R80" s="45" t="n">
        <f aca="false">NPV($J80,BG80,BW80,CM80,DC80,DS80,EI80,EY80,FO80,GE80,GU80)</f>
        <v>3694.3576098328</v>
      </c>
      <c r="S80" s="45" t="n">
        <f aca="false">Q80+R80</f>
        <v>5252.68526816053</v>
      </c>
      <c r="T80" s="32" t="n">
        <f aca="false">IF(S80=0,0,Q80/S80)</f>
        <v>0.296672573887805</v>
      </c>
      <c r="U80" s="45" t="n">
        <f aca="false">ROUND(ABS(GK80)+ABS(SUM(AV80,BL80,CB80,CR80,DH80,DX80,EN80,FD80,FT80,GJ80)-M80-P80)+ABS(S80-(AH80+NPV($J80,AI80:AR80))),6)</f>
        <v>0</v>
      </c>
      <c r="W80" s="133" t="n">
        <f aca="false">-$D80*Inputs!$C$13</f>
        <v>-4000</v>
      </c>
      <c r="X80" s="133" t="n">
        <f aca="false">BF80-$D80*Inputs!$D$13</f>
        <v>-4000</v>
      </c>
      <c r="Y80" s="133" t="n">
        <f aca="false">BV80-$D80*Inputs!$E$13</f>
        <v>-4000</v>
      </c>
      <c r="Z80" s="133" t="n">
        <f aca="false">CL80-$D80*Inputs!$F$13</f>
        <v>-4000</v>
      </c>
      <c r="AA80" s="133" t="n">
        <f aca="false">DB80-$D80*Inputs!$G$13</f>
        <v>-4000</v>
      </c>
      <c r="AB80" s="133" t="n">
        <f aca="false">DR80-$D80*Inputs!$H$13</f>
        <v>8307.3667760128</v>
      </c>
      <c r="AC80" s="133" t="n">
        <f aca="false">EH80-$D80*Inputs!$I$13</f>
        <v>8437.62357863711</v>
      </c>
      <c r="AD80" s="133" t="n">
        <f aca="false">EX80-$D80*Inputs!$J$13</f>
        <v>7507.80716468954</v>
      </c>
      <c r="AE80" s="133" t="n">
        <f aca="false">FN80-$D80*Inputs!$K$13</f>
        <v>6966.07256127439</v>
      </c>
      <c r="AF80" s="133" t="n">
        <f aca="false">GD80-$D80*Inputs!$L$13</f>
        <v>7077.96230274497</v>
      </c>
      <c r="AG80" s="84" t="n">
        <f aca="false">GT80</f>
        <v>35962.6869900543</v>
      </c>
      <c r="AH80" s="84" t="n">
        <f aca="false">$D80*$E80</f>
        <v>270</v>
      </c>
      <c r="AI80" s="84" t="n">
        <f aca="false">BG80+$D80*$E80</f>
        <v>270</v>
      </c>
      <c r="AJ80" s="84" t="n">
        <f aca="false">BW80+$D80*$E80</f>
        <v>270</v>
      </c>
      <c r="AK80" s="84" t="n">
        <f aca="false">CM80+$D80*$E80</f>
        <v>270</v>
      </c>
      <c r="AL80" s="84" t="n">
        <f aca="false">DC80+$D80*$E80</f>
        <v>270</v>
      </c>
      <c r="AM80" s="84" t="n">
        <f aca="false">DS80+$D80*$E80</f>
        <v>270</v>
      </c>
      <c r="AN80" s="84" t="n">
        <f aca="false">EI80+$D80*$E80</f>
        <v>270</v>
      </c>
      <c r="AO80" s="84" t="n">
        <f aca="false">EY80+$D80*$E80</f>
        <v>1333.19937983486</v>
      </c>
      <c r="AP80" s="84" t="n">
        <f aca="false">FO80+$D80*$E80</f>
        <v>2011.5181403186</v>
      </c>
      <c r="AQ80" s="84" t="n">
        <f aca="false">GE80+$D80*$E80</f>
        <v>2039.49057568624</v>
      </c>
      <c r="AR80" s="84" t="n">
        <f aca="false">GU80</f>
        <v>8990.67174751357</v>
      </c>
      <c r="AT80" s="133" t="n">
        <f aca="false">$D80*Inputs!$C$13-$D80*$E80</f>
        <v>3730</v>
      </c>
      <c r="AU80" s="84" t="n">
        <f aca="false">AT80*(1+$I80)</f>
        <v>4774.4</v>
      </c>
      <c r="AV80" s="133" t="n">
        <f aca="false">AU80*Inputs!$C$14</f>
        <v>0</v>
      </c>
      <c r="AW80" s="84" t="n">
        <f aca="false">AU80-AV80</f>
        <v>4774.4</v>
      </c>
      <c r="AX80" s="133" t="n">
        <f aca="false">$D80*Inputs!$C$13</f>
        <v>4000</v>
      </c>
      <c r="AY80" s="84" t="n">
        <f aca="false">MIN(AV80,AX80)</f>
        <v>0</v>
      </c>
      <c r="AZ80" s="84" t="n">
        <f aca="false">AX80-AY80</f>
        <v>4000</v>
      </c>
      <c r="BA80" s="84" t="n">
        <f aca="false">$G80*AX80</f>
        <v>0</v>
      </c>
      <c r="BB80" s="84" t="n">
        <f aca="false">MIN(AV80-AY80,BA80)</f>
        <v>0</v>
      </c>
      <c r="BC80" s="84" t="n">
        <f aca="false">BA80-BB80</f>
        <v>0</v>
      </c>
      <c r="BD80" s="84" t="n">
        <f aca="false">IF($H80=1,MIN(AV80-AY80-BB80,MAX(0,$F80/(1-$F80)*BB80)),0)</f>
        <v>0</v>
      </c>
      <c r="BE80" s="84" t="n">
        <f aca="false">AV80-AY80-BB80-BD80</f>
        <v>0</v>
      </c>
      <c r="BF80" s="84" t="n">
        <f aca="false">AY80+BB80+(1-$F80)*BE80</f>
        <v>0</v>
      </c>
      <c r="BG80" s="84" t="n">
        <f aca="false">BD80+$F80*BE80</f>
        <v>0</v>
      </c>
      <c r="BH80" s="84" t="n">
        <f aca="false">BB80+(1-$F80)*BE80</f>
        <v>0</v>
      </c>
      <c r="BI80" s="84" t="n">
        <f aca="false">BG80</f>
        <v>0</v>
      </c>
      <c r="BJ80" s="133" t="n">
        <f aca="false">AW80+$D80*Inputs!$D$13-$D80*$E80</f>
        <v>8504.4</v>
      </c>
      <c r="BK80" s="84" t="n">
        <f aca="false">BJ80*(1+$I80)</f>
        <v>10885.632</v>
      </c>
      <c r="BL80" s="133" t="n">
        <f aca="false">BK80*Inputs!$D$14</f>
        <v>0</v>
      </c>
      <c r="BM80" s="84" t="n">
        <f aca="false">BK80-BL80</f>
        <v>10885.632</v>
      </c>
      <c r="BN80" s="133" t="n">
        <f aca="false">AZ80+$D80*Inputs!$D$13</f>
        <v>8000</v>
      </c>
      <c r="BO80" s="84" t="n">
        <f aca="false">MIN(BL80,BN80)</f>
        <v>0</v>
      </c>
      <c r="BP80" s="84" t="n">
        <f aca="false">BN80-BO80</f>
        <v>8000</v>
      </c>
      <c r="BQ80" s="84" t="n">
        <f aca="false">BC80+$G80*(BN80+BC80)</f>
        <v>0</v>
      </c>
      <c r="BR80" s="84" t="n">
        <f aca="false">MIN(BL80-BO80,BQ80)</f>
        <v>0</v>
      </c>
      <c r="BS80" s="84" t="n">
        <f aca="false">BQ80-BR80</f>
        <v>0</v>
      </c>
      <c r="BT80" s="84" t="n">
        <f aca="false">IF($H80=1,MIN(BL80-BO80-BR80,MAX(0,$F80/(1-$F80)*(BH80+BR80)-BI80)),0)</f>
        <v>0</v>
      </c>
      <c r="BU80" s="84" t="n">
        <f aca="false">BL80-BO80-BR80-BT80</f>
        <v>0</v>
      </c>
      <c r="BV80" s="84" t="n">
        <f aca="false">BO80+BR80+(1-$F80)*BU80</f>
        <v>0</v>
      </c>
      <c r="BW80" s="84" t="n">
        <f aca="false">BT80+$F80*BU80</f>
        <v>0</v>
      </c>
      <c r="BX80" s="84" t="n">
        <f aca="false">BH80+BR80+(1-$F80)*BU80</f>
        <v>0</v>
      </c>
      <c r="BY80" s="84" t="n">
        <f aca="false">BI80+BW80</f>
        <v>0</v>
      </c>
      <c r="BZ80" s="133" t="n">
        <f aca="false">BM80+$D80*Inputs!$E$13-$D80*$E80</f>
        <v>14615.632</v>
      </c>
      <c r="CA80" s="84" t="n">
        <f aca="false">BZ80*(1+$I80)</f>
        <v>18708.00896</v>
      </c>
      <c r="CB80" s="133" t="n">
        <f aca="false">CA80*Inputs!$E$14</f>
        <v>0</v>
      </c>
      <c r="CC80" s="84" t="n">
        <f aca="false">CA80-CB80</f>
        <v>18708.00896</v>
      </c>
      <c r="CD80" s="133" t="n">
        <f aca="false">BP80+$D80*Inputs!$E$13</f>
        <v>12000</v>
      </c>
      <c r="CE80" s="84" t="n">
        <f aca="false">MIN(CB80,CD80)</f>
        <v>0</v>
      </c>
      <c r="CF80" s="84" t="n">
        <f aca="false">CD80-CE80</f>
        <v>12000</v>
      </c>
      <c r="CG80" s="84" t="n">
        <f aca="false">BS80+$G80*(CD80+BS80)</f>
        <v>0</v>
      </c>
      <c r="CH80" s="84" t="n">
        <f aca="false">MIN(CB80-CE80,CG80)</f>
        <v>0</v>
      </c>
      <c r="CI80" s="84" t="n">
        <f aca="false">CG80-CH80</f>
        <v>0</v>
      </c>
      <c r="CJ80" s="84" t="n">
        <f aca="false">IF($H80=1,MIN(CB80-CE80-CH80,MAX(0,$F80/(1-$F80)*(BX80+CH80)-BY80)),0)</f>
        <v>0</v>
      </c>
      <c r="CK80" s="84" t="n">
        <f aca="false">CB80-CE80-CH80-CJ80</f>
        <v>0</v>
      </c>
      <c r="CL80" s="84" t="n">
        <f aca="false">CE80+CH80+(1-$F80)*CK80</f>
        <v>0</v>
      </c>
      <c r="CM80" s="84" t="n">
        <f aca="false">CJ80+$F80*CK80</f>
        <v>0</v>
      </c>
      <c r="CN80" s="84" t="n">
        <f aca="false">BX80+CH80+(1-$F80)*CK80</f>
        <v>0</v>
      </c>
      <c r="CO80" s="84" t="n">
        <f aca="false">BY80+CM80</f>
        <v>0</v>
      </c>
      <c r="CP80" s="133" t="n">
        <f aca="false">CC80+$D80*Inputs!$F$13-$D80*$E80</f>
        <v>22438.00896</v>
      </c>
      <c r="CQ80" s="84" t="n">
        <f aca="false">CP80*(1+$I80)</f>
        <v>28720.6514688</v>
      </c>
      <c r="CR80" s="133" t="n">
        <f aca="false">CQ80*Inputs!$F$14</f>
        <v>0</v>
      </c>
      <c r="CS80" s="84" t="n">
        <f aca="false">CQ80-CR80</f>
        <v>28720.6514688</v>
      </c>
      <c r="CT80" s="133" t="n">
        <f aca="false">CF80+$D80*Inputs!$F$13</f>
        <v>16000</v>
      </c>
      <c r="CU80" s="84" t="n">
        <f aca="false">MIN(CR80,CT80)</f>
        <v>0</v>
      </c>
      <c r="CV80" s="84" t="n">
        <f aca="false">CT80-CU80</f>
        <v>16000</v>
      </c>
      <c r="CW80" s="84" t="n">
        <f aca="false">CI80+$G80*(CT80+CI80)</f>
        <v>0</v>
      </c>
      <c r="CX80" s="84" t="n">
        <f aca="false">MIN(CR80-CU80,CW80)</f>
        <v>0</v>
      </c>
      <c r="CY80" s="84" t="n">
        <f aca="false">CW80-CX80</f>
        <v>0</v>
      </c>
      <c r="CZ80" s="84" t="n">
        <f aca="false">IF($H80=1,MIN(CR80-CU80-CX80,MAX(0,$F80/(1-$F80)*(CN80+CX80)-CO80)),0)</f>
        <v>0</v>
      </c>
      <c r="DA80" s="84" t="n">
        <f aca="false">CR80-CU80-CX80-CZ80</f>
        <v>0</v>
      </c>
      <c r="DB80" s="84" t="n">
        <f aca="false">CU80+CX80+(1-$F80)*DA80</f>
        <v>0</v>
      </c>
      <c r="DC80" s="84" t="n">
        <f aca="false">CZ80+$F80*DA80</f>
        <v>0</v>
      </c>
      <c r="DD80" s="84" t="n">
        <f aca="false">CN80+CX80+(1-$F80)*DA80</f>
        <v>0</v>
      </c>
      <c r="DE80" s="84" t="n">
        <f aca="false">CO80+DC80</f>
        <v>0</v>
      </c>
      <c r="DF80" s="133" t="n">
        <f aca="false">CS80+$D80*Inputs!$G$13-$D80*$E80</f>
        <v>32450.6514688</v>
      </c>
      <c r="DG80" s="84" t="n">
        <f aca="false">DF80*(1+$I80)</f>
        <v>41536.833880064</v>
      </c>
      <c r="DH80" s="133" t="n">
        <f aca="false">DG80*Inputs!$G$14</f>
        <v>8307.3667760128</v>
      </c>
      <c r="DI80" s="84" t="n">
        <f aca="false">DG80-DH80</f>
        <v>33229.4671040512</v>
      </c>
      <c r="DJ80" s="133" t="n">
        <f aca="false">CV80+$D80*Inputs!$G$13</f>
        <v>20000</v>
      </c>
      <c r="DK80" s="84" t="n">
        <f aca="false">MIN(DH80,DJ80)</f>
        <v>8307.3667760128</v>
      </c>
      <c r="DL80" s="84" t="n">
        <f aca="false">DJ80-DK80</f>
        <v>11692.6332239872</v>
      </c>
      <c r="DM80" s="84" t="n">
        <f aca="false">CY80+$G80*(DJ80+CY80)</f>
        <v>0</v>
      </c>
      <c r="DN80" s="84" t="n">
        <f aca="false">MIN(DH80-DK80,DM80)</f>
        <v>0</v>
      </c>
      <c r="DO80" s="84" t="n">
        <f aca="false">DM80-DN80</f>
        <v>0</v>
      </c>
      <c r="DP80" s="84" t="n">
        <f aca="false">IF($H80=1,MIN(DH80-DK80-DN80,MAX(0,$F80/(1-$F80)*(DD80+DN80)-DE80)),0)</f>
        <v>0</v>
      </c>
      <c r="DQ80" s="84" t="n">
        <f aca="false">DH80-DK80-DN80-DP80</f>
        <v>0</v>
      </c>
      <c r="DR80" s="84" t="n">
        <f aca="false">DK80+DN80+(1-$F80)*DQ80</f>
        <v>8307.3667760128</v>
      </c>
      <c r="DS80" s="84" t="n">
        <f aca="false">DP80+$F80*DQ80</f>
        <v>0</v>
      </c>
      <c r="DT80" s="84" t="n">
        <f aca="false">DD80+DN80+(1-$F80)*DQ80</f>
        <v>0</v>
      </c>
      <c r="DU80" s="84" t="n">
        <f aca="false">DE80+DS80</f>
        <v>0</v>
      </c>
      <c r="DV80" s="133" t="n">
        <f aca="false">DI80+$D80*Inputs!$H$13-$D80*$E80</f>
        <v>32959.4671040512</v>
      </c>
      <c r="DW80" s="84" t="n">
        <f aca="false">DV80*(1+$I80)</f>
        <v>42188.1178931855</v>
      </c>
      <c r="DX80" s="133" t="n">
        <f aca="false">DW80*Inputs!$H$14</f>
        <v>8437.62357863711</v>
      </c>
      <c r="DY80" s="84" t="n">
        <f aca="false">DW80-DX80</f>
        <v>33750.4943145484</v>
      </c>
      <c r="DZ80" s="133" t="n">
        <f aca="false">DL80+$D80*Inputs!$H$13</f>
        <v>11692.6332239872</v>
      </c>
      <c r="EA80" s="84" t="n">
        <f aca="false">MIN(DX80,DZ80)</f>
        <v>8437.62357863711</v>
      </c>
      <c r="EB80" s="84" t="n">
        <f aca="false">DZ80-EA80</f>
        <v>3255.00964535009</v>
      </c>
      <c r="EC80" s="84" t="n">
        <f aca="false">DO80+$G80*(DZ80+DO80)</f>
        <v>0</v>
      </c>
      <c r="ED80" s="84" t="n">
        <f aca="false">MIN(DX80-EA80,EC80)</f>
        <v>0</v>
      </c>
      <c r="EE80" s="84" t="n">
        <f aca="false">EC80-ED80</f>
        <v>0</v>
      </c>
      <c r="EF80" s="84" t="n">
        <f aca="false">IF($H80=1,MIN(DX80-EA80-ED80,MAX(0,$F80/(1-$F80)*(DT80+ED80)-DU80)),0)</f>
        <v>0</v>
      </c>
      <c r="EG80" s="84" t="n">
        <f aca="false">DX80-EA80-ED80-EF80</f>
        <v>0</v>
      </c>
      <c r="EH80" s="84" t="n">
        <f aca="false">EA80+ED80+(1-$F80)*EG80</f>
        <v>8437.62357863711</v>
      </c>
      <c r="EI80" s="84" t="n">
        <f aca="false">EF80+$F80*EG80</f>
        <v>0</v>
      </c>
      <c r="EJ80" s="84" t="n">
        <f aca="false">DT80+ED80+(1-$F80)*EG80</f>
        <v>0</v>
      </c>
      <c r="EK80" s="84" t="n">
        <f aca="false">DU80+EI80</f>
        <v>0</v>
      </c>
      <c r="EL80" s="133" t="n">
        <f aca="false">DY80+$D80*Inputs!$I$13-$D80*$E80</f>
        <v>33480.4943145484</v>
      </c>
      <c r="EM80" s="84" t="n">
        <f aca="false">EL80*(1+$I80)</f>
        <v>42855.032722622</v>
      </c>
      <c r="EN80" s="133" t="n">
        <f aca="false">EM80*Inputs!$I$14</f>
        <v>8571.0065445244</v>
      </c>
      <c r="EO80" s="84" t="n">
        <f aca="false">EM80-EN80</f>
        <v>34284.0261780976</v>
      </c>
      <c r="EP80" s="133" t="n">
        <f aca="false">EB80+$D80*Inputs!$I$13</f>
        <v>3255.00964535009</v>
      </c>
      <c r="EQ80" s="84" t="n">
        <f aca="false">MIN(EN80,EP80)</f>
        <v>3255.00964535009</v>
      </c>
      <c r="ER80" s="84" t="n">
        <f aca="false">EP80-EQ80</f>
        <v>0</v>
      </c>
      <c r="ES80" s="84" t="n">
        <f aca="false">EE80+$G80*(EP80+EE80)</f>
        <v>0</v>
      </c>
      <c r="ET80" s="84" t="n">
        <f aca="false">MIN(EN80-EQ80,ES80)</f>
        <v>0</v>
      </c>
      <c r="EU80" s="84" t="n">
        <f aca="false">ES80-ET80</f>
        <v>0</v>
      </c>
      <c r="EV80" s="84" t="n">
        <f aca="false">IF($H80=1,MIN(EN80-EQ80-ET80,MAX(0,$F80/(1-$F80)*(EJ80+ET80)-EK80)),0)</f>
        <v>0</v>
      </c>
      <c r="EW80" s="84" t="n">
        <f aca="false">EN80-EQ80-ET80-EV80</f>
        <v>5315.99689917431</v>
      </c>
      <c r="EX80" s="84" t="n">
        <f aca="false">EQ80+ET80+(1-$F80)*EW80</f>
        <v>7507.80716468954</v>
      </c>
      <c r="EY80" s="84" t="n">
        <f aca="false">EV80+$F80*EW80</f>
        <v>1063.19937983486</v>
      </c>
      <c r="EZ80" s="84" t="n">
        <f aca="false">EJ80+ET80+(1-$F80)*EW80</f>
        <v>4252.79751933945</v>
      </c>
      <c r="FA80" s="84" t="n">
        <f aca="false">EK80+EY80</f>
        <v>1063.19937983486</v>
      </c>
      <c r="FB80" s="133" t="n">
        <f aca="false">EO80+$D80*Inputs!$J$13-$D80*$E80</f>
        <v>34014.0261780976</v>
      </c>
      <c r="FC80" s="84" t="n">
        <f aca="false">FB80*(1+$I80)</f>
        <v>43537.9535079649</v>
      </c>
      <c r="FD80" s="133" t="n">
        <f aca="false">FC80*Inputs!$J$14</f>
        <v>8707.59070159298</v>
      </c>
      <c r="FE80" s="84" t="n">
        <f aca="false">FC80-FD80</f>
        <v>34830.3628063719</v>
      </c>
      <c r="FF80" s="133" t="n">
        <f aca="false">ER80+$D80*Inputs!$J$13</f>
        <v>0</v>
      </c>
      <c r="FG80" s="84" t="n">
        <f aca="false">MIN(FD80,FF80)</f>
        <v>0</v>
      </c>
      <c r="FH80" s="84" t="n">
        <f aca="false">FF80-FG80</f>
        <v>0</v>
      </c>
      <c r="FI80" s="84" t="n">
        <f aca="false">EU80+$G80*(FF80+EU80)</f>
        <v>0</v>
      </c>
      <c r="FJ80" s="84" t="n">
        <f aca="false">MIN(FD80-FG80,FI80)</f>
        <v>0</v>
      </c>
      <c r="FK80" s="84" t="n">
        <f aca="false">FI80-FJ80</f>
        <v>0</v>
      </c>
      <c r="FL80" s="84" t="n">
        <f aca="false">IF($H80=1,MIN(FD80-FG80-FJ80,MAX(0,$F80/(1-$F80)*(EZ80+FJ80)-FA80)),0)</f>
        <v>0</v>
      </c>
      <c r="FM80" s="84" t="n">
        <f aca="false">FD80-FG80-FJ80-FL80</f>
        <v>8707.59070159298</v>
      </c>
      <c r="FN80" s="84" t="n">
        <f aca="false">FG80+FJ80+(1-$F80)*FM80</f>
        <v>6966.07256127439</v>
      </c>
      <c r="FO80" s="84" t="n">
        <f aca="false">FL80+$F80*FM80</f>
        <v>1741.5181403186</v>
      </c>
      <c r="FP80" s="84" t="n">
        <f aca="false">EZ80+FJ80+(1-$F80)*FM80</f>
        <v>11218.8700806138</v>
      </c>
      <c r="FQ80" s="84" t="n">
        <f aca="false">FA80+FO80</f>
        <v>2804.71752015346</v>
      </c>
      <c r="FR80" s="133" t="n">
        <f aca="false">FE80+$D80*Inputs!$K$13-$D80*$E80</f>
        <v>34560.3628063719</v>
      </c>
      <c r="FS80" s="84" t="n">
        <f aca="false">FR80*(1+$I80)</f>
        <v>44237.2643921561</v>
      </c>
      <c r="FT80" s="133" t="n">
        <f aca="false">FS80*Inputs!$K$14</f>
        <v>8847.45287843122</v>
      </c>
      <c r="FU80" s="84" t="n">
        <f aca="false">FS80-FT80</f>
        <v>35389.8115137249</v>
      </c>
      <c r="FV80" s="133" t="n">
        <f aca="false">FH80+$D80*Inputs!$K$13</f>
        <v>0</v>
      </c>
      <c r="FW80" s="84" t="n">
        <f aca="false">MIN(FT80,FV80)</f>
        <v>0</v>
      </c>
      <c r="FX80" s="84" t="n">
        <f aca="false">FV80-FW80</f>
        <v>0</v>
      </c>
      <c r="FY80" s="84" t="n">
        <f aca="false">FK80+$G80*(FV80+FK80)</f>
        <v>0</v>
      </c>
      <c r="FZ80" s="84" t="n">
        <f aca="false">MIN(FT80-FW80,FY80)</f>
        <v>0</v>
      </c>
      <c r="GA80" s="84" t="n">
        <f aca="false">FY80-FZ80</f>
        <v>0</v>
      </c>
      <c r="GB80" s="84" t="n">
        <f aca="false">IF($H80=1,MIN(FT80-FW80-FZ80,MAX(0,$F80/(1-$F80)*(FP80+FZ80)-FQ80)),0)</f>
        <v>0</v>
      </c>
      <c r="GC80" s="84" t="n">
        <f aca="false">FT80-FW80-FZ80-GB80</f>
        <v>8847.45287843122</v>
      </c>
      <c r="GD80" s="84" t="n">
        <f aca="false">FW80+FZ80+(1-$F80)*GC80</f>
        <v>7077.96230274497</v>
      </c>
      <c r="GE80" s="84" t="n">
        <f aca="false">GB80+$F80*GC80</f>
        <v>1769.49057568624</v>
      </c>
      <c r="GF80" s="84" t="n">
        <f aca="false">FP80+FZ80+(1-$F80)*GC80</f>
        <v>18296.8323833588</v>
      </c>
      <c r="GG80" s="84" t="n">
        <f aca="false">FQ80+GE80</f>
        <v>4574.2080958397</v>
      </c>
      <c r="GH80" s="133" t="n">
        <f aca="false">FU80+$D80*Inputs!$L$13-$D80*$E80</f>
        <v>35119.8115137249</v>
      </c>
      <c r="GI80" s="84" t="n">
        <f aca="false">GH80*(1+$I80)</f>
        <v>44953.3587375678</v>
      </c>
      <c r="GJ80" s="133" t="n">
        <f aca="false">GI80*Inputs!$L$14</f>
        <v>44953.3587375678</v>
      </c>
      <c r="GK80" s="84" t="n">
        <f aca="false">GI80-GJ80</f>
        <v>0</v>
      </c>
      <c r="GL80" s="133" t="n">
        <f aca="false">FX80+$D80*Inputs!$L$13</f>
        <v>0</v>
      </c>
      <c r="GM80" s="84" t="n">
        <f aca="false">MIN(GJ80,GL80)</f>
        <v>0</v>
      </c>
      <c r="GN80" s="84" t="n">
        <f aca="false">GL80-GM80</f>
        <v>0</v>
      </c>
      <c r="GO80" s="84" t="n">
        <f aca="false">GA80+$G80*(GL80+GA80)</f>
        <v>0</v>
      </c>
      <c r="GP80" s="84" t="n">
        <f aca="false">MIN(GJ80-GM80,GO80)</f>
        <v>0</v>
      </c>
      <c r="GQ80" s="84" t="n">
        <f aca="false">GO80-GP80</f>
        <v>0</v>
      </c>
      <c r="GR80" s="84" t="n">
        <f aca="false">IF($H80=1,MIN(GJ80-GM80-GP80,MAX(0,$F80/(1-$F80)*(GF80+GP80)-GG80)),0)</f>
        <v>0</v>
      </c>
      <c r="GS80" s="84" t="n">
        <f aca="false">GJ80-GM80-GP80-GR80</f>
        <v>44953.3587375678</v>
      </c>
      <c r="GT80" s="84" t="n">
        <f aca="false">GM80+GP80+(1-$F80)*GS80</f>
        <v>35962.6869900543</v>
      </c>
      <c r="GU80" s="84" t="n">
        <f aca="false">GR80+$F80*GS80</f>
        <v>8990.67174751357</v>
      </c>
      <c r="GV80" s="84" t="n">
        <f aca="false">GF80+GP80+(1-$F80)*GS80</f>
        <v>54259.5193734131</v>
      </c>
      <c r="GW80" s="84" t="n">
        <f aca="false">GG80+GU80</f>
        <v>13564.8798433533</v>
      </c>
    </row>
    <row r="81" customFormat="false" ht="15" hidden="false" customHeight="false" outlineLevel="0" collapsed="false">
      <c r="A81" s="5" t="s">
        <v>637</v>
      </c>
      <c r="B81" s="5" t="s">
        <v>638</v>
      </c>
      <c r="C81" s="135" t="n">
        <v>29</v>
      </c>
      <c r="D81" s="47" t="n">
        <f aca="false">Inputs!$C$6</f>
        <v>20000</v>
      </c>
      <c r="E81" s="35" t="n">
        <f aca="false">Inputs!$C$19</f>
        <v>0.0135</v>
      </c>
      <c r="F81" s="36" t="n">
        <f aca="false">Inputs!$C$20</f>
        <v>0.2</v>
      </c>
      <c r="G81" s="30" t="n">
        <v>0</v>
      </c>
      <c r="H81" s="27" t="n">
        <v>0</v>
      </c>
      <c r="I81" s="132" t="n">
        <f aca="false">Inputs!$C$38+$C81*Inputs!$C$39</f>
        <v>0.29</v>
      </c>
      <c r="J81" s="36" t="n">
        <f aca="false">Inputs!$C$9</f>
        <v>0.15</v>
      </c>
      <c r="K81" s="89" t="n">
        <f aca="false">IRR(W81:AG81,0.1)</f>
        <v>0.24420177794539</v>
      </c>
      <c r="L81" s="45" t="n">
        <f aca="false">W81+NPV($J81,X81:AG81)</f>
        <v>9543.50965251089</v>
      </c>
      <c r="M81" s="45" t="n">
        <f aca="false">SUM(BF81,BV81,CL81,DB81,DR81,EH81,EX81,FN81,GD81,GT81)</f>
        <v>78307.4056940926</v>
      </c>
      <c r="N81" s="43" t="n">
        <f aca="false">IF($D81*SUM(Inputs!$C$13:$L$13)=0,0,M81/($D81*SUM(Inputs!$C$13:$L$13)))</f>
        <v>3.91537028470463</v>
      </c>
      <c r="O81" s="42" t="n">
        <f aca="false">$D81*$E81*COLUMNS(Inputs!$C$13:$L$13)</f>
        <v>2700</v>
      </c>
      <c r="P81" s="45" t="n">
        <f aca="false">SUM(BG81,BW81,CM81,DC81,DS81,EI81,EY81,FO81,GE81,GU81)</f>
        <v>14576.8514235231</v>
      </c>
      <c r="Q81" s="42" t="n">
        <f aca="false">PV($J81,COLUMNS(Inputs!$C$13:$L$13),-$D81*$E81,0,1)</f>
        <v>1558.32765832774</v>
      </c>
      <c r="R81" s="45" t="n">
        <f aca="false">NPV($J81,BG81,BW81,CM81,DC81,DS81,EI81,EY81,FO81,GE81,GU81)</f>
        <v>3979.2400769691</v>
      </c>
      <c r="S81" s="45" t="n">
        <f aca="false">Q81+R81</f>
        <v>5537.56773529684</v>
      </c>
      <c r="T81" s="32" t="n">
        <f aca="false">IF(S81=0,0,Q81/S81)</f>
        <v>0.28141013037093</v>
      </c>
      <c r="U81" s="45" t="n">
        <f aca="false">ROUND(ABS(GK81)+ABS(SUM(AV81,BL81,CB81,CR81,DH81,DX81,EN81,FD81,FT81,GJ81)-M81-P81)+ABS(S81-(AH81+NPV($J81,AI81:AR81))),6)</f>
        <v>0</v>
      </c>
      <c r="W81" s="133" t="n">
        <f aca="false">-$D81*Inputs!$C$13</f>
        <v>-4000</v>
      </c>
      <c r="X81" s="133" t="n">
        <f aca="false">BF81-$D81*Inputs!$D$13</f>
        <v>-4000</v>
      </c>
      <c r="Y81" s="133" t="n">
        <f aca="false">BV81-$D81*Inputs!$E$13</f>
        <v>-4000</v>
      </c>
      <c r="Z81" s="133" t="n">
        <f aca="false">CL81-$D81*Inputs!$F$13</f>
        <v>-4000</v>
      </c>
      <c r="AA81" s="133" t="n">
        <f aca="false">DB81-$D81*Inputs!$G$13</f>
        <v>-4000</v>
      </c>
      <c r="AB81" s="133" t="n">
        <f aca="false">DR81-$D81*Inputs!$H$13</f>
        <v>8535.9729392754</v>
      </c>
      <c r="AC81" s="133" t="n">
        <f aca="false">EH81-$D81*Inputs!$I$13</f>
        <v>8739.46407333221</v>
      </c>
      <c r="AD81" s="133" t="n">
        <f aca="false">EX81-$D81*Inputs!$J$13</f>
        <v>7704.48613642155</v>
      </c>
      <c r="AE81" s="133" t="n">
        <f aca="false">FN81-$D81*Inputs!$K$13</f>
        <v>7332.95189218926</v>
      </c>
      <c r="AF81" s="133" t="n">
        <f aca="false">GD81-$D81*Inputs!$L$13</f>
        <v>7511.87835273931</v>
      </c>
      <c r="AG81" s="84" t="n">
        <f aca="false">GT81</f>
        <v>38482.6523001348</v>
      </c>
      <c r="AH81" s="84" t="n">
        <f aca="false">$D81*$E81</f>
        <v>270</v>
      </c>
      <c r="AI81" s="84" t="n">
        <f aca="false">BG81+$D81*$E81</f>
        <v>270</v>
      </c>
      <c r="AJ81" s="84" t="n">
        <f aca="false">BW81+$D81*$E81</f>
        <v>270</v>
      </c>
      <c r="AK81" s="84" t="n">
        <f aca="false">CM81+$D81*$E81</f>
        <v>270</v>
      </c>
      <c r="AL81" s="84" t="n">
        <f aca="false">DC81+$D81*$E81</f>
        <v>270</v>
      </c>
      <c r="AM81" s="84" t="n">
        <f aca="false">DS81+$D81*$E81</f>
        <v>270</v>
      </c>
      <c r="AN81" s="84" t="n">
        <f aca="false">EI81+$D81*$E81</f>
        <v>270</v>
      </c>
      <c r="AO81" s="84" t="n">
        <f aca="false">EY81+$D81*$E81</f>
        <v>1514.98078725729</v>
      </c>
      <c r="AP81" s="84" t="n">
        <f aca="false">FO81+$D81*$E81</f>
        <v>2103.23797304731</v>
      </c>
      <c r="AQ81" s="84" t="n">
        <f aca="false">GE81+$D81*$E81</f>
        <v>2147.96958818483</v>
      </c>
      <c r="AR81" s="84" t="n">
        <f aca="false">GU81</f>
        <v>9620.66307503371</v>
      </c>
      <c r="AT81" s="133" t="n">
        <f aca="false">$D81*Inputs!$C$13-$D81*$E81</f>
        <v>3730</v>
      </c>
      <c r="AU81" s="84" t="n">
        <f aca="false">AT81*(1+$I81)</f>
        <v>4811.7</v>
      </c>
      <c r="AV81" s="133" t="n">
        <f aca="false">AU81*Inputs!$C$14</f>
        <v>0</v>
      </c>
      <c r="AW81" s="84" t="n">
        <f aca="false">AU81-AV81</f>
        <v>4811.7</v>
      </c>
      <c r="AX81" s="133" t="n">
        <f aca="false">$D81*Inputs!$C$13</f>
        <v>4000</v>
      </c>
      <c r="AY81" s="84" t="n">
        <f aca="false">MIN(AV81,AX81)</f>
        <v>0</v>
      </c>
      <c r="AZ81" s="84" t="n">
        <f aca="false">AX81-AY81</f>
        <v>4000</v>
      </c>
      <c r="BA81" s="84" t="n">
        <f aca="false">$G81*AX81</f>
        <v>0</v>
      </c>
      <c r="BB81" s="84" t="n">
        <f aca="false">MIN(AV81-AY81,BA81)</f>
        <v>0</v>
      </c>
      <c r="BC81" s="84" t="n">
        <f aca="false">BA81-BB81</f>
        <v>0</v>
      </c>
      <c r="BD81" s="84" t="n">
        <f aca="false">IF($H81=1,MIN(AV81-AY81-BB81,MAX(0,$F81/(1-$F81)*BB81)),0)</f>
        <v>0</v>
      </c>
      <c r="BE81" s="84" t="n">
        <f aca="false">AV81-AY81-BB81-BD81</f>
        <v>0</v>
      </c>
      <c r="BF81" s="84" t="n">
        <f aca="false">AY81+BB81+(1-$F81)*BE81</f>
        <v>0</v>
      </c>
      <c r="BG81" s="84" t="n">
        <f aca="false">BD81+$F81*BE81</f>
        <v>0</v>
      </c>
      <c r="BH81" s="84" t="n">
        <f aca="false">BB81+(1-$F81)*BE81</f>
        <v>0</v>
      </c>
      <c r="BI81" s="84" t="n">
        <f aca="false">BG81</f>
        <v>0</v>
      </c>
      <c r="BJ81" s="133" t="n">
        <f aca="false">AW81+$D81*Inputs!$D$13-$D81*$E81</f>
        <v>8541.7</v>
      </c>
      <c r="BK81" s="84" t="n">
        <f aca="false">BJ81*(1+$I81)</f>
        <v>11018.793</v>
      </c>
      <c r="BL81" s="133" t="n">
        <f aca="false">BK81*Inputs!$D$14</f>
        <v>0</v>
      </c>
      <c r="BM81" s="84" t="n">
        <f aca="false">BK81-BL81</f>
        <v>11018.793</v>
      </c>
      <c r="BN81" s="133" t="n">
        <f aca="false">AZ81+$D81*Inputs!$D$13</f>
        <v>8000</v>
      </c>
      <c r="BO81" s="84" t="n">
        <f aca="false">MIN(BL81,BN81)</f>
        <v>0</v>
      </c>
      <c r="BP81" s="84" t="n">
        <f aca="false">BN81-BO81</f>
        <v>8000</v>
      </c>
      <c r="BQ81" s="84" t="n">
        <f aca="false">BC81+$G81*(BN81+BC81)</f>
        <v>0</v>
      </c>
      <c r="BR81" s="84" t="n">
        <f aca="false">MIN(BL81-BO81,BQ81)</f>
        <v>0</v>
      </c>
      <c r="BS81" s="84" t="n">
        <f aca="false">BQ81-BR81</f>
        <v>0</v>
      </c>
      <c r="BT81" s="84" t="n">
        <f aca="false">IF($H81=1,MIN(BL81-BO81-BR81,MAX(0,$F81/(1-$F81)*(BH81+BR81)-BI81)),0)</f>
        <v>0</v>
      </c>
      <c r="BU81" s="84" t="n">
        <f aca="false">BL81-BO81-BR81-BT81</f>
        <v>0</v>
      </c>
      <c r="BV81" s="84" t="n">
        <f aca="false">BO81+BR81+(1-$F81)*BU81</f>
        <v>0</v>
      </c>
      <c r="BW81" s="84" t="n">
        <f aca="false">BT81+$F81*BU81</f>
        <v>0</v>
      </c>
      <c r="BX81" s="84" t="n">
        <f aca="false">BH81+BR81+(1-$F81)*BU81</f>
        <v>0</v>
      </c>
      <c r="BY81" s="84" t="n">
        <f aca="false">BI81+BW81</f>
        <v>0</v>
      </c>
      <c r="BZ81" s="133" t="n">
        <f aca="false">BM81+$D81*Inputs!$E$13-$D81*$E81</f>
        <v>14748.793</v>
      </c>
      <c r="CA81" s="84" t="n">
        <f aca="false">BZ81*(1+$I81)</f>
        <v>19025.94297</v>
      </c>
      <c r="CB81" s="133" t="n">
        <f aca="false">CA81*Inputs!$E$14</f>
        <v>0</v>
      </c>
      <c r="CC81" s="84" t="n">
        <f aca="false">CA81-CB81</f>
        <v>19025.94297</v>
      </c>
      <c r="CD81" s="133" t="n">
        <f aca="false">BP81+$D81*Inputs!$E$13</f>
        <v>12000</v>
      </c>
      <c r="CE81" s="84" t="n">
        <f aca="false">MIN(CB81,CD81)</f>
        <v>0</v>
      </c>
      <c r="CF81" s="84" t="n">
        <f aca="false">CD81-CE81</f>
        <v>12000</v>
      </c>
      <c r="CG81" s="84" t="n">
        <f aca="false">BS81+$G81*(CD81+BS81)</f>
        <v>0</v>
      </c>
      <c r="CH81" s="84" t="n">
        <f aca="false">MIN(CB81-CE81,CG81)</f>
        <v>0</v>
      </c>
      <c r="CI81" s="84" t="n">
        <f aca="false">CG81-CH81</f>
        <v>0</v>
      </c>
      <c r="CJ81" s="84" t="n">
        <f aca="false">IF($H81=1,MIN(CB81-CE81-CH81,MAX(0,$F81/(1-$F81)*(BX81+CH81)-BY81)),0)</f>
        <v>0</v>
      </c>
      <c r="CK81" s="84" t="n">
        <f aca="false">CB81-CE81-CH81-CJ81</f>
        <v>0</v>
      </c>
      <c r="CL81" s="84" t="n">
        <f aca="false">CE81+CH81+(1-$F81)*CK81</f>
        <v>0</v>
      </c>
      <c r="CM81" s="84" t="n">
        <f aca="false">CJ81+$F81*CK81</f>
        <v>0</v>
      </c>
      <c r="CN81" s="84" t="n">
        <f aca="false">BX81+CH81+(1-$F81)*CK81</f>
        <v>0</v>
      </c>
      <c r="CO81" s="84" t="n">
        <f aca="false">BY81+CM81</f>
        <v>0</v>
      </c>
      <c r="CP81" s="133" t="n">
        <f aca="false">CC81+$D81*Inputs!$F$13-$D81*$E81</f>
        <v>22755.94297</v>
      </c>
      <c r="CQ81" s="84" t="n">
        <f aca="false">CP81*(1+$I81)</f>
        <v>29355.1664313</v>
      </c>
      <c r="CR81" s="133" t="n">
        <f aca="false">CQ81*Inputs!$F$14</f>
        <v>0</v>
      </c>
      <c r="CS81" s="84" t="n">
        <f aca="false">CQ81-CR81</f>
        <v>29355.1664313</v>
      </c>
      <c r="CT81" s="133" t="n">
        <f aca="false">CF81+$D81*Inputs!$F$13</f>
        <v>16000</v>
      </c>
      <c r="CU81" s="84" t="n">
        <f aca="false">MIN(CR81,CT81)</f>
        <v>0</v>
      </c>
      <c r="CV81" s="84" t="n">
        <f aca="false">CT81-CU81</f>
        <v>16000</v>
      </c>
      <c r="CW81" s="84" t="n">
        <f aca="false">CI81+$G81*(CT81+CI81)</f>
        <v>0</v>
      </c>
      <c r="CX81" s="84" t="n">
        <f aca="false">MIN(CR81-CU81,CW81)</f>
        <v>0</v>
      </c>
      <c r="CY81" s="84" t="n">
        <f aca="false">CW81-CX81</f>
        <v>0</v>
      </c>
      <c r="CZ81" s="84" t="n">
        <f aca="false">IF($H81=1,MIN(CR81-CU81-CX81,MAX(0,$F81/(1-$F81)*(CN81+CX81)-CO81)),0)</f>
        <v>0</v>
      </c>
      <c r="DA81" s="84" t="n">
        <f aca="false">CR81-CU81-CX81-CZ81</f>
        <v>0</v>
      </c>
      <c r="DB81" s="84" t="n">
        <f aca="false">CU81+CX81+(1-$F81)*DA81</f>
        <v>0</v>
      </c>
      <c r="DC81" s="84" t="n">
        <f aca="false">CZ81+$F81*DA81</f>
        <v>0</v>
      </c>
      <c r="DD81" s="84" t="n">
        <f aca="false">CN81+CX81+(1-$F81)*DA81</f>
        <v>0</v>
      </c>
      <c r="DE81" s="84" t="n">
        <f aca="false">CO81+DC81</f>
        <v>0</v>
      </c>
      <c r="DF81" s="133" t="n">
        <f aca="false">CS81+$D81*Inputs!$G$13-$D81*$E81</f>
        <v>33085.1664313</v>
      </c>
      <c r="DG81" s="84" t="n">
        <f aca="false">DF81*(1+$I81)</f>
        <v>42679.864696377</v>
      </c>
      <c r="DH81" s="133" t="n">
        <f aca="false">DG81*Inputs!$G$14</f>
        <v>8535.9729392754</v>
      </c>
      <c r="DI81" s="84" t="n">
        <f aca="false">DG81-DH81</f>
        <v>34143.8917571016</v>
      </c>
      <c r="DJ81" s="133" t="n">
        <f aca="false">CV81+$D81*Inputs!$G$13</f>
        <v>20000</v>
      </c>
      <c r="DK81" s="84" t="n">
        <f aca="false">MIN(DH81,DJ81)</f>
        <v>8535.9729392754</v>
      </c>
      <c r="DL81" s="84" t="n">
        <f aca="false">DJ81-DK81</f>
        <v>11464.0270607246</v>
      </c>
      <c r="DM81" s="84" t="n">
        <f aca="false">CY81+$G81*(DJ81+CY81)</f>
        <v>0</v>
      </c>
      <c r="DN81" s="84" t="n">
        <f aca="false">MIN(DH81-DK81,DM81)</f>
        <v>0</v>
      </c>
      <c r="DO81" s="84" t="n">
        <f aca="false">DM81-DN81</f>
        <v>0</v>
      </c>
      <c r="DP81" s="84" t="n">
        <f aca="false">IF($H81=1,MIN(DH81-DK81-DN81,MAX(0,$F81/(1-$F81)*(DD81+DN81)-DE81)),0)</f>
        <v>0</v>
      </c>
      <c r="DQ81" s="84" t="n">
        <f aca="false">DH81-DK81-DN81-DP81</f>
        <v>0</v>
      </c>
      <c r="DR81" s="84" t="n">
        <f aca="false">DK81+DN81+(1-$F81)*DQ81</f>
        <v>8535.9729392754</v>
      </c>
      <c r="DS81" s="84" t="n">
        <f aca="false">DP81+$F81*DQ81</f>
        <v>0</v>
      </c>
      <c r="DT81" s="84" t="n">
        <f aca="false">DD81+DN81+(1-$F81)*DQ81</f>
        <v>0</v>
      </c>
      <c r="DU81" s="84" t="n">
        <f aca="false">DE81+DS81</f>
        <v>0</v>
      </c>
      <c r="DV81" s="133" t="n">
        <f aca="false">DI81+$D81*Inputs!$H$13-$D81*$E81</f>
        <v>33873.8917571016</v>
      </c>
      <c r="DW81" s="84" t="n">
        <f aca="false">DV81*(1+$I81)</f>
        <v>43697.3203666611</v>
      </c>
      <c r="DX81" s="133" t="n">
        <f aca="false">DW81*Inputs!$H$14</f>
        <v>8739.46407333221</v>
      </c>
      <c r="DY81" s="84" t="n">
        <f aca="false">DW81-DX81</f>
        <v>34957.8562933289</v>
      </c>
      <c r="DZ81" s="133" t="n">
        <f aca="false">DL81+$D81*Inputs!$H$13</f>
        <v>11464.0270607246</v>
      </c>
      <c r="EA81" s="84" t="n">
        <f aca="false">MIN(DX81,DZ81)</f>
        <v>8739.46407333221</v>
      </c>
      <c r="EB81" s="84" t="n">
        <f aca="false">DZ81-EA81</f>
        <v>2724.56298739238</v>
      </c>
      <c r="EC81" s="84" t="n">
        <f aca="false">DO81+$G81*(DZ81+DO81)</f>
        <v>0</v>
      </c>
      <c r="ED81" s="84" t="n">
        <f aca="false">MIN(DX81-EA81,EC81)</f>
        <v>0</v>
      </c>
      <c r="EE81" s="84" t="n">
        <f aca="false">EC81-ED81</f>
        <v>0</v>
      </c>
      <c r="EF81" s="84" t="n">
        <f aca="false">IF($H81=1,MIN(DX81-EA81-ED81,MAX(0,$F81/(1-$F81)*(DT81+ED81)-DU81)),0)</f>
        <v>0</v>
      </c>
      <c r="EG81" s="84" t="n">
        <f aca="false">DX81-EA81-ED81-EF81</f>
        <v>0</v>
      </c>
      <c r="EH81" s="84" t="n">
        <f aca="false">EA81+ED81+(1-$F81)*EG81</f>
        <v>8739.46407333221</v>
      </c>
      <c r="EI81" s="84" t="n">
        <f aca="false">EF81+$F81*EG81</f>
        <v>0</v>
      </c>
      <c r="EJ81" s="84" t="n">
        <f aca="false">DT81+ED81+(1-$F81)*EG81</f>
        <v>0</v>
      </c>
      <c r="EK81" s="84" t="n">
        <f aca="false">DU81+EI81</f>
        <v>0</v>
      </c>
      <c r="EL81" s="133" t="n">
        <f aca="false">DY81+$D81*Inputs!$I$13-$D81*$E81</f>
        <v>34687.8562933289</v>
      </c>
      <c r="EM81" s="84" t="n">
        <f aca="false">EL81*(1+$I81)</f>
        <v>44747.3346183942</v>
      </c>
      <c r="EN81" s="133" t="n">
        <f aca="false">EM81*Inputs!$I$14</f>
        <v>8949.46692367885</v>
      </c>
      <c r="EO81" s="84" t="n">
        <f aca="false">EM81-EN81</f>
        <v>35797.8676947154</v>
      </c>
      <c r="EP81" s="133" t="n">
        <f aca="false">EB81+$D81*Inputs!$I$13</f>
        <v>2724.56298739238</v>
      </c>
      <c r="EQ81" s="84" t="n">
        <f aca="false">MIN(EN81,EP81)</f>
        <v>2724.56298739238</v>
      </c>
      <c r="ER81" s="84" t="n">
        <f aca="false">EP81-EQ81</f>
        <v>0</v>
      </c>
      <c r="ES81" s="84" t="n">
        <f aca="false">EE81+$G81*(EP81+EE81)</f>
        <v>0</v>
      </c>
      <c r="ET81" s="84" t="n">
        <f aca="false">MIN(EN81-EQ81,ES81)</f>
        <v>0</v>
      </c>
      <c r="EU81" s="84" t="n">
        <f aca="false">ES81-ET81</f>
        <v>0</v>
      </c>
      <c r="EV81" s="84" t="n">
        <f aca="false">IF($H81=1,MIN(EN81-EQ81-ET81,MAX(0,$F81/(1-$F81)*(EJ81+ET81)-EK81)),0)</f>
        <v>0</v>
      </c>
      <c r="EW81" s="84" t="n">
        <f aca="false">EN81-EQ81-ET81-EV81</f>
        <v>6224.90393628646</v>
      </c>
      <c r="EX81" s="84" t="n">
        <f aca="false">EQ81+ET81+(1-$F81)*EW81</f>
        <v>7704.48613642155</v>
      </c>
      <c r="EY81" s="84" t="n">
        <f aca="false">EV81+$F81*EW81</f>
        <v>1244.98078725729</v>
      </c>
      <c r="EZ81" s="84" t="n">
        <f aca="false">EJ81+ET81+(1-$F81)*EW81</f>
        <v>4979.92314902917</v>
      </c>
      <c r="FA81" s="84" t="n">
        <f aca="false">EK81+EY81</f>
        <v>1244.98078725729</v>
      </c>
      <c r="FB81" s="133" t="n">
        <f aca="false">EO81+$D81*Inputs!$J$13-$D81*$E81</f>
        <v>35527.8676947154</v>
      </c>
      <c r="FC81" s="84" t="n">
        <f aca="false">FB81*(1+$I81)</f>
        <v>45830.9493261828</v>
      </c>
      <c r="FD81" s="133" t="n">
        <f aca="false">FC81*Inputs!$J$14</f>
        <v>9166.18986523657</v>
      </c>
      <c r="FE81" s="84" t="n">
        <f aca="false">FC81-FD81</f>
        <v>36664.7594609463</v>
      </c>
      <c r="FF81" s="133" t="n">
        <f aca="false">ER81+$D81*Inputs!$J$13</f>
        <v>0</v>
      </c>
      <c r="FG81" s="84" t="n">
        <f aca="false">MIN(FD81,FF81)</f>
        <v>0</v>
      </c>
      <c r="FH81" s="84" t="n">
        <f aca="false">FF81-FG81</f>
        <v>0</v>
      </c>
      <c r="FI81" s="84" t="n">
        <f aca="false">EU81+$G81*(FF81+EU81)</f>
        <v>0</v>
      </c>
      <c r="FJ81" s="84" t="n">
        <f aca="false">MIN(FD81-FG81,FI81)</f>
        <v>0</v>
      </c>
      <c r="FK81" s="84" t="n">
        <f aca="false">FI81-FJ81</f>
        <v>0</v>
      </c>
      <c r="FL81" s="84" t="n">
        <f aca="false">IF($H81=1,MIN(FD81-FG81-FJ81,MAX(0,$F81/(1-$F81)*(EZ81+FJ81)-FA81)),0)</f>
        <v>0</v>
      </c>
      <c r="FM81" s="84" t="n">
        <f aca="false">FD81-FG81-FJ81-FL81</f>
        <v>9166.18986523657</v>
      </c>
      <c r="FN81" s="84" t="n">
        <f aca="false">FG81+FJ81+(1-$F81)*FM81</f>
        <v>7332.95189218926</v>
      </c>
      <c r="FO81" s="84" t="n">
        <f aca="false">FL81+$F81*FM81</f>
        <v>1833.23797304731</v>
      </c>
      <c r="FP81" s="84" t="n">
        <f aca="false">EZ81+FJ81+(1-$F81)*FM81</f>
        <v>12312.8750412184</v>
      </c>
      <c r="FQ81" s="84" t="n">
        <f aca="false">FA81+FO81</f>
        <v>3078.21876030461</v>
      </c>
      <c r="FR81" s="133" t="n">
        <f aca="false">FE81+$D81*Inputs!$K$13-$D81*$E81</f>
        <v>36394.7594609463</v>
      </c>
      <c r="FS81" s="84" t="n">
        <f aca="false">FR81*(1+$I81)</f>
        <v>46949.2397046207</v>
      </c>
      <c r="FT81" s="133" t="n">
        <f aca="false">FS81*Inputs!$K$14</f>
        <v>9389.84794092414</v>
      </c>
      <c r="FU81" s="84" t="n">
        <f aca="false">FS81-FT81</f>
        <v>37559.3917636966</v>
      </c>
      <c r="FV81" s="133" t="n">
        <f aca="false">FH81+$D81*Inputs!$K$13</f>
        <v>0</v>
      </c>
      <c r="FW81" s="84" t="n">
        <f aca="false">MIN(FT81,FV81)</f>
        <v>0</v>
      </c>
      <c r="FX81" s="84" t="n">
        <f aca="false">FV81-FW81</f>
        <v>0</v>
      </c>
      <c r="FY81" s="84" t="n">
        <f aca="false">FK81+$G81*(FV81+FK81)</f>
        <v>0</v>
      </c>
      <c r="FZ81" s="84" t="n">
        <f aca="false">MIN(FT81-FW81,FY81)</f>
        <v>0</v>
      </c>
      <c r="GA81" s="84" t="n">
        <f aca="false">FY81-FZ81</f>
        <v>0</v>
      </c>
      <c r="GB81" s="84" t="n">
        <f aca="false">IF($H81=1,MIN(FT81-FW81-FZ81,MAX(0,$F81/(1-$F81)*(FP81+FZ81)-FQ81)),0)</f>
        <v>0</v>
      </c>
      <c r="GC81" s="84" t="n">
        <f aca="false">FT81-FW81-FZ81-GB81</f>
        <v>9389.84794092414</v>
      </c>
      <c r="GD81" s="84" t="n">
        <f aca="false">FW81+FZ81+(1-$F81)*GC81</f>
        <v>7511.87835273931</v>
      </c>
      <c r="GE81" s="84" t="n">
        <f aca="false">GB81+$F81*GC81</f>
        <v>1877.96958818483</v>
      </c>
      <c r="GF81" s="84" t="n">
        <f aca="false">FP81+FZ81+(1-$F81)*GC81</f>
        <v>19824.7533939577</v>
      </c>
      <c r="GG81" s="84" t="n">
        <f aca="false">FQ81+GE81</f>
        <v>4956.18834848943</v>
      </c>
      <c r="GH81" s="133" t="n">
        <f aca="false">FU81+$D81*Inputs!$L$13-$D81*$E81</f>
        <v>37289.3917636966</v>
      </c>
      <c r="GI81" s="84" t="n">
        <f aca="false">GH81*(1+$I81)</f>
        <v>48103.3153751685</v>
      </c>
      <c r="GJ81" s="133" t="n">
        <f aca="false">GI81*Inputs!$L$14</f>
        <v>48103.3153751685</v>
      </c>
      <c r="GK81" s="84" t="n">
        <f aca="false">GI81-GJ81</f>
        <v>0</v>
      </c>
      <c r="GL81" s="133" t="n">
        <f aca="false">FX81+$D81*Inputs!$L$13</f>
        <v>0</v>
      </c>
      <c r="GM81" s="84" t="n">
        <f aca="false">MIN(GJ81,GL81)</f>
        <v>0</v>
      </c>
      <c r="GN81" s="84" t="n">
        <f aca="false">GL81-GM81</f>
        <v>0</v>
      </c>
      <c r="GO81" s="84" t="n">
        <f aca="false">GA81+$G81*(GL81+GA81)</f>
        <v>0</v>
      </c>
      <c r="GP81" s="84" t="n">
        <f aca="false">MIN(GJ81-GM81,GO81)</f>
        <v>0</v>
      </c>
      <c r="GQ81" s="84" t="n">
        <f aca="false">GO81-GP81</f>
        <v>0</v>
      </c>
      <c r="GR81" s="84" t="n">
        <f aca="false">IF($H81=1,MIN(GJ81-GM81-GP81,MAX(0,$F81/(1-$F81)*(GF81+GP81)-GG81)),0)</f>
        <v>0</v>
      </c>
      <c r="GS81" s="84" t="n">
        <f aca="false">GJ81-GM81-GP81-GR81</f>
        <v>48103.3153751685</v>
      </c>
      <c r="GT81" s="84" t="n">
        <f aca="false">GM81+GP81+(1-$F81)*GS81</f>
        <v>38482.6523001348</v>
      </c>
      <c r="GU81" s="84" t="n">
        <f aca="false">GR81+$F81*GS81</f>
        <v>9620.66307503371</v>
      </c>
      <c r="GV81" s="84" t="n">
        <f aca="false">GF81+GP81+(1-$F81)*GS81</f>
        <v>58307.4056940926</v>
      </c>
      <c r="GW81" s="84" t="n">
        <f aca="false">GG81+GU81</f>
        <v>14576.8514235231</v>
      </c>
    </row>
    <row r="82" customFormat="false" ht="15" hidden="false" customHeight="false" outlineLevel="0" collapsed="false">
      <c r="A82" s="5" t="s">
        <v>637</v>
      </c>
      <c r="B82" s="5" t="s">
        <v>638</v>
      </c>
      <c r="C82" s="135" t="n">
        <v>30</v>
      </c>
      <c r="D82" s="47" t="n">
        <f aca="false">Inputs!$C$6</f>
        <v>20000</v>
      </c>
      <c r="E82" s="35" t="n">
        <f aca="false">Inputs!$C$19</f>
        <v>0.0135</v>
      </c>
      <c r="F82" s="36" t="n">
        <f aca="false">Inputs!$C$20</f>
        <v>0.2</v>
      </c>
      <c r="G82" s="30" t="n">
        <v>0</v>
      </c>
      <c r="H82" s="27" t="n">
        <v>0</v>
      </c>
      <c r="I82" s="132" t="n">
        <f aca="false">Inputs!$C$38+$C82*Inputs!$C$39</f>
        <v>0.3</v>
      </c>
      <c r="J82" s="36" t="n">
        <f aca="false">Inputs!$C$9</f>
        <v>0.15</v>
      </c>
      <c r="K82" s="89" t="n">
        <f aca="false">IRR(W82:AG82,0.1)</f>
        <v>0.253691211589088</v>
      </c>
      <c r="L82" s="45" t="n">
        <f aca="false">W82+NPV($J82,X82:AG82)</f>
        <v>10788.6567408185</v>
      </c>
      <c r="M82" s="45" t="n">
        <f aca="false">SUM(BF82,BV82,CL82,DB82,DR82,EH82,EX82,FN82,GD82,GT82)</f>
        <v>82575.6677445992</v>
      </c>
      <c r="N82" s="43" t="n">
        <f aca="false">IF($D82*SUM(Inputs!$C$13:$L$13)=0,0,M82/($D82*SUM(Inputs!$C$13:$L$13)))</f>
        <v>4.12878338722996</v>
      </c>
      <c r="O82" s="42" t="n">
        <f aca="false">$D82*$E82*COLUMNS(Inputs!$C$13:$L$13)</f>
        <v>2700</v>
      </c>
      <c r="P82" s="45" t="n">
        <f aca="false">SUM(BG82,BW82,CM82,DC82,DS82,EI82,EY82,FO82,GE82,GU82)</f>
        <v>15643.9169361498</v>
      </c>
      <c r="Q82" s="42" t="n">
        <f aca="false">PV($J82,COLUMNS(Inputs!$C$13:$L$13),-$D82*$E82,0,1)</f>
        <v>1558.32765832774</v>
      </c>
      <c r="R82" s="45" t="n">
        <f aca="false">NPV($J82,BG82,BW82,CM82,DC82,DS82,EI82,EY82,FO82,GE82,GU82)</f>
        <v>4279.04729753865</v>
      </c>
      <c r="S82" s="45" t="n">
        <f aca="false">Q82+R82</f>
        <v>5837.37495586638</v>
      </c>
      <c r="T82" s="32" t="n">
        <f aca="false">IF(S82=0,0,Q82/S82)</f>
        <v>0.266956923293349</v>
      </c>
      <c r="U82" s="45" t="n">
        <f aca="false">ROUND(ABS(GK82)+ABS(SUM(AV82,BL82,CB82,CR82,DH82,DX82,EN82,FD82,FT82,GJ82)-M82-P82)+ABS(S82-(AH82+NPV($J82,AI82:AR82))),6)</f>
        <v>0</v>
      </c>
      <c r="W82" s="133" t="n">
        <f aca="false">-$D82*Inputs!$C$13</f>
        <v>-4000</v>
      </c>
      <c r="X82" s="133" t="n">
        <f aca="false">BF82-$D82*Inputs!$D$13</f>
        <v>-4000</v>
      </c>
      <c r="Y82" s="133" t="n">
        <f aca="false">BV82-$D82*Inputs!$E$13</f>
        <v>-4000</v>
      </c>
      <c r="Z82" s="133" t="n">
        <f aca="false">CL82-$D82*Inputs!$F$13</f>
        <v>-4000</v>
      </c>
      <c r="AA82" s="133" t="n">
        <f aca="false">DB82-$D82*Inputs!$G$13</f>
        <v>-4000</v>
      </c>
      <c r="AB82" s="133" t="n">
        <f aca="false">DR82-$D82*Inputs!$H$13</f>
        <v>8769.99838</v>
      </c>
      <c r="AC82" s="133" t="n">
        <f aca="false">EH82-$D82*Inputs!$I$13</f>
        <v>9050.5983152</v>
      </c>
      <c r="AD82" s="133" t="n">
        <f aca="false">EX82-$D82*Inputs!$J$13</f>
        <v>7909.8184592064</v>
      </c>
      <c r="AE82" s="133" t="n">
        <f aca="false">FN82-$D82*Inputs!$K$13</f>
        <v>7716.73531017626</v>
      </c>
      <c r="AF82" s="133" t="n">
        <f aca="false">GD82-$D82*Inputs!$L$13</f>
        <v>7969.24472258331</v>
      </c>
      <c r="AG82" s="84" t="n">
        <f aca="false">GT82</f>
        <v>41159.2725574332</v>
      </c>
      <c r="AH82" s="84" t="n">
        <f aca="false">$D82*$E82</f>
        <v>270</v>
      </c>
      <c r="AI82" s="84" t="n">
        <f aca="false">BG82+$D82*$E82</f>
        <v>270</v>
      </c>
      <c r="AJ82" s="84" t="n">
        <f aca="false">BW82+$D82*$E82</f>
        <v>270</v>
      </c>
      <c r="AK82" s="84" t="n">
        <f aca="false">CM82+$D82*$E82</f>
        <v>270</v>
      </c>
      <c r="AL82" s="84" t="n">
        <f aca="false">DC82+$D82*$E82</f>
        <v>270</v>
      </c>
      <c r="AM82" s="84" t="n">
        <f aca="false">DS82+$D82*$E82</f>
        <v>270</v>
      </c>
      <c r="AN82" s="84" t="n">
        <f aca="false">EI82+$D82*$E82</f>
        <v>270</v>
      </c>
      <c r="AO82" s="84" t="n">
        <f aca="false">EY82+$D82*$E82</f>
        <v>1702.6037886016</v>
      </c>
      <c r="AP82" s="84" t="n">
        <f aca="false">FO82+$D82*$E82</f>
        <v>2199.18382754406</v>
      </c>
      <c r="AQ82" s="84" t="n">
        <f aca="false">GE82+$D82*$E82</f>
        <v>2262.31118064583</v>
      </c>
      <c r="AR82" s="84" t="n">
        <f aca="false">GU82</f>
        <v>10289.8181393583</v>
      </c>
      <c r="AT82" s="133" t="n">
        <f aca="false">$D82*Inputs!$C$13-$D82*$E82</f>
        <v>3730</v>
      </c>
      <c r="AU82" s="84" t="n">
        <f aca="false">AT82*(1+$I82)</f>
        <v>4849</v>
      </c>
      <c r="AV82" s="133" t="n">
        <f aca="false">AU82*Inputs!$C$14</f>
        <v>0</v>
      </c>
      <c r="AW82" s="84" t="n">
        <f aca="false">AU82-AV82</f>
        <v>4849</v>
      </c>
      <c r="AX82" s="133" t="n">
        <f aca="false">$D82*Inputs!$C$13</f>
        <v>4000</v>
      </c>
      <c r="AY82" s="84" t="n">
        <f aca="false">MIN(AV82,AX82)</f>
        <v>0</v>
      </c>
      <c r="AZ82" s="84" t="n">
        <f aca="false">AX82-AY82</f>
        <v>4000</v>
      </c>
      <c r="BA82" s="84" t="n">
        <f aca="false">$G82*AX82</f>
        <v>0</v>
      </c>
      <c r="BB82" s="84" t="n">
        <f aca="false">MIN(AV82-AY82,BA82)</f>
        <v>0</v>
      </c>
      <c r="BC82" s="84" t="n">
        <f aca="false">BA82-BB82</f>
        <v>0</v>
      </c>
      <c r="BD82" s="84" t="n">
        <f aca="false">IF($H82=1,MIN(AV82-AY82-BB82,MAX(0,$F82/(1-$F82)*BB82)),0)</f>
        <v>0</v>
      </c>
      <c r="BE82" s="84" t="n">
        <f aca="false">AV82-AY82-BB82-BD82</f>
        <v>0</v>
      </c>
      <c r="BF82" s="84" t="n">
        <f aca="false">AY82+BB82+(1-$F82)*BE82</f>
        <v>0</v>
      </c>
      <c r="BG82" s="84" t="n">
        <f aca="false">BD82+$F82*BE82</f>
        <v>0</v>
      </c>
      <c r="BH82" s="84" t="n">
        <f aca="false">BB82+(1-$F82)*BE82</f>
        <v>0</v>
      </c>
      <c r="BI82" s="84" t="n">
        <f aca="false">BG82</f>
        <v>0</v>
      </c>
      <c r="BJ82" s="133" t="n">
        <f aca="false">AW82+$D82*Inputs!$D$13-$D82*$E82</f>
        <v>8579</v>
      </c>
      <c r="BK82" s="84" t="n">
        <f aca="false">BJ82*(1+$I82)</f>
        <v>11152.7</v>
      </c>
      <c r="BL82" s="133" t="n">
        <f aca="false">BK82*Inputs!$D$14</f>
        <v>0</v>
      </c>
      <c r="BM82" s="84" t="n">
        <f aca="false">BK82-BL82</f>
        <v>11152.7</v>
      </c>
      <c r="BN82" s="133" t="n">
        <f aca="false">AZ82+$D82*Inputs!$D$13</f>
        <v>8000</v>
      </c>
      <c r="BO82" s="84" t="n">
        <f aca="false">MIN(BL82,BN82)</f>
        <v>0</v>
      </c>
      <c r="BP82" s="84" t="n">
        <f aca="false">BN82-BO82</f>
        <v>8000</v>
      </c>
      <c r="BQ82" s="84" t="n">
        <f aca="false">BC82+$G82*(BN82+BC82)</f>
        <v>0</v>
      </c>
      <c r="BR82" s="84" t="n">
        <f aca="false">MIN(BL82-BO82,BQ82)</f>
        <v>0</v>
      </c>
      <c r="BS82" s="84" t="n">
        <f aca="false">BQ82-BR82</f>
        <v>0</v>
      </c>
      <c r="BT82" s="84" t="n">
        <f aca="false">IF($H82=1,MIN(BL82-BO82-BR82,MAX(0,$F82/(1-$F82)*(BH82+BR82)-BI82)),0)</f>
        <v>0</v>
      </c>
      <c r="BU82" s="84" t="n">
        <f aca="false">BL82-BO82-BR82-BT82</f>
        <v>0</v>
      </c>
      <c r="BV82" s="84" t="n">
        <f aca="false">BO82+BR82+(1-$F82)*BU82</f>
        <v>0</v>
      </c>
      <c r="BW82" s="84" t="n">
        <f aca="false">BT82+$F82*BU82</f>
        <v>0</v>
      </c>
      <c r="BX82" s="84" t="n">
        <f aca="false">BH82+BR82+(1-$F82)*BU82</f>
        <v>0</v>
      </c>
      <c r="BY82" s="84" t="n">
        <f aca="false">BI82+BW82</f>
        <v>0</v>
      </c>
      <c r="BZ82" s="133" t="n">
        <f aca="false">BM82+$D82*Inputs!$E$13-$D82*$E82</f>
        <v>14882.7</v>
      </c>
      <c r="CA82" s="84" t="n">
        <f aca="false">BZ82*(1+$I82)</f>
        <v>19347.51</v>
      </c>
      <c r="CB82" s="133" t="n">
        <f aca="false">CA82*Inputs!$E$14</f>
        <v>0</v>
      </c>
      <c r="CC82" s="84" t="n">
        <f aca="false">CA82-CB82</f>
        <v>19347.51</v>
      </c>
      <c r="CD82" s="133" t="n">
        <f aca="false">BP82+$D82*Inputs!$E$13</f>
        <v>12000</v>
      </c>
      <c r="CE82" s="84" t="n">
        <f aca="false">MIN(CB82,CD82)</f>
        <v>0</v>
      </c>
      <c r="CF82" s="84" t="n">
        <f aca="false">CD82-CE82</f>
        <v>12000</v>
      </c>
      <c r="CG82" s="84" t="n">
        <f aca="false">BS82+$G82*(CD82+BS82)</f>
        <v>0</v>
      </c>
      <c r="CH82" s="84" t="n">
        <f aca="false">MIN(CB82-CE82,CG82)</f>
        <v>0</v>
      </c>
      <c r="CI82" s="84" t="n">
        <f aca="false">CG82-CH82</f>
        <v>0</v>
      </c>
      <c r="CJ82" s="84" t="n">
        <f aca="false">IF($H82=1,MIN(CB82-CE82-CH82,MAX(0,$F82/(1-$F82)*(BX82+CH82)-BY82)),0)</f>
        <v>0</v>
      </c>
      <c r="CK82" s="84" t="n">
        <f aca="false">CB82-CE82-CH82-CJ82</f>
        <v>0</v>
      </c>
      <c r="CL82" s="84" t="n">
        <f aca="false">CE82+CH82+(1-$F82)*CK82</f>
        <v>0</v>
      </c>
      <c r="CM82" s="84" t="n">
        <f aca="false">CJ82+$F82*CK82</f>
        <v>0</v>
      </c>
      <c r="CN82" s="84" t="n">
        <f aca="false">BX82+CH82+(1-$F82)*CK82</f>
        <v>0</v>
      </c>
      <c r="CO82" s="84" t="n">
        <f aca="false">BY82+CM82</f>
        <v>0</v>
      </c>
      <c r="CP82" s="133" t="n">
        <f aca="false">CC82+$D82*Inputs!$F$13-$D82*$E82</f>
        <v>23077.51</v>
      </c>
      <c r="CQ82" s="84" t="n">
        <f aca="false">CP82*(1+$I82)</f>
        <v>30000.763</v>
      </c>
      <c r="CR82" s="133" t="n">
        <f aca="false">CQ82*Inputs!$F$14</f>
        <v>0</v>
      </c>
      <c r="CS82" s="84" t="n">
        <f aca="false">CQ82-CR82</f>
        <v>30000.763</v>
      </c>
      <c r="CT82" s="133" t="n">
        <f aca="false">CF82+$D82*Inputs!$F$13</f>
        <v>16000</v>
      </c>
      <c r="CU82" s="84" t="n">
        <f aca="false">MIN(CR82,CT82)</f>
        <v>0</v>
      </c>
      <c r="CV82" s="84" t="n">
        <f aca="false">CT82-CU82</f>
        <v>16000</v>
      </c>
      <c r="CW82" s="84" t="n">
        <f aca="false">CI82+$G82*(CT82+CI82)</f>
        <v>0</v>
      </c>
      <c r="CX82" s="84" t="n">
        <f aca="false">MIN(CR82-CU82,CW82)</f>
        <v>0</v>
      </c>
      <c r="CY82" s="84" t="n">
        <f aca="false">CW82-CX82</f>
        <v>0</v>
      </c>
      <c r="CZ82" s="84" t="n">
        <f aca="false">IF($H82=1,MIN(CR82-CU82-CX82,MAX(0,$F82/(1-$F82)*(CN82+CX82)-CO82)),0)</f>
        <v>0</v>
      </c>
      <c r="DA82" s="84" t="n">
        <f aca="false">CR82-CU82-CX82-CZ82</f>
        <v>0</v>
      </c>
      <c r="DB82" s="84" t="n">
        <f aca="false">CU82+CX82+(1-$F82)*DA82</f>
        <v>0</v>
      </c>
      <c r="DC82" s="84" t="n">
        <f aca="false">CZ82+$F82*DA82</f>
        <v>0</v>
      </c>
      <c r="DD82" s="84" t="n">
        <f aca="false">CN82+CX82+(1-$F82)*DA82</f>
        <v>0</v>
      </c>
      <c r="DE82" s="84" t="n">
        <f aca="false">CO82+DC82</f>
        <v>0</v>
      </c>
      <c r="DF82" s="133" t="n">
        <f aca="false">CS82+$D82*Inputs!$G$13-$D82*$E82</f>
        <v>33730.763</v>
      </c>
      <c r="DG82" s="84" t="n">
        <f aca="false">DF82*(1+$I82)</f>
        <v>43849.9919</v>
      </c>
      <c r="DH82" s="133" t="n">
        <f aca="false">DG82*Inputs!$G$14</f>
        <v>8769.99838</v>
      </c>
      <c r="DI82" s="84" t="n">
        <f aca="false">DG82-DH82</f>
        <v>35079.99352</v>
      </c>
      <c r="DJ82" s="133" t="n">
        <f aca="false">CV82+$D82*Inputs!$G$13</f>
        <v>20000</v>
      </c>
      <c r="DK82" s="84" t="n">
        <f aca="false">MIN(DH82,DJ82)</f>
        <v>8769.99838</v>
      </c>
      <c r="DL82" s="84" t="n">
        <f aca="false">DJ82-DK82</f>
        <v>11230.00162</v>
      </c>
      <c r="DM82" s="84" t="n">
        <f aca="false">CY82+$G82*(DJ82+CY82)</f>
        <v>0</v>
      </c>
      <c r="DN82" s="84" t="n">
        <f aca="false">MIN(DH82-DK82,DM82)</f>
        <v>0</v>
      </c>
      <c r="DO82" s="84" t="n">
        <f aca="false">DM82-DN82</f>
        <v>0</v>
      </c>
      <c r="DP82" s="84" t="n">
        <f aca="false">IF($H82=1,MIN(DH82-DK82-DN82,MAX(0,$F82/(1-$F82)*(DD82+DN82)-DE82)),0)</f>
        <v>0</v>
      </c>
      <c r="DQ82" s="84" t="n">
        <f aca="false">DH82-DK82-DN82-DP82</f>
        <v>0</v>
      </c>
      <c r="DR82" s="84" t="n">
        <f aca="false">DK82+DN82+(1-$F82)*DQ82</f>
        <v>8769.99838</v>
      </c>
      <c r="DS82" s="84" t="n">
        <f aca="false">DP82+$F82*DQ82</f>
        <v>0</v>
      </c>
      <c r="DT82" s="84" t="n">
        <f aca="false">DD82+DN82+(1-$F82)*DQ82</f>
        <v>0</v>
      </c>
      <c r="DU82" s="84" t="n">
        <f aca="false">DE82+DS82</f>
        <v>0</v>
      </c>
      <c r="DV82" s="133" t="n">
        <f aca="false">DI82+$D82*Inputs!$H$13-$D82*$E82</f>
        <v>34809.99352</v>
      </c>
      <c r="DW82" s="84" t="n">
        <f aca="false">DV82*(1+$I82)</f>
        <v>45252.991576</v>
      </c>
      <c r="DX82" s="133" t="n">
        <f aca="false">DW82*Inputs!$H$14</f>
        <v>9050.5983152</v>
      </c>
      <c r="DY82" s="84" t="n">
        <f aca="false">DW82-DX82</f>
        <v>36202.3932608</v>
      </c>
      <c r="DZ82" s="133" t="n">
        <f aca="false">DL82+$D82*Inputs!$H$13</f>
        <v>11230.00162</v>
      </c>
      <c r="EA82" s="84" t="n">
        <f aca="false">MIN(DX82,DZ82)</f>
        <v>9050.5983152</v>
      </c>
      <c r="EB82" s="84" t="n">
        <f aca="false">DZ82-EA82</f>
        <v>2179.40330479999</v>
      </c>
      <c r="EC82" s="84" t="n">
        <f aca="false">DO82+$G82*(DZ82+DO82)</f>
        <v>0</v>
      </c>
      <c r="ED82" s="84" t="n">
        <f aca="false">MIN(DX82-EA82,EC82)</f>
        <v>0</v>
      </c>
      <c r="EE82" s="84" t="n">
        <f aca="false">EC82-ED82</f>
        <v>0</v>
      </c>
      <c r="EF82" s="84" t="n">
        <f aca="false">IF($H82=1,MIN(DX82-EA82-ED82,MAX(0,$F82/(1-$F82)*(DT82+ED82)-DU82)),0)</f>
        <v>0</v>
      </c>
      <c r="EG82" s="84" t="n">
        <f aca="false">DX82-EA82-ED82-EF82</f>
        <v>0</v>
      </c>
      <c r="EH82" s="84" t="n">
        <f aca="false">EA82+ED82+(1-$F82)*EG82</f>
        <v>9050.5983152</v>
      </c>
      <c r="EI82" s="84" t="n">
        <f aca="false">EF82+$F82*EG82</f>
        <v>0</v>
      </c>
      <c r="EJ82" s="84" t="n">
        <f aca="false">DT82+ED82+(1-$F82)*EG82</f>
        <v>0</v>
      </c>
      <c r="EK82" s="84" t="n">
        <f aca="false">DU82+EI82</f>
        <v>0</v>
      </c>
      <c r="EL82" s="133" t="n">
        <f aca="false">DY82+$D82*Inputs!$I$13-$D82*$E82</f>
        <v>35932.3932608</v>
      </c>
      <c r="EM82" s="84" t="n">
        <f aca="false">EL82*(1+$I82)</f>
        <v>46712.11123904</v>
      </c>
      <c r="EN82" s="133" t="n">
        <f aca="false">EM82*Inputs!$I$14</f>
        <v>9342.422247808</v>
      </c>
      <c r="EO82" s="84" t="n">
        <f aca="false">EM82-EN82</f>
        <v>37369.688991232</v>
      </c>
      <c r="EP82" s="133" t="n">
        <f aca="false">EB82+$D82*Inputs!$I$13</f>
        <v>2179.40330479999</v>
      </c>
      <c r="EQ82" s="84" t="n">
        <f aca="false">MIN(EN82,EP82)</f>
        <v>2179.40330479999</v>
      </c>
      <c r="ER82" s="84" t="n">
        <f aca="false">EP82-EQ82</f>
        <v>0</v>
      </c>
      <c r="ES82" s="84" t="n">
        <f aca="false">EE82+$G82*(EP82+EE82)</f>
        <v>0</v>
      </c>
      <c r="ET82" s="84" t="n">
        <f aca="false">MIN(EN82-EQ82,ES82)</f>
        <v>0</v>
      </c>
      <c r="EU82" s="84" t="n">
        <f aca="false">ES82-ET82</f>
        <v>0</v>
      </c>
      <c r="EV82" s="84" t="n">
        <f aca="false">IF($H82=1,MIN(EN82-EQ82-ET82,MAX(0,$F82/(1-$F82)*(EJ82+ET82)-EK82)),0)</f>
        <v>0</v>
      </c>
      <c r="EW82" s="84" t="n">
        <f aca="false">EN82-EQ82-ET82-EV82</f>
        <v>7163.01894300801</v>
      </c>
      <c r="EX82" s="84" t="n">
        <f aca="false">EQ82+ET82+(1-$F82)*EW82</f>
        <v>7909.8184592064</v>
      </c>
      <c r="EY82" s="84" t="n">
        <f aca="false">EV82+$F82*EW82</f>
        <v>1432.6037886016</v>
      </c>
      <c r="EZ82" s="84" t="n">
        <f aca="false">EJ82+ET82+(1-$F82)*EW82</f>
        <v>5730.41515440641</v>
      </c>
      <c r="FA82" s="84" t="n">
        <f aca="false">EK82+EY82</f>
        <v>1432.6037886016</v>
      </c>
      <c r="FB82" s="133" t="n">
        <f aca="false">EO82+$D82*Inputs!$J$13-$D82*$E82</f>
        <v>37099.688991232</v>
      </c>
      <c r="FC82" s="84" t="n">
        <f aca="false">FB82*(1+$I82)</f>
        <v>48229.5956886016</v>
      </c>
      <c r="FD82" s="133" t="n">
        <f aca="false">FC82*Inputs!$J$14</f>
        <v>9645.91913772032</v>
      </c>
      <c r="FE82" s="84" t="n">
        <f aca="false">FC82-FD82</f>
        <v>38583.6765508813</v>
      </c>
      <c r="FF82" s="133" t="n">
        <f aca="false">ER82+$D82*Inputs!$J$13</f>
        <v>0</v>
      </c>
      <c r="FG82" s="84" t="n">
        <f aca="false">MIN(FD82,FF82)</f>
        <v>0</v>
      </c>
      <c r="FH82" s="84" t="n">
        <f aca="false">FF82-FG82</f>
        <v>0</v>
      </c>
      <c r="FI82" s="84" t="n">
        <f aca="false">EU82+$G82*(FF82+EU82)</f>
        <v>0</v>
      </c>
      <c r="FJ82" s="84" t="n">
        <f aca="false">MIN(FD82-FG82,FI82)</f>
        <v>0</v>
      </c>
      <c r="FK82" s="84" t="n">
        <f aca="false">FI82-FJ82</f>
        <v>0</v>
      </c>
      <c r="FL82" s="84" t="n">
        <f aca="false">IF($H82=1,MIN(FD82-FG82-FJ82,MAX(0,$F82/(1-$F82)*(EZ82+FJ82)-FA82)),0)</f>
        <v>0</v>
      </c>
      <c r="FM82" s="84" t="n">
        <f aca="false">FD82-FG82-FJ82-FL82</f>
        <v>9645.91913772032</v>
      </c>
      <c r="FN82" s="84" t="n">
        <f aca="false">FG82+FJ82+(1-$F82)*FM82</f>
        <v>7716.73531017626</v>
      </c>
      <c r="FO82" s="84" t="n">
        <f aca="false">FL82+$F82*FM82</f>
        <v>1929.18382754406</v>
      </c>
      <c r="FP82" s="84" t="n">
        <f aca="false">EZ82+FJ82+(1-$F82)*FM82</f>
        <v>13447.1504645827</v>
      </c>
      <c r="FQ82" s="84" t="n">
        <f aca="false">FA82+FO82</f>
        <v>3361.78761614567</v>
      </c>
      <c r="FR82" s="133" t="n">
        <f aca="false">FE82+$D82*Inputs!$K$13-$D82*$E82</f>
        <v>38313.6765508813</v>
      </c>
      <c r="FS82" s="84" t="n">
        <f aca="false">FR82*(1+$I82)</f>
        <v>49807.7795161457</v>
      </c>
      <c r="FT82" s="133" t="n">
        <f aca="false">FS82*Inputs!$K$14</f>
        <v>9961.55590322914</v>
      </c>
      <c r="FU82" s="84" t="n">
        <f aca="false">FS82-FT82</f>
        <v>39846.2236129165</v>
      </c>
      <c r="FV82" s="133" t="n">
        <f aca="false">FH82+$D82*Inputs!$K$13</f>
        <v>0</v>
      </c>
      <c r="FW82" s="84" t="n">
        <f aca="false">MIN(FT82,FV82)</f>
        <v>0</v>
      </c>
      <c r="FX82" s="84" t="n">
        <f aca="false">FV82-FW82</f>
        <v>0</v>
      </c>
      <c r="FY82" s="84" t="n">
        <f aca="false">FK82+$G82*(FV82+FK82)</f>
        <v>0</v>
      </c>
      <c r="FZ82" s="84" t="n">
        <f aca="false">MIN(FT82-FW82,FY82)</f>
        <v>0</v>
      </c>
      <c r="GA82" s="84" t="n">
        <f aca="false">FY82-FZ82</f>
        <v>0</v>
      </c>
      <c r="GB82" s="84" t="n">
        <f aca="false">IF($H82=1,MIN(FT82-FW82-FZ82,MAX(0,$F82/(1-$F82)*(FP82+FZ82)-FQ82)),0)</f>
        <v>0</v>
      </c>
      <c r="GC82" s="84" t="n">
        <f aca="false">FT82-FW82-FZ82-GB82</f>
        <v>9961.55590322914</v>
      </c>
      <c r="GD82" s="84" t="n">
        <f aca="false">FW82+FZ82+(1-$F82)*GC82</f>
        <v>7969.24472258331</v>
      </c>
      <c r="GE82" s="84" t="n">
        <f aca="false">GB82+$F82*GC82</f>
        <v>1992.31118064583</v>
      </c>
      <c r="GF82" s="84" t="n">
        <f aca="false">FP82+FZ82+(1-$F82)*GC82</f>
        <v>21416.395187166</v>
      </c>
      <c r="GG82" s="84" t="n">
        <f aca="false">FQ82+GE82</f>
        <v>5354.09879679149</v>
      </c>
      <c r="GH82" s="133" t="n">
        <f aca="false">FU82+$D82*Inputs!$L$13-$D82*$E82</f>
        <v>39576.2236129165</v>
      </c>
      <c r="GI82" s="84" t="n">
        <f aca="false">GH82*(1+$I82)</f>
        <v>51449.0906967915</v>
      </c>
      <c r="GJ82" s="133" t="n">
        <f aca="false">GI82*Inputs!$L$14</f>
        <v>51449.0906967915</v>
      </c>
      <c r="GK82" s="84" t="n">
        <f aca="false">GI82-GJ82</f>
        <v>0</v>
      </c>
      <c r="GL82" s="133" t="n">
        <f aca="false">FX82+$D82*Inputs!$L$13</f>
        <v>0</v>
      </c>
      <c r="GM82" s="84" t="n">
        <f aca="false">MIN(GJ82,GL82)</f>
        <v>0</v>
      </c>
      <c r="GN82" s="84" t="n">
        <f aca="false">GL82-GM82</f>
        <v>0</v>
      </c>
      <c r="GO82" s="84" t="n">
        <f aca="false">GA82+$G82*(GL82+GA82)</f>
        <v>0</v>
      </c>
      <c r="GP82" s="84" t="n">
        <f aca="false">MIN(GJ82-GM82,GO82)</f>
        <v>0</v>
      </c>
      <c r="GQ82" s="84" t="n">
        <f aca="false">GO82-GP82</f>
        <v>0</v>
      </c>
      <c r="GR82" s="84" t="n">
        <f aca="false">IF($H82=1,MIN(GJ82-GM82-GP82,MAX(0,$F82/(1-$F82)*(GF82+GP82)-GG82)),0)</f>
        <v>0</v>
      </c>
      <c r="GS82" s="84" t="n">
        <f aca="false">GJ82-GM82-GP82-GR82</f>
        <v>51449.0906967915</v>
      </c>
      <c r="GT82" s="84" t="n">
        <f aca="false">GM82+GP82+(1-$F82)*GS82</f>
        <v>41159.2725574332</v>
      </c>
      <c r="GU82" s="84" t="n">
        <f aca="false">GR82+$F82*GS82</f>
        <v>10289.8181393583</v>
      </c>
      <c r="GV82" s="84" t="n">
        <f aca="false">GF82+GP82+(1-$F82)*GS82</f>
        <v>62575.6677445992</v>
      </c>
      <c r="GW82" s="84" t="n">
        <f aca="false">GG82+GU82</f>
        <v>15643.9169361498</v>
      </c>
    </row>
    <row r="83" customFormat="false" ht="15" hidden="false" customHeight="false" outlineLevel="0" collapsed="false">
      <c r="A83" s="5" t="s">
        <v>639</v>
      </c>
      <c r="B83" s="5" t="s">
        <v>427</v>
      </c>
      <c r="C83" s="135" t="n">
        <v>0</v>
      </c>
      <c r="D83" s="47" t="n">
        <f aca="false">Inputs!$C$6</f>
        <v>20000</v>
      </c>
      <c r="E83" s="35" t="n">
        <f aca="false">Inputs!$C$19</f>
        <v>0.0135</v>
      </c>
      <c r="F83" s="36" t="n">
        <f aca="false">Inputs!$C$20</f>
        <v>0.2</v>
      </c>
      <c r="G83" s="36" t="n">
        <f aca="false">Inputs!$C$22</f>
        <v>0.08</v>
      </c>
      <c r="H83" s="27" t="n">
        <v>0</v>
      </c>
      <c r="I83" s="132" t="n">
        <f aca="false">Inputs!$C$38+$C83*Inputs!$C$39</f>
        <v>0</v>
      </c>
      <c r="J83" s="36" t="n">
        <f aca="false">Inputs!$C$9</f>
        <v>0.15</v>
      </c>
      <c r="K83" s="89" t="n">
        <f aca="false">IRR(W83:AG83,0.1)</f>
        <v>-0.025625197842692</v>
      </c>
      <c r="L83" s="45" t="n">
        <f aca="false">W83+NPV($J83,X83:AG83)</f>
        <v>-9181.36217543512</v>
      </c>
      <c r="M83" s="45" t="n">
        <f aca="false">SUM(BF83,BV83,CL83,DB83,DR83,EH83,EX83,FN83,GD83,GT83)</f>
        <v>17300</v>
      </c>
      <c r="N83" s="43" t="n">
        <f aca="false">IF($D83*SUM(Inputs!$C$13:$L$13)=0,0,M83/($D83*SUM(Inputs!$C$13:$L$13)))</f>
        <v>0.865</v>
      </c>
      <c r="O83" s="42" t="n">
        <f aca="false">$D83*$E83*COLUMNS(Inputs!$C$13:$L$13)</f>
        <v>2700</v>
      </c>
      <c r="P83" s="45" t="n">
        <f aca="false">SUM(BG83,BW83,CM83,DC83,DS83,EI83,EY83,FO83,GE83,GU83)</f>
        <v>0</v>
      </c>
      <c r="Q83" s="42" t="n">
        <f aca="false">PV($J83,COLUMNS(Inputs!$C$13:$L$13),-$D83*$E83,0,1)</f>
        <v>1558.32765832774</v>
      </c>
      <c r="R83" s="45" t="n">
        <f aca="false">NPV($J83,BG83,BW83,CM83,DC83,DS83,EI83,EY83,FO83,GE83,GU83)</f>
        <v>0</v>
      </c>
      <c r="S83" s="45" t="n">
        <f aca="false">Q83+R83</f>
        <v>1558.32765832774</v>
      </c>
      <c r="T83" s="32" t="n">
        <f aca="false">IF(S83=0,0,Q83/S83)</f>
        <v>1</v>
      </c>
      <c r="U83" s="45" t="n">
        <f aca="false">ROUND(ABS(GK83)+ABS(SUM(AV83,BL83,CB83,CR83,DH83,DX83,EN83,FD83,FT83,GJ83)-M83-P83)+ABS(S83-(AH83+NPV($J83,AI83:AR83))),6)</f>
        <v>0</v>
      </c>
      <c r="W83" s="133" t="n">
        <f aca="false">-$D83*Inputs!$C$13</f>
        <v>-4000</v>
      </c>
      <c r="X83" s="133" t="n">
        <f aca="false">BF83-$D83*Inputs!$D$13</f>
        <v>-4000</v>
      </c>
      <c r="Y83" s="133" t="n">
        <f aca="false">BV83-$D83*Inputs!$E$13</f>
        <v>-4000</v>
      </c>
      <c r="Z83" s="133" t="n">
        <f aca="false">CL83-$D83*Inputs!$F$13</f>
        <v>-4000</v>
      </c>
      <c r="AA83" s="133" t="n">
        <f aca="false">DB83-$D83*Inputs!$G$13</f>
        <v>-4000</v>
      </c>
      <c r="AB83" s="133" t="n">
        <f aca="false">DR83-$D83*Inputs!$H$13</f>
        <v>3730</v>
      </c>
      <c r="AC83" s="133" t="n">
        <f aca="false">EH83-$D83*Inputs!$I$13</f>
        <v>2930</v>
      </c>
      <c r="AD83" s="133" t="n">
        <f aca="false">EX83-$D83*Inputs!$J$13</f>
        <v>2290</v>
      </c>
      <c r="AE83" s="133" t="n">
        <f aca="false">FN83-$D83*Inputs!$K$13</f>
        <v>1778</v>
      </c>
      <c r="AF83" s="133" t="n">
        <f aca="false">GD83-$D83*Inputs!$L$13</f>
        <v>1368.4</v>
      </c>
      <c r="AG83" s="84" t="n">
        <f aca="false">GT83</f>
        <v>5203.6</v>
      </c>
      <c r="AH83" s="84" t="n">
        <f aca="false">$D83*$E83</f>
        <v>270</v>
      </c>
      <c r="AI83" s="84" t="n">
        <f aca="false">BG83+$D83*$E83</f>
        <v>270</v>
      </c>
      <c r="AJ83" s="84" t="n">
        <f aca="false">BW83+$D83*$E83</f>
        <v>270</v>
      </c>
      <c r="AK83" s="84" t="n">
        <f aca="false">CM83+$D83*$E83</f>
        <v>270</v>
      </c>
      <c r="AL83" s="84" t="n">
        <f aca="false">DC83+$D83*$E83</f>
        <v>270</v>
      </c>
      <c r="AM83" s="84" t="n">
        <f aca="false">DS83+$D83*$E83</f>
        <v>270</v>
      </c>
      <c r="AN83" s="84" t="n">
        <f aca="false">EI83+$D83*$E83</f>
        <v>270</v>
      </c>
      <c r="AO83" s="84" t="n">
        <f aca="false">EY83+$D83*$E83</f>
        <v>270</v>
      </c>
      <c r="AP83" s="84" t="n">
        <f aca="false">FO83+$D83*$E83</f>
        <v>270</v>
      </c>
      <c r="AQ83" s="84" t="n">
        <f aca="false">GE83+$D83*$E83</f>
        <v>270</v>
      </c>
      <c r="AR83" s="84" t="n">
        <f aca="false">GU83</f>
        <v>0</v>
      </c>
      <c r="AT83" s="133" t="n">
        <f aca="false">$D83*Inputs!$C$13-$D83*$E83</f>
        <v>3730</v>
      </c>
      <c r="AU83" s="84" t="n">
        <f aca="false">AT83*(1+$I83)</f>
        <v>3730</v>
      </c>
      <c r="AV83" s="133" t="n">
        <f aca="false">AU83*Inputs!$C$14</f>
        <v>0</v>
      </c>
      <c r="AW83" s="84" t="n">
        <f aca="false">AU83-AV83</f>
        <v>3730</v>
      </c>
      <c r="AX83" s="133" t="n">
        <f aca="false">$D83*Inputs!$C$13</f>
        <v>4000</v>
      </c>
      <c r="AY83" s="84" t="n">
        <f aca="false">MIN(AV83,AX83)</f>
        <v>0</v>
      </c>
      <c r="AZ83" s="84" t="n">
        <f aca="false">AX83-AY83</f>
        <v>4000</v>
      </c>
      <c r="BA83" s="84" t="n">
        <f aca="false">$G83*AX83</f>
        <v>320</v>
      </c>
      <c r="BB83" s="84" t="n">
        <f aca="false">MIN(AV83-AY83,BA83)</f>
        <v>0</v>
      </c>
      <c r="BC83" s="84" t="n">
        <f aca="false">BA83-BB83</f>
        <v>320</v>
      </c>
      <c r="BD83" s="84" t="n">
        <f aca="false">IF($H83=1,MIN(AV83-AY83-BB83,MAX(0,$F83/(1-$F83)*BB83)),0)</f>
        <v>0</v>
      </c>
      <c r="BE83" s="84" t="n">
        <f aca="false">AV83-AY83-BB83-BD83</f>
        <v>0</v>
      </c>
      <c r="BF83" s="84" t="n">
        <f aca="false">AY83+BB83+(1-$F83)*BE83</f>
        <v>0</v>
      </c>
      <c r="BG83" s="84" t="n">
        <f aca="false">BD83+$F83*BE83</f>
        <v>0</v>
      </c>
      <c r="BH83" s="84" t="n">
        <f aca="false">BB83+(1-$F83)*BE83</f>
        <v>0</v>
      </c>
      <c r="BI83" s="84" t="n">
        <f aca="false">BG83</f>
        <v>0</v>
      </c>
      <c r="BJ83" s="133" t="n">
        <f aca="false">AW83+$D83*Inputs!$D$13-$D83*$E83</f>
        <v>7460</v>
      </c>
      <c r="BK83" s="84" t="n">
        <f aca="false">BJ83*(1+$I83)</f>
        <v>7460</v>
      </c>
      <c r="BL83" s="133" t="n">
        <f aca="false">BK83*Inputs!$D$14</f>
        <v>0</v>
      </c>
      <c r="BM83" s="84" t="n">
        <f aca="false">BK83-BL83</f>
        <v>7460</v>
      </c>
      <c r="BN83" s="133" t="n">
        <f aca="false">AZ83+$D83*Inputs!$D$13</f>
        <v>8000</v>
      </c>
      <c r="BO83" s="84" t="n">
        <f aca="false">MIN(BL83,BN83)</f>
        <v>0</v>
      </c>
      <c r="BP83" s="84" t="n">
        <f aca="false">BN83-BO83</f>
        <v>8000</v>
      </c>
      <c r="BQ83" s="84" t="n">
        <f aca="false">BC83+$G83*(BN83+BC83)</f>
        <v>985.6</v>
      </c>
      <c r="BR83" s="84" t="n">
        <f aca="false">MIN(BL83-BO83,BQ83)</f>
        <v>0</v>
      </c>
      <c r="BS83" s="84" t="n">
        <f aca="false">BQ83-BR83</f>
        <v>985.6</v>
      </c>
      <c r="BT83" s="84" t="n">
        <f aca="false">IF($H83=1,MIN(BL83-BO83-BR83,MAX(0,$F83/(1-$F83)*(BH83+BR83)-BI83)),0)</f>
        <v>0</v>
      </c>
      <c r="BU83" s="84" t="n">
        <f aca="false">BL83-BO83-BR83-BT83</f>
        <v>0</v>
      </c>
      <c r="BV83" s="84" t="n">
        <f aca="false">BO83+BR83+(1-$F83)*BU83</f>
        <v>0</v>
      </c>
      <c r="BW83" s="84" t="n">
        <f aca="false">BT83+$F83*BU83</f>
        <v>0</v>
      </c>
      <c r="BX83" s="84" t="n">
        <f aca="false">BH83+BR83+(1-$F83)*BU83</f>
        <v>0</v>
      </c>
      <c r="BY83" s="84" t="n">
        <f aca="false">BI83+BW83</f>
        <v>0</v>
      </c>
      <c r="BZ83" s="133" t="n">
        <f aca="false">BM83+$D83*Inputs!$E$13-$D83*$E83</f>
        <v>11190</v>
      </c>
      <c r="CA83" s="84" t="n">
        <f aca="false">BZ83*(1+$I83)</f>
        <v>11190</v>
      </c>
      <c r="CB83" s="133" t="n">
        <f aca="false">CA83*Inputs!$E$14</f>
        <v>0</v>
      </c>
      <c r="CC83" s="84" t="n">
        <f aca="false">CA83-CB83</f>
        <v>11190</v>
      </c>
      <c r="CD83" s="133" t="n">
        <f aca="false">BP83+$D83*Inputs!$E$13</f>
        <v>12000</v>
      </c>
      <c r="CE83" s="84" t="n">
        <f aca="false">MIN(CB83,CD83)</f>
        <v>0</v>
      </c>
      <c r="CF83" s="84" t="n">
        <f aca="false">CD83-CE83</f>
        <v>12000</v>
      </c>
      <c r="CG83" s="84" t="n">
        <f aca="false">BS83+$G83*(CD83+BS83)</f>
        <v>2024.448</v>
      </c>
      <c r="CH83" s="84" t="n">
        <f aca="false">MIN(CB83-CE83,CG83)</f>
        <v>0</v>
      </c>
      <c r="CI83" s="84" t="n">
        <f aca="false">CG83-CH83</f>
        <v>2024.448</v>
      </c>
      <c r="CJ83" s="84" t="n">
        <f aca="false">IF($H83=1,MIN(CB83-CE83-CH83,MAX(0,$F83/(1-$F83)*(BX83+CH83)-BY83)),0)</f>
        <v>0</v>
      </c>
      <c r="CK83" s="84" t="n">
        <f aca="false">CB83-CE83-CH83-CJ83</f>
        <v>0</v>
      </c>
      <c r="CL83" s="84" t="n">
        <f aca="false">CE83+CH83+(1-$F83)*CK83</f>
        <v>0</v>
      </c>
      <c r="CM83" s="84" t="n">
        <f aca="false">CJ83+$F83*CK83</f>
        <v>0</v>
      </c>
      <c r="CN83" s="84" t="n">
        <f aca="false">BX83+CH83+(1-$F83)*CK83</f>
        <v>0</v>
      </c>
      <c r="CO83" s="84" t="n">
        <f aca="false">BY83+CM83</f>
        <v>0</v>
      </c>
      <c r="CP83" s="133" t="n">
        <f aca="false">CC83+$D83*Inputs!$F$13-$D83*$E83</f>
        <v>14920</v>
      </c>
      <c r="CQ83" s="84" t="n">
        <f aca="false">CP83*(1+$I83)</f>
        <v>14920</v>
      </c>
      <c r="CR83" s="133" t="n">
        <f aca="false">CQ83*Inputs!$F$14</f>
        <v>0</v>
      </c>
      <c r="CS83" s="84" t="n">
        <f aca="false">CQ83-CR83</f>
        <v>14920</v>
      </c>
      <c r="CT83" s="133" t="n">
        <f aca="false">CF83+$D83*Inputs!$F$13</f>
        <v>16000</v>
      </c>
      <c r="CU83" s="84" t="n">
        <f aca="false">MIN(CR83,CT83)</f>
        <v>0</v>
      </c>
      <c r="CV83" s="84" t="n">
        <f aca="false">CT83-CU83</f>
        <v>16000</v>
      </c>
      <c r="CW83" s="84" t="n">
        <f aca="false">CI83+$G83*(CT83+CI83)</f>
        <v>3466.40384</v>
      </c>
      <c r="CX83" s="84" t="n">
        <f aca="false">MIN(CR83-CU83,CW83)</f>
        <v>0</v>
      </c>
      <c r="CY83" s="84" t="n">
        <f aca="false">CW83-CX83</f>
        <v>3466.40384</v>
      </c>
      <c r="CZ83" s="84" t="n">
        <f aca="false">IF($H83=1,MIN(CR83-CU83-CX83,MAX(0,$F83/(1-$F83)*(CN83+CX83)-CO83)),0)</f>
        <v>0</v>
      </c>
      <c r="DA83" s="84" t="n">
        <f aca="false">CR83-CU83-CX83-CZ83</f>
        <v>0</v>
      </c>
      <c r="DB83" s="84" t="n">
        <f aca="false">CU83+CX83+(1-$F83)*DA83</f>
        <v>0</v>
      </c>
      <c r="DC83" s="84" t="n">
        <f aca="false">CZ83+$F83*DA83</f>
        <v>0</v>
      </c>
      <c r="DD83" s="84" t="n">
        <f aca="false">CN83+CX83+(1-$F83)*DA83</f>
        <v>0</v>
      </c>
      <c r="DE83" s="84" t="n">
        <f aca="false">CO83+DC83</f>
        <v>0</v>
      </c>
      <c r="DF83" s="133" t="n">
        <f aca="false">CS83+$D83*Inputs!$G$13-$D83*$E83</f>
        <v>18650</v>
      </c>
      <c r="DG83" s="84" t="n">
        <f aca="false">DF83*(1+$I83)</f>
        <v>18650</v>
      </c>
      <c r="DH83" s="133" t="n">
        <f aca="false">DG83*Inputs!$G$14</f>
        <v>3730</v>
      </c>
      <c r="DI83" s="84" t="n">
        <f aca="false">DG83-DH83</f>
        <v>14920</v>
      </c>
      <c r="DJ83" s="133" t="n">
        <f aca="false">CV83+$D83*Inputs!$G$13</f>
        <v>20000</v>
      </c>
      <c r="DK83" s="84" t="n">
        <f aca="false">MIN(DH83,DJ83)</f>
        <v>3730</v>
      </c>
      <c r="DL83" s="84" t="n">
        <f aca="false">DJ83-DK83</f>
        <v>16270</v>
      </c>
      <c r="DM83" s="84" t="n">
        <f aca="false">CY83+$G83*(DJ83+CY83)</f>
        <v>5343.7161472</v>
      </c>
      <c r="DN83" s="84" t="n">
        <f aca="false">MIN(DH83-DK83,DM83)</f>
        <v>0</v>
      </c>
      <c r="DO83" s="84" t="n">
        <f aca="false">DM83-DN83</f>
        <v>5343.7161472</v>
      </c>
      <c r="DP83" s="84" t="n">
        <f aca="false">IF($H83=1,MIN(DH83-DK83-DN83,MAX(0,$F83/(1-$F83)*(DD83+DN83)-DE83)),0)</f>
        <v>0</v>
      </c>
      <c r="DQ83" s="84" t="n">
        <f aca="false">DH83-DK83-DN83-DP83</f>
        <v>0</v>
      </c>
      <c r="DR83" s="84" t="n">
        <f aca="false">DK83+DN83+(1-$F83)*DQ83</f>
        <v>3730</v>
      </c>
      <c r="DS83" s="84" t="n">
        <f aca="false">DP83+$F83*DQ83</f>
        <v>0</v>
      </c>
      <c r="DT83" s="84" t="n">
        <f aca="false">DD83+DN83+(1-$F83)*DQ83</f>
        <v>0</v>
      </c>
      <c r="DU83" s="84" t="n">
        <f aca="false">DE83+DS83</f>
        <v>0</v>
      </c>
      <c r="DV83" s="133" t="n">
        <f aca="false">DI83+$D83*Inputs!$H$13-$D83*$E83</f>
        <v>14650</v>
      </c>
      <c r="DW83" s="84" t="n">
        <f aca="false">DV83*(1+$I83)</f>
        <v>14650</v>
      </c>
      <c r="DX83" s="133" t="n">
        <f aca="false">DW83*Inputs!$H$14</f>
        <v>2930</v>
      </c>
      <c r="DY83" s="84" t="n">
        <f aca="false">DW83-DX83</f>
        <v>11720</v>
      </c>
      <c r="DZ83" s="133" t="n">
        <f aca="false">DL83+$D83*Inputs!$H$13</f>
        <v>16270</v>
      </c>
      <c r="EA83" s="84" t="n">
        <f aca="false">MIN(DX83,DZ83)</f>
        <v>2930</v>
      </c>
      <c r="EB83" s="84" t="n">
        <f aca="false">DZ83-EA83</f>
        <v>13340</v>
      </c>
      <c r="EC83" s="84" t="n">
        <f aca="false">DO83+$G83*(DZ83+DO83)</f>
        <v>7072.813438976</v>
      </c>
      <c r="ED83" s="84" t="n">
        <f aca="false">MIN(DX83-EA83,EC83)</f>
        <v>0</v>
      </c>
      <c r="EE83" s="84" t="n">
        <f aca="false">EC83-ED83</f>
        <v>7072.813438976</v>
      </c>
      <c r="EF83" s="84" t="n">
        <f aca="false">IF($H83=1,MIN(DX83-EA83-ED83,MAX(0,$F83/(1-$F83)*(DT83+ED83)-DU83)),0)</f>
        <v>0</v>
      </c>
      <c r="EG83" s="84" t="n">
        <f aca="false">DX83-EA83-ED83-EF83</f>
        <v>0</v>
      </c>
      <c r="EH83" s="84" t="n">
        <f aca="false">EA83+ED83+(1-$F83)*EG83</f>
        <v>2930</v>
      </c>
      <c r="EI83" s="84" t="n">
        <f aca="false">EF83+$F83*EG83</f>
        <v>0</v>
      </c>
      <c r="EJ83" s="84" t="n">
        <f aca="false">DT83+ED83+(1-$F83)*EG83</f>
        <v>0</v>
      </c>
      <c r="EK83" s="84" t="n">
        <f aca="false">DU83+EI83</f>
        <v>0</v>
      </c>
      <c r="EL83" s="133" t="n">
        <f aca="false">DY83+$D83*Inputs!$I$13-$D83*$E83</f>
        <v>11450</v>
      </c>
      <c r="EM83" s="84" t="n">
        <f aca="false">EL83*(1+$I83)</f>
        <v>11450</v>
      </c>
      <c r="EN83" s="133" t="n">
        <f aca="false">EM83*Inputs!$I$14</f>
        <v>2290</v>
      </c>
      <c r="EO83" s="84" t="n">
        <f aca="false">EM83-EN83</f>
        <v>9160</v>
      </c>
      <c r="EP83" s="133" t="n">
        <f aca="false">EB83+$D83*Inputs!$I$13</f>
        <v>13340</v>
      </c>
      <c r="EQ83" s="84" t="n">
        <f aca="false">MIN(EN83,EP83)</f>
        <v>2290</v>
      </c>
      <c r="ER83" s="84" t="n">
        <f aca="false">EP83-EQ83</f>
        <v>11050</v>
      </c>
      <c r="ES83" s="84" t="n">
        <f aca="false">EE83+$G83*(EP83+EE83)</f>
        <v>8705.83851409408</v>
      </c>
      <c r="ET83" s="84" t="n">
        <f aca="false">MIN(EN83-EQ83,ES83)</f>
        <v>0</v>
      </c>
      <c r="EU83" s="84" t="n">
        <f aca="false">ES83-ET83</f>
        <v>8705.83851409408</v>
      </c>
      <c r="EV83" s="84" t="n">
        <f aca="false">IF($H83=1,MIN(EN83-EQ83-ET83,MAX(0,$F83/(1-$F83)*(EJ83+ET83)-EK83)),0)</f>
        <v>0</v>
      </c>
      <c r="EW83" s="84" t="n">
        <f aca="false">EN83-EQ83-ET83-EV83</f>
        <v>0</v>
      </c>
      <c r="EX83" s="84" t="n">
        <f aca="false">EQ83+ET83+(1-$F83)*EW83</f>
        <v>2290</v>
      </c>
      <c r="EY83" s="84" t="n">
        <f aca="false">EV83+$F83*EW83</f>
        <v>0</v>
      </c>
      <c r="EZ83" s="84" t="n">
        <f aca="false">EJ83+ET83+(1-$F83)*EW83</f>
        <v>0</v>
      </c>
      <c r="FA83" s="84" t="n">
        <f aca="false">EK83+EY83</f>
        <v>0</v>
      </c>
      <c r="FB83" s="133" t="n">
        <f aca="false">EO83+$D83*Inputs!$J$13-$D83*$E83</f>
        <v>8890</v>
      </c>
      <c r="FC83" s="84" t="n">
        <f aca="false">FB83*(1+$I83)</f>
        <v>8890</v>
      </c>
      <c r="FD83" s="133" t="n">
        <f aca="false">FC83*Inputs!$J$14</f>
        <v>1778</v>
      </c>
      <c r="FE83" s="84" t="n">
        <f aca="false">FC83-FD83</f>
        <v>7112</v>
      </c>
      <c r="FF83" s="133" t="n">
        <f aca="false">ER83+$D83*Inputs!$J$13</f>
        <v>11050</v>
      </c>
      <c r="FG83" s="84" t="n">
        <f aca="false">MIN(FD83,FF83)</f>
        <v>1778</v>
      </c>
      <c r="FH83" s="84" t="n">
        <f aca="false">FF83-FG83</f>
        <v>9272</v>
      </c>
      <c r="FI83" s="84" t="n">
        <f aca="false">EU83+$G83*(FF83+EU83)</f>
        <v>10286.3055952216</v>
      </c>
      <c r="FJ83" s="84" t="n">
        <f aca="false">MIN(FD83-FG83,FI83)</f>
        <v>0</v>
      </c>
      <c r="FK83" s="84" t="n">
        <f aca="false">FI83-FJ83</f>
        <v>10286.3055952216</v>
      </c>
      <c r="FL83" s="84" t="n">
        <f aca="false">IF($H83=1,MIN(FD83-FG83-FJ83,MAX(0,$F83/(1-$F83)*(EZ83+FJ83)-FA83)),0)</f>
        <v>0</v>
      </c>
      <c r="FM83" s="84" t="n">
        <f aca="false">FD83-FG83-FJ83-FL83</f>
        <v>0</v>
      </c>
      <c r="FN83" s="84" t="n">
        <f aca="false">FG83+FJ83+(1-$F83)*FM83</f>
        <v>1778</v>
      </c>
      <c r="FO83" s="84" t="n">
        <f aca="false">FL83+$F83*FM83</f>
        <v>0</v>
      </c>
      <c r="FP83" s="84" t="n">
        <f aca="false">EZ83+FJ83+(1-$F83)*FM83</f>
        <v>0</v>
      </c>
      <c r="FQ83" s="84" t="n">
        <f aca="false">FA83+FO83</f>
        <v>0</v>
      </c>
      <c r="FR83" s="133" t="n">
        <f aca="false">FE83+$D83*Inputs!$K$13-$D83*$E83</f>
        <v>6842</v>
      </c>
      <c r="FS83" s="84" t="n">
        <f aca="false">FR83*(1+$I83)</f>
        <v>6842</v>
      </c>
      <c r="FT83" s="133" t="n">
        <f aca="false">FS83*Inputs!$K$14</f>
        <v>1368.4</v>
      </c>
      <c r="FU83" s="84" t="n">
        <f aca="false">FS83-FT83</f>
        <v>5473.6</v>
      </c>
      <c r="FV83" s="133" t="n">
        <f aca="false">FH83+$D83*Inputs!$K$13</f>
        <v>9272</v>
      </c>
      <c r="FW83" s="84" t="n">
        <f aca="false">MIN(FT83,FV83)</f>
        <v>1368.4</v>
      </c>
      <c r="FX83" s="84" t="n">
        <f aca="false">FV83-FW83</f>
        <v>7903.6</v>
      </c>
      <c r="FY83" s="84" t="n">
        <f aca="false">FK83+$G83*(FV83+FK83)</f>
        <v>11850.9700428393</v>
      </c>
      <c r="FZ83" s="84" t="n">
        <f aca="false">MIN(FT83-FW83,FY83)</f>
        <v>0</v>
      </c>
      <c r="GA83" s="84" t="n">
        <f aca="false">FY83-FZ83</f>
        <v>11850.9700428393</v>
      </c>
      <c r="GB83" s="84" t="n">
        <f aca="false">IF($H83=1,MIN(FT83-FW83-FZ83,MAX(0,$F83/(1-$F83)*(FP83+FZ83)-FQ83)),0)</f>
        <v>0</v>
      </c>
      <c r="GC83" s="84" t="n">
        <f aca="false">FT83-FW83-FZ83-GB83</f>
        <v>0</v>
      </c>
      <c r="GD83" s="84" t="n">
        <f aca="false">FW83+FZ83+(1-$F83)*GC83</f>
        <v>1368.4</v>
      </c>
      <c r="GE83" s="84" t="n">
        <f aca="false">GB83+$F83*GC83</f>
        <v>0</v>
      </c>
      <c r="GF83" s="84" t="n">
        <f aca="false">FP83+FZ83+(1-$F83)*GC83</f>
        <v>0</v>
      </c>
      <c r="GG83" s="84" t="n">
        <f aca="false">FQ83+GE83</f>
        <v>0</v>
      </c>
      <c r="GH83" s="133" t="n">
        <f aca="false">FU83+$D83*Inputs!$L$13-$D83*$E83</f>
        <v>5203.6</v>
      </c>
      <c r="GI83" s="84" t="n">
        <f aca="false">GH83*(1+$I83)</f>
        <v>5203.6</v>
      </c>
      <c r="GJ83" s="133" t="n">
        <f aca="false">GI83*Inputs!$L$14</f>
        <v>5203.6</v>
      </c>
      <c r="GK83" s="84" t="n">
        <f aca="false">GI83-GJ83</f>
        <v>0</v>
      </c>
      <c r="GL83" s="133" t="n">
        <f aca="false">FX83+$D83*Inputs!$L$13</f>
        <v>7903.6</v>
      </c>
      <c r="GM83" s="84" t="n">
        <f aca="false">MIN(GJ83,GL83)</f>
        <v>5203.6</v>
      </c>
      <c r="GN83" s="84" t="n">
        <f aca="false">GL83-GM83</f>
        <v>2700</v>
      </c>
      <c r="GO83" s="84" t="n">
        <f aca="false">GA83+$G83*(GL83+GA83)</f>
        <v>13431.3356462665</v>
      </c>
      <c r="GP83" s="84" t="n">
        <f aca="false">MIN(GJ83-GM83,GO83)</f>
        <v>0</v>
      </c>
      <c r="GQ83" s="84" t="n">
        <f aca="false">GO83-GP83</f>
        <v>13431.3356462665</v>
      </c>
      <c r="GR83" s="84" t="n">
        <f aca="false">IF($H83=1,MIN(GJ83-GM83-GP83,MAX(0,$F83/(1-$F83)*(GF83+GP83)-GG83)),0)</f>
        <v>0</v>
      </c>
      <c r="GS83" s="84" t="n">
        <f aca="false">GJ83-GM83-GP83-GR83</f>
        <v>0</v>
      </c>
      <c r="GT83" s="84" t="n">
        <f aca="false">GM83+GP83+(1-$F83)*GS83</f>
        <v>5203.6</v>
      </c>
      <c r="GU83" s="84" t="n">
        <f aca="false">GR83+$F83*GS83</f>
        <v>0</v>
      </c>
      <c r="GV83" s="84" t="n">
        <f aca="false">GF83+GP83+(1-$F83)*GS83</f>
        <v>0</v>
      </c>
      <c r="GW83" s="84" t="n">
        <f aca="false">GG83+GU83</f>
        <v>0</v>
      </c>
    </row>
    <row r="84" customFormat="false" ht="15" hidden="false" customHeight="false" outlineLevel="0" collapsed="false">
      <c r="A84" s="5" t="s">
        <v>639</v>
      </c>
      <c r="B84" s="5" t="s">
        <v>427</v>
      </c>
      <c r="C84" s="135" t="n">
        <v>1</v>
      </c>
      <c r="D84" s="47" t="n">
        <f aca="false">Inputs!$C$6</f>
        <v>20000</v>
      </c>
      <c r="E84" s="35" t="n">
        <f aca="false">Inputs!$C$19</f>
        <v>0.0135</v>
      </c>
      <c r="F84" s="36" t="n">
        <f aca="false">Inputs!$C$20</f>
        <v>0.2</v>
      </c>
      <c r="G84" s="36" t="n">
        <f aca="false">Inputs!$C$22</f>
        <v>0.08</v>
      </c>
      <c r="H84" s="27" t="n">
        <v>0</v>
      </c>
      <c r="I84" s="132" t="n">
        <f aca="false">Inputs!$C$38+$C84*Inputs!$C$39</f>
        <v>0.01</v>
      </c>
      <c r="J84" s="36" t="n">
        <f aca="false">Inputs!$C$9</f>
        <v>0.15</v>
      </c>
      <c r="K84" s="89" t="n">
        <f aca="false">IRR(W84:AG84,0.1)</f>
        <v>-0.0150982104544355</v>
      </c>
      <c r="L84" s="45" t="n">
        <f aca="false">W84+NPV($J84,X84:AG84)</f>
        <v>-8839.82096536762</v>
      </c>
      <c r="M84" s="45" t="n">
        <f aca="false">SUM(BF84,BV84,CL84,DB84,DR84,EH84,EX84,FN84,GD84,GT84)</f>
        <v>18360.4510249299</v>
      </c>
      <c r="N84" s="43" t="n">
        <f aca="false">IF($D84*SUM(Inputs!$C$13:$L$13)=0,0,M84/($D84*SUM(Inputs!$C$13:$L$13)))</f>
        <v>0.918022551246495</v>
      </c>
      <c r="O84" s="42" t="n">
        <f aca="false">$D84*$E84*COLUMNS(Inputs!$C$13:$L$13)</f>
        <v>2700</v>
      </c>
      <c r="P84" s="45" t="n">
        <f aca="false">SUM(BG84,BW84,CM84,DC84,DS84,EI84,EY84,FO84,GE84,GU84)</f>
        <v>0</v>
      </c>
      <c r="Q84" s="42" t="n">
        <f aca="false">PV($J84,COLUMNS(Inputs!$C$13:$L$13),-$D84*$E84,0,1)</f>
        <v>1558.32765832774</v>
      </c>
      <c r="R84" s="45" t="n">
        <f aca="false">NPV($J84,BG84,BW84,CM84,DC84,DS84,EI84,EY84,FO84,GE84,GU84)</f>
        <v>0</v>
      </c>
      <c r="S84" s="45" t="n">
        <f aca="false">Q84+R84</f>
        <v>1558.32765832774</v>
      </c>
      <c r="T84" s="32" t="n">
        <f aca="false">IF(S84=0,0,Q84/S84)</f>
        <v>1</v>
      </c>
      <c r="U84" s="45" t="n">
        <f aca="false">ROUND(ABS(GK84)+ABS(SUM(AV84,BL84,CB84,CR84,DH84,DX84,EN84,FD84,FT84,GJ84)-M84-P84)+ABS(S84-(AH84+NPV($J84,AI84:AR84))),6)</f>
        <v>0</v>
      </c>
      <c r="W84" s="133" t="n">
        <f aca="false">-$D84*Inputs!$C$13</f>
        <v>-4000</v>
      </c>
      <c r="X84" s="133" t="n">
        <f aca="false">BF84-$D84*Inputs!$D$13</f>
        <v>-4000</v>
      </c>
      <c r="Y84" s="133" t="n">
        <f aca="false">BV84-$D84*Inputs!$E$13</f>
        <v>-4000</v>
      </c>
      <c r="Z84" s="133" t="n">
        <f aca="false">CL84-$D84*Inputs!$F$13</f>
        <v>-4000</v>
      </c>
      <c r="AA84" s="133" t="n">
        <f aca="false">DB84-$D84*Inputs!$G$13</f>
        <v>-4000</v>
      </c>
      <c r="AB84" s="133" t="n">
        <f aca="false">DR84-$D84*Inputs!$H$13</f>
        <v>3843.4032348346</v>
      </c>
      <c r="AC84" s="133" t="n">
        <f aca="false">EH84-$D84*Inputs!$I$13</f>
        <v>3050.92981374636</v>
      </c>
      <c r="AD84" s="133" t="n">
        <f aca="false">EX84-$D84*Inputs!$J$13</f>
        <v>2410.61128950706</v>
      </c>
      <c r="AE84" s="133" t="n">
        <f aca="false">FN84-$D84*Inputs!$K$13</f>
        <v>1893.2339219217</v>
      </c>
      <c r="AF84" s="133" t="n">
        <f aca="false">GD84-$D84*Inputs!$L$13</f>
        <v>1475.19300891274</v>
      </c>
      <c r="AG84" s="84" t="n">
        <f aca="false">GT84</f>
        <v>5687.07975600745</v>
      </c>
      <c r="AH84" s="84" t="n">
        <f aca="false">$D84*$E84</f>
        <v>270</v>
      </c>
      <c r="AI84" s="84" t="n">
        <f aca="false">BG84+$D84*$E84</f>
        <v>270</v>
      </c>
      <c r="AJ84" s="84" t="n">
        <f aca="false">BW84+$D84*$E84</f>
        <v>270</v>
      </c>
      <c r="AK84" s="84" t="n">
        <f aca="false">CM84+$D84*$E84</f>
        <v>270</v>
      </c>
      <c r="AL84" s="84" t="n">
        <f aca="false">DC84+$D84*$E84</f>
        <v>270</v>
      </c>
      <c r="AM84" s="84" t="n">
        <f aca="false">DS84+$D84*$E84</f>
        <v>270</v>
      </c>
      <c r="AN84" s="84" t="n">
        <f aca="false">EI84+$D84*$E84</f>
        <v>270</v>
      </c>
      <c r="AO84" s="84" t="n">
        <f aca="false">EY84+$D84*$E84</f>
        <v>270</v>
      </c>
      <c r="AP84" s="84" t="n">
        <f aca="false">FO84+$D84*$E84</f>
        <v>270</v>
      </c>
      <c r="AQ84" s="84" t="n">
        <f aca="false">GE84+$D84*$E84</f>
        <v>270</v>
      </c>
      <c r="AR84" s="84" t="n">
        <f aca="false">GU84</f>
        <v>0</v>
      </c>
      <c r="AT84" s="133" t="n">
        <f aca="false">$D84*Inputs!$C$13-$D84*$E84</f>
        <v>3730</v>
      </c>
      <c r="AU84" s="84" t="n">
        <f aca="false">AT84*(1+$I84)</f>
        <v>3767.3</v>
      </c>
      <c r="AV84" s="133" t="n">
        <f aca="false">AU84*Inputs!$C$14</f>
        <v>0</v>
      </c>
      <c r="AW84" s="84" t="n">
        <f aca="false">AU84-AV84</f>
        <v>3767.3</v>
      </c>
      <c r="AX84" s="133" t="n">
        <f aca="false">$D84*Inputs!$C$13</f>
        <v>4000</v>
      </c>
      <c r="AY84" s="84" t="n">
        <f aca="false">MIN(AV84,AX84)</f>
        <v>0</v>
      </c>
      <c r="AZ84" s="84" t="n">
        <f aca="false">AX84-AY84</f>
        <v>4000</v>
      </c>
      <c r="BA84" s="84" t="n">
        <f aca="false">$G84*AX84</f>
        <v>320</v>
      </c>
      <c r="BB84" s="84" t="n">
        <f aca="false">MIN(AV84-AY84,BA84)</f>
        <v>0</v>
      </c>
      <c r="BC84" s="84" t="n">
        <f aca="false">BA84-BB84</f>
        <v>320</v>
      </c>
      <c r="BD84" s="84" t="n">
        <f aca="false">IF($H84=1,MIN(AV84-AY84-BB84,MAX(0,$F84/(1-$F84)*BB84)),0)</f>
        <v>0</v>
      </c>
      <c r="BE84" s="84" t="n">
        <f aca="false">AV84-AY84-BB84-BD84</f>
        <v>0</v>
      </c>
      <c r="BF84" s="84" t="n">
        <f aca="false">AY84+BB84+(1-$F84)*BE84</f>
        <v>0</v>
      </c>
      <c r="BG84" s="84" t="n">
        <f aca="false">BD84+$F84*BE84</f>
        <v>0</v>
      </c>
      <c r="BH84" s="84" t="n">
        <f aca="false">BB84+(1-$F84)*BE84</f>
        <v>0</v>
      </c>
      <c r="BI84" s="84" t="n">
        <f aca="false">BG84</f>
        <v>0</v>
      </c>
      <c r="BJ84" s="133" t="n">
        <f aca="false">AW84+$D84*Inputs!$D$13-$D84*$E84</f>
        <v>7497.3</v>
      </c>
      <c r="BK84" s="84" t="n">
        <f aca="false">BJ84*(1+$I84)</f>
        <v>7572.273</v>
      </c>
      <c r="BL84" s="133" t="n">
        <f aca="false">BK84*Inputs!$D$14</f>
        <v>0</v>
      </c>
      <c r="BM84" s="84" t="n">
        <f aca="false">BK84-BL84</f>
        <v>7572.273</v>
      </c>
      <c r="BN84" s="133" t="n">
        <f aca="false">AZ84+$D84*Inputs!$D$13</f>
        <v>8000</v>
      </c>
      <c r="BO84" s="84" t="n">
        <f aca="false">MIN(BL84,BN84)</f>
        <v>0</v>
      </c>
      <c r="BP84" s="84" t="n">
        <f aca="false">BN84-BO84</f>
        <v>8000</v>
      </c>
      <c r="BQ84" s="84" t="n">
        <f aca="false">BC84+$G84*(BN84+BC84)</f>
        <v>985.6</v>
      </c>
      <c r="BR84" s="84" t="n">
        <f aca="false">MIN(BL84-BO84,BQ84)</f>
        <v>0</v>
      </c>
      <c r="BS84" s="84" t="n">
        <f aca="false">BQ84-BR84</f>
        <v>985.6</v>
      </c>
      <c r="BT84" s="84" t="n">
        <f aca="false">IF($H84=1,MIN(BL84-BO84-BR84,MAX(0,$F84/(1-$F84)*(BH84+BR84)-BI84)),0)</f>
        <v>0</v>
      </c>
      <c r="BU84" s="84" t="n">
        <f aca="false">BL84-BO84-BR84-BT84</f>
        <v>0</v>
      </c>
      <c r="BV84" s="84" t="n">
        <f aca="false">BO84+BR84+(1-$F84)*BU84</f>
        <v>0</v>
      </c>
      <c r="BW84" s="84" t="n">
        <f aca="false">BT84+$F84*BU84</f>
        <v>0</v>
      </c>
      <c r="BX84" s="84" t="n">
        <f aca="false">BH84+BR84+(1-$F84)*BU84</f>
        <v>0</v>
      </c>
      <c r="BY84" s="84" t="n">
        <f aca="false">BI84+BW84</f>
        <v>0</v>
      </c>
      <c r="BZ84" s="133" t="n">
        <f aca="false">BM84+$D84*Inputs!$E$13-$D84*$E84</f>
        <v>11302.273</v>
      </c>
      <c r="CA84" s="84" t="n">
        <f aca="false">BZ84*(1+$I84)</f>
        <v>11415.29573</v>
      </c>
      <c r="CB84" s="133" t="n">
        <f aca="false">CA84*Inputs!$E$14</f>
        <v>0</v>
      </c>
      <c r="CC84" s="84" t="n">
        <f aca="false">CA84-CB84</f>
        <v>11415.29573</v>
      </c>
      <c r="CD84" s="133" t="n">
        <f aca="false">BP84+$D84*Inputs!$E$13</f>
        <v>12000</v>
      </c>
      <c r="CE84" s="84" t="n">
        <f aca="false">MIN(CB84,CD84)</f>
        <v>0</v>
      </c>
      <c r="CF84" s="84" t="n">
        <f aca="false">CD84-CE84</f>
        <v>12000</v>
      </c>
      <c r="CG84" s="84" t="n">
        <f aca="false">BS84+$G84*(CD84+BS84)</f>
        <v>2024.448</v>
      </c>
      <c r="CH84" s="84" t="n">
        <f aca="false">MIN(CB84-CE84,CG84)</f>
        <v>0</v>
      </c>
      <c r="CI84" s="84" t="n">
        <f aca="false">CG84-CH84</f>
        <v>2024.448</v>
      </c>
      <c r="CJ84" s="84" t="n">
        <f aca="false">IF($H84=1,MIN(CB84-CE84-CH84,MAX(0,$F84/(1-$F84)*(BX84+CH84)-BY84)),0)</f>
        <v>0</v>
      </c>
      <c r="CK84" s="84" t="n">
        <f aca="false">CB84-CE84-CH84-CJ84</f>
        <v>0</v>
      </c>
      <c r="CL84" s="84" t="n">
        <f aca="false">CE84+CH84+(1-$F84)*CK84</f>
        <v>0</v>
      </c>
      <c r="CM84" s="84" t="n">
        <f aca="false">CJ84+$F84*CK84</f>
        <v>0</v>
      </c>
      <c r="CN84" s="84" t="n">
        <f aca="false">BX84+CH84+(1-$F84)*CK84</f>
        <v>0</v>
      </c>
      <c r="CO84" s="84" t="n">
        <f aca="false">BY84+CM84</f>
        <v>0</v>
      </c>
      <c r="CP84" s="133" t="n">
        <f aca="false">CC84+$D84*Inputs!$F$13-$D84*$E84</f>
        <v>15145.29573</v>
      </c>
      <c r="CQ84" s="84" t="n">
        <f aca="false">CP84*(1+$I84)</f>
        <v>15296.7486873</v>
      </c>
      <c r="CR84" s="133" t="n">
        <f aca="false">CQ84*Inputs!$F$14</f>
        <v>0</v>
      </c>
      <c r="CS84" s="84" t="n">
        <f aca="false">CQ84-CR84</f>
        <v>15296.7486873</v>
      </c>
      <c r="CT84" s="133" t="n">
        <f aca="false">CF84+$D84*Inputs!$F$13</f>
        <v>16000</v>
      </c>
      <c r="CU84" s="84" t="n">
        <f aca="false">MIN(CR84,CT84)</f>
        <v>0</v>
      </c>
      <c r="CV84" s="84" t="n">
        <f aca="false">CT84-CU84</f>
        <v>16000</v>
      </c>
      <c r="CW84" s="84" t="n">
        <f aca="false">CI84+$G84*(CT84+CI84)</f>
        <v>3466.40384</v>
      </c>
      <c r="CX84" s="84" t="n">
        <f aca="false">MIN(CR84-CU84,CW84)</f>
        <v>0</v>
      </c>
      <c r="CY84" s="84" t="n">
        <f aca="false">CW84-CX84</f>
        <v>3466.40384</v>
      </c>
      <c r="CZ84" s="84" t="n">
        <f aca="false">IF($H84=1,MIN(CR84-CU84-CX84,MAX(0,$F84/(1-$F84)*(CN84+CX84)-CO84)),0)</f>
        <v>0</v>
      </c>
      <c r="DA84" s="84" t="n">
        <f aca="false">CR84-CU84-CX84-CZ84</f>
        <v>0</v>
      </c>
      <c r="DB84" s="84" t="n">
        <f aca="false">CU84+CX84+(1-$F84)*DA84</f>
        <v>0</v>
      </c>
      <c r="DC84" s="84" t="n">
        <f aca="false">CZ84+$F84*DA84</f>
        <v>0</v>
      </c>
      <c r="DD84" s="84" t="n">
        <f aca="false">CN84+CX84+(1-$F84)*DA84</f>
        <v>0</v>
      </c>
      <c r="DE84" s="84" t="n">
        <f aca="false">CO84+DC84</f>
        <v>0</v>
      </c>
      <c r="DF84" s="133" t="n">
        <f aca="false">CS84+$D84*Inputs!$G$13-$D84*$E84</f>
        <v>19026.7486873</v>
      </c>
      <c r="DG84" s="84" t="n">
        <f aca="false">DF84*(1+$I84)</f>
        <v>19217.016174173</v>
      </c>
      <c r="DH84" s="133" t="n">
        <f aca="false">DG84*Inputs!$G$14</f>
        <v>3843.4032348346</v>
      </c>
      <c r="DI84" s="84" t="n">
        <f aca="false">DG84-DH84</f>
        <v>15373.6129393384</v>
      </c>
      <c r="DJ84" s="133" t="n">
        <f aca="false">CV84+$D84*Inputs!$G$13</f>
        <v>20000</v>
      </c>
      <c r="DK84" s="84" t="n">
        <f aca="false">MIN(DH84,DJ84)</f>
        <v>3843.4032348346</v>
      </c>
      <c r="DL84" s="84" t="n">
        <f aca="false">DJ84-DK84</f>
        <v>16156.5967651654</v>
      </c>
      <c r="DM84" s="84" t="n">
        <f aca="false">CY84+$G84*(DJ84+CY84)</f>
        <v>5343.7161472</v>
      </c>
      <c r="DN84" s="84" t="n">
        <f aca="false">MIN(DH84-DK84,DM84)</f>
        <v>0</v>
      </c>
      <c r="DO84" s="84" t="n">
        <f aca="false">DM84-DN84</f>
        <v>5343.7161472</v>
      </c>
      <c r="DP84" s="84" t="n">
        <f aca="false">IF($H84=1,MIN(DH84-DK84-DN84,MAX(0,$F84/(1-$F84)*(DD84+DN84)-DE84)),0)</f>
        <v>0</v>
      </c>
      <c r="DQ84" s="84" t="n">
        <f aca="false">DH84-DK84-DN84-DP84</f>
        <v>0</v>
      </c>
      <c r="DR84" s="84" t="n">
        <f aca="false">DK84+DN84+(1-$F84)*DQ84</f>
        <v>3843.4032348346</v>
      </c>
      <c r="DS84" s="84" t="n">
        <f aca="false">DP84+$F84*DQ84</f>
        <v>0</v>
      </c>
      <c r="DT84" s="84" t="n">
        <f aca="false">DD84+DN84+(1-$F84)*DQ84</f>
        <v>0</v>
      </c>
      <c r="DU84" s="84" t="n">
        <f aca="false">DE84+DS84</f>
        <v>0</v>
      </c>
      <c r="DV84" s="133" t="n">
        <f aca="false">DI84+$D84*Inputs!$H$13-$D84*$E84</f>
        <v>15103.6129393384</v>
      </c>
      <c r="DW84" s="84" t="n">
        <f aca="false">DV84*(1+$I84)</f>
        <v>15254.6490687318</v>
      </c>
      <c r="DX84" s="133" t="n">
        <f aca="false">DW84*Inputs!$H$14</f>
        <v>3050.92981374636</v>
      </c>
      <c r="DY84" s="84" t="n">
        <f aca="false">DW84-DX84</f>
        <v>12203.7192549854</v>
      </c>
      <c r="DZ84" s="133" t="n">
        <f aca="false">DL84+$D84*Inputs!$H$13</f>
        <v>16156.5967651654</v>
      </c>
      <c r="EA84" s="84" t="n">
        <f aca="false">MIN(DX84,DZ84)</f>
        <v>3050.92981374636</v>
      </c>
      <c r="EB84" s="84" t="n">
        <f aca="false">DZ84-EA84</f>
        <v>13105.666951419</v>
      </c>
      <c r="EC84" s="84" t="n">
        <f aca="false">DO84+$G84*(DZ84+DO84)</f>
        <v>7063.74118018923</v>
      </c>
      <c r="ED84" s="84" t="n">
        <f aca="false">MIN(DX84-EA84,EC84)</f>
        <v>0</v>
      </c>
      <c r="EE84" s="84" t="n">
        <f aca="false">EC84-ED84</f>
        <v>7063.74118018923</v>
      </c>
      <c r="EF84" s="84" t="n">
        <f aca="false">IF($H84=1,MIN(DX84-EA84-ED84,MAX(0,$F84/(1-$F84)*(DT84+ED84)-DU84)),0)</f>
        <v>0</v>
      </c>
      <c r="EG84" s="84" t="n">
        <f aca="false">DX84-EA84-ED84-EF84</f>
        <v>0</v>
      </c>
      <c r="EH84" s="84" t="n">
        <f aca="false">EA84+ED84+(1-$F84)*EG84</f>
        <v>3050.92981374636</v>
      </c>
      <c r="EI84" s="84" t="n">
        <f aca="false">EF84+$F84*EG84</f>
        <v>0</v>
      </c>
      <c r="EJ84" s="84" t="n">
        <f aca="false">DT84+ED84+(1-$F84)*EG84</f>
        <v>0</v>
      </c>
      <c r="EK84" s="84" t="n">
        <f aca="false">DU84+EI84</f>
        <v>0</v>
      </c>
      <c r="EL84" s="133" t="n">
        <f aca="false">DY84+$D84*Inputs!$I$13-$D84*$E84</f>
        <v>11933.7192549854</v>
      </c>
      <c r="EM84" s="84" t="n">
        <f aca="false">EL84*(1+$I84)</f>
        <v>12053.0564475353</v>
      </c>
      <c r="EN84" s="133" t="n">
        <f aca="false">EM84*Inputs!$I$14</f>
        <v>2410.61128950706</v>
      </c>
      <c r="EO84" s="84" t="n">
        <f aca="false">EM84-EN84</f>
        <v>9642.44515802822</v>
      </c>
      <c r="EP84" s="133" t="n">
        <f aca="false">EB84+$D84*Inputs!$I$13</f>
        <v>13105.666951419</v>
      </c>
      <c r="EQ84" s="84" t="n">
        <f aca="false">MIN(EN84,EP84)</f>
        <v>2410.61128950706</v>
      </c>
      <c r="ER84" s="84" t="n">
        <f aca="false">EP84-EQ84</f>
        <v>10695.055661912</v>
      </c>
      <c r="ES84" s="84" t="n">
        <f aca="false">EE84+$G84*(EP84+EE84)</f>
        <v>8677.29383071789</v>
      </c>
      <c r="ET84" s="84" t="n">
        <f aca="false">MIN(EN84-EQ84,ES84)</f>
        <v>0</v>
      </c>
      <c r="EU84" s="84" t="n">
        <f aca="false">ES84-ET84</f>
        <v>8677.29383071789</v>
      </c>
      <c r="EV84" s="84" t="n">
        <f aca="false">IF($H84=1,MIN(EN84-EQ84-ET84,MAX(0,$F84/(1-$F84)*(EJ84+ET84)-EK84)),0)</f>
        <v>0</v>
      </c>
      <c r="EW84" s="84" t="n">
        <f aca="false">EN84-EQ84-ET84-EV84</f>
        <v>0</v>
      </c>
      <c r="EX84" s="84" t="n">
        <f aca="false">EQ84+ET84+(1-$F84)*EW84</f>
        <v>2410.61128950706</v>
      </c>
      <c r="EY84" s="84" t="n">
        <f aca="false">EV84+$F84*EW84</f>
        <v>0</v>
      </c>
      <c r="EZ84" s="84" t="n">
        <f aca="false">EJ84+ET84+(1-$F84)*EW84</f>
        <v>0</v>
      </c>
      <c r="FA84" s="84" t="n">
        <f aca="false">EK84+EY84</f>
        <v>0</v>
      </c>
      <c r="FB84" s="133" t="n">
        <f aca="false">EO84+$D84*Inputs!$J$13-$D84*$E84</f>
        <v>9372.44515802822</v>
      </c>
      <c r="FC84" s="84" t="n">
        <f aca="false">FB84*(1+$I84)</f>
        <v>9466.16960960851</v>
      </c>
      <c r="FD84" s="133" t="n">
        <f aca="false">FC84*Inputs!$J$14</f>
        <v>1893.2339219217</v>
      </c>
      <c r="FE84" s="84" t="n">
        <f aca="false">FC84-FD84</f>
        <v>7572.93568768681</v>
      </c>
      <c r="FF84" s="133" t="n">
        <f aca="false">ER84+$D84*Inputs!$J$13</f>
        <v>10695.055661912</v>
      </c>
      <c r="FG84" s="84" t="n">
        <f aca="false">MIN(FD84,FF84)</f>
        <v>1893.2339219217</v>
      </c>
      <c r="FH84" s="84" t="n">
        <f aca="false">FF84-FG84</f>
        <v>8801.82173999028</v>
      </c>
      <c r="FI84" s="84" t="n">
        <f aca="false">EU84+$G84*(FF84+EU84)</f>
        <v>10227.0817901283</v>
      </c>
      <c r="FJ84" s="84" t="n">
        <f aca="false">MIN(FD84-FG84,FI84)</f>
        <v>0</v>
      </c>
      <c r="FK84" s="84" t="n">
        <f aca="false">FI84-FJ84</f>
        <v>10227.0817901283</v>
      </c>
      <c r="FL84" s="84" t="n">
        <f aca="false">IF($H84=1,MIN(FD84-FG84-FJ84,MAX(0,$F84/(1-$F84)*(EZ84+FJ84)-FA84)),0)</f>
        <v>0</v>
      </c>
      <c r="FM84" s="84" t="n">
        <f aca="false">FD84-FG84-FJ84-FL84</f>
        <v>0</v>
      </c>
      <c r="FN84" s="84" t="n">
        <f aca="false">FG84+FJ84+(1-$F84)*FM84</f>
        <v>1893.2339219217</v>
      </c>
      <c r="FO84" s="84" t="n">
        <f aca="false">FL84+$F84*FM84</f>
        <v>0</v>
      </c>
      <c r="FP84" s="84" t="n">
        <f aca="false">EZ84+FJ84+(1-$F84)*FM84</f>
        <v>0</v>
      </c>
      <c r="FQ84" s="84" t="n">
        <f aca="false">FA84+FO84</f>
        <v>0</v>
      </c>
      <c r="FR84" s="133" t="n">
        <f aca="false">FE84+$D84*Inputs!$K$13-$D84*$E84</f>
        <v>7302.93568768681</v>
      </c>
      <c r="FS84" s="84" t="n">
        <f aca="false">FR84*(1+$I84)</f>
        <v>7375.96504456367</v>
      </c>
      <c r="FT84" s="133" t="n">
        <f aca="false">FS84*Inputs!$K$14</f>
        <v>1475.19300891274</v>
      </c>
      <c r="FU84" s="84" t="n">
        <f aca="false">FS84-FT84</f>
        <v>5900.77203565094</v>
      </c>
      <c r="FV84" s="133" t="n">
        <f aca="false">FH84+$D84*Inputs!$K$13</f>
        <v>8801.82173999028</v>
      </c>
      <c r="FW84" s="84" t="n">
        <f aca="false">MIN(FT84,FV84)</f>
        <v>1475.19300891274</v>
      </c>
      <c r="FX84" s="84" t="n">
        <f aca="false">FV84-FW84</f>
        <v>7326.62873107755</v>
      </c>
      <c r="FY84" s="84" t="n">
        <f aca="false">FK84+$G84*(FV84+FK84)</f>
        <v>11749.3940725378</v>
      </c>
      <c r="FZ84" s="84" t="n">
        <f aca="false">MIN(FT84-FW84,FY84)</f>
        <v>0</v>
      </c>
      <c r="GA84" s="84" t="n">
        <f aca="false">FY84-FZ84</f>
        <v>11749.3940725378</v>
      </c>
      <c r="GB84" s="84" t="n">
        <f aca="false">IF($H84=1,MIN(FT84-FW84-FZ84,MAX(0,$F84/(1-$F84)*(FP84+FZ84)-FQ84)),0)</f>
        <v>0</v>
      </c>
      <c r="GC84" s="84" t="n">
        <f aca="false">FT84-FW84-FZ84-GB84</f>
        <v>0</v>
      </c>
      <c r="GD84" s="84" t="n">
        <f aca="false">FW84+FZ84+(1-$F84)*GC84</f>
        <v>1475.19300891274</v>
      </c>
      <c r="GE84" s="84" t="n">
        <f aca="false">GB84+$F84*GC84</f>
        <v>0</v>
      </c>
      <c r="GF84" s="84" t="n">
        <f aca="false">FP84+FZ84+(1-$F84)*GC84</f>
        <v>0</v>
      </c>
      <c r="GG84" s="84" t="n">
        <f aca="false">FQ84+GE84</f>
        <v>0</v>
      </c>
      <c r="GH84" s="133" t="n">
        <f aca="false">FU84+$D84*Inputs!$L$13-$D84*$E84</f>
        <v>5630.77203565094</v>
      </c>
      <c r="GI84" s="84" t="n">
        <f aca="false">GH84*(1+$I84)</f>
        <v>5687.07975600745</v>
      </c>
      <c r="GJ84" s="133" t="n">
        <f aca="false">GI84*Inputs!$L$14</f>
        <v>5687.07975600745</v>
      </c>
      <c r="GK84" s="84" t="n">
        <f aca="false">GI84-GJ84</f>
        <v>0</v>
      </c>
      <c r="GL84" s="133" t="n">
        <f aca="false">FX84+$D84*Inputs!$L$13</f>
        <v>7326.62873107755</v>
      </c>
      <c r="GM84" s="84" t="n">
        <f aca="false">MIN(GJ84,GL84)</f>
        <v>5687.07975600745</v>
      </c>
      <c r="GN84" s="84" t="n">
        <f aca="false">GL84-GM84</f>
        <v>1639.5489750701</v>
      </c>
      <c r="GO84" s="84" t="n">
        <f aca="false">GA84+$G84*(GL84+GA84)</f>
        <v>13275.475896827</v>
      </c>
      <c r="GP84" s="84" t="n">
        <f aca="false">MIN(GJ84-GM84,GO84)</f>
        <v>0</v>
      </c>
      <c r="GQ84" s="84" t="n">
        <f aca="false">GO84-GP84</f>
        <v>13275.475896827</v>
      </c>
      <c r="GR84" s="84" t="n">
        <f aca="false">IF($H84=1,MIN(GJ84-GM84-GP84,MAX(0,$F84/(1-$F84)*(GF84+GP84)-GG84)),0)</f>
        <v>0</v>
      </c>
      <c r="GS84" s="84" t="n">
        <f aca="false">GJ84-GM84-GP84-GR84</f>
        <v>0</v>
      </c>
      <c r="GT84" s="84" t="n">
        <f aca="false">GM84+GP84+(1-$F84)*GS84</f>
        <v>5687.07975600745</v>
      </c>
      <c r="GU84" s="84" t="n">
        <f aca="false">GR84+$F84*GS84</f>
        <v>0</v>
      </c>
      <c r="GV84" s="84" t="n">
        <f aca="false">GF84+GP84+(1-$F84)*GS84</f>
        <v>0</v>
      </c>
      <c r="GW84" s="84" t="n">
        <f aca="false">GG84+GU84</f>
        <v>0</v>
      </c>
    </row>
    <row r="85" customFormat="false" ht="15" hidden="false" customHeight="false" outlineLevel="0" collapsed="false">
      <c r="A85" s="5" t="s">
        <v>639</v>
      </c>
      <c r="B85" s="5" t="s">
        <v>427</v>
      </c>
      <c r="C85" s="135" t="n">
        <v>2</v>
      </c>
      <c r="D85" s="47" t="n">
        <f aca="false">Inputs!$C$6</f>
        <v>20000</v>
      </c>
      <c r="E85" s="35" t="n">
        <f aca="false">Inputs!$C$19</f>
        <v>0.0135</v>
      </c>
      <c r="F85" s="36" t="n">
        <f aca="false">Inputs!$C$20</f>
        <v>0.2</v>
      </c>
      <c r="G85" s="36" t="n">
        <f aca="false">Inputs!$C$22</f>
        <v>0.08</v>
      </c>
      <c r="H85" s="27" t="n">
        <v>0</v>
      </c>
      <c r="I85" s="132" t="n">
        <f aca="false">Inputs!$C$38+$C85*Inputs!$C$39</f>
        <v>0.02</v>
      </c>
      <c r="J85" s="36" t="n">
        <f aca="false">Inputs!$C$9</f>
        <v>0.15</v>
      </c>
      <c r="K85" s="89" t="n">
        <f aca="false">IRR(W85:AG85,0.1)</f>
        <v>-0.00460606780939016</v>
      </c>
      <c r="L85" s="45" t="n">
        <f aca="false">W85+NPV($J85,X85:AG85)</f>
        <v>-8479.54922696293</v>
      </c>
      <c r="M85" s="45" t="n">
        <f aca="false">SUM(BF85,BV85,CL85,DB85,DR85,EH85,EX85,FN85,GD85,GT85)</f>
        <v>19484.4165653243</v>
      </c>
      <c r="N85" s="43" t="n">
        <f aca="false">IF($D85*SUM(Inputs!$C$13:$L$13)=0,0,M85/($D85*SUM(Inputs!$C$13:$L$13)))</f>
        <v>0.974220828266213</v>
      </c>
      <c r="O85" s="42" t="n">
        <f aca="false">$D85*$E85*COLUMNS(Inputs!$C$13:$L$13)</f>
        <v>2700</v>
      </c>
      <c r="P85" s="45" t="n">
        <f aca="false">SUM(BG85,BW85,CM85,DC85,DS85,EI85,EY85,FO85,GE85,GU85)</f>
        <v>0</v>
      </c>
      <c r="Q85" s="42" t="n">
        <f aca="false">PV($J85,COLUMNS(Inputs!$C$13:$L$13),-$D85*$E85,0,1)</f>
        <v>1558.32765832774</v>
      </c>
      <c r="R85" s="45" t="n">
        <f aca="false">NPV($J85,BG85,BW85,CM85,DC85,DS85,EI85,EY85,FO85,GE85,GU85)</f>
        <v>0</v>
      </c>
      <c r="S85" s="45" t="n">
        <f aca="false">Q85+R85</f>
        <v>1558.32765832774</v>
      </c>
      <c r="T85" s="32" t="n">
        <f aca="false">IF(S85=0,0,Q85/S85)</f>
        <v>1</v>
      </c>
      <c r="U85" s="45" t="n">
        <f aca="false">ROUND(ABS(GK85)+ABS(SUM(AV85,BL85,CB85,CR85,DH85,DX85,EN85,FD85,FT85,GJ85)-M85-P85)+ABS(S85-(AH85+NPV($J85,AI85:AR85))),6)</f>
        <v>0</v>
      </c>
      <c r="W85" s="133" t="n">
        <f aca="false">-$D85*Inputs!$C$13</f>
        <v>-4000</v>
      </c>
      <c r="X85" s="133" t="n">
        <f aca="false">BF85-$D85*Inputs!$D$13</f>
        <v>-4000</v>
      </c>
      <c r="Y85" s="133" t="n">
        <f aca="false">BV85-$D85*Inputs!$E$13</f>
        <v>-4000</v>
      </c>
      <c r="Z85" s="133" t="n">
        <f aca="false">CL85-$D85*Inputs!$F$13</f>
        <v>-4000</v>
      </c>
      <c r="AA85" s="133" t="n">
        <f aca="false">DB85-$D85*Inputs!$G$13</f>
        <v>-4000</v>
      </c>
      <c r="AB85" s="133" t="n">
        <f aca="false">DR85-$D85*Inputs!$H$13</f>
        <v>3959.8582385472</v>
      </c>
      <c r="AC85" s="133" t="n">
        <f aca="false">EH85-$D85*Inputs!$I$13</f>
        <v>3176.16432265452</v>
      </c>
      <c r="AD85" s="133" t="n">
        <f aca="false">EX85-$D85*Inputs!$J$13</f>
        <v>2536.67008728609</v>
      </c>
      <c r="AE85" s="133" t="n">
        <f aca="false">FN85-$D85*Inputs!$K$13</f>
        <v>2014.84279122545</v>
      </c>
      <c r="AF85" s="133" t="n">
        <f aca="false">GD85-$D85*Inputs!$L$13</f>
        <v>1589.03171763996</v>
      </c>
      <c r="AG85" s="84" t="n">
        <f aca="false">GT85</f>
        <v>6207.84940797105</v>
      </c>
      <c r="AH85" s="84" t="n">
        <f aca="false">$D85*$E85</f>
        <v>270</v>
      </c>
      <c r="AI85" s="84" t="n">
        <f aca="false">BG85+$D85*$E85</f>
        <v>270</v>
      </c>
      <c r="AJ85" s="84" t="n">
        <f aca="false">BW85+$D85*$E85</f>
        <v>270</v>
      </c>
      <c r="AK85" s="84" t="n">
        <f aca="false">CM85+$D85*$E85</f>
        <v>270</v>
      </c>
      <c r="AL85" s="84" t="n">
        <f aca="false">DC85+$D85*$E85</f>
        <v>270</v>
      </c>
      <c r="AM85" s="84" t="n">
        <f aca="false">DS85+$D85*$E85</f>
        <v>270</v>
      </c>
      <c r="AN85" s="84" t="n">
        <f aca="false">EI85+$D85*$E85</f>
        <v>270</v>
      </c>
      <c r="AO85" s="84" t="n">
        <f aca="false">EY85+$D85*$E85</f>
        <v>270</v>
      </c>
      <c r="AP85" s="84" t="n">
        <f aca="false">FO85+$D85*$E85</f>
        <v>270</v>
      </c>
      <c r="AQ85" s="84" t="n">
        <f aca="false">GE85+$D85*$E85</f>
        <v>270</v>
      </c>
      <c r="AR85" s="84" t="n">
        <f aca="false">GU85</f>
        <v>0</v>
      </c>
      <c r="AT85" s="133" t="n">
        <f aca="false">$D85*Inputs!$C$13-$D85*$E85</f>
        <v>3730</v>
      </c>
      <c r="AU85" s="84" t="n">
        <f aca="false">AT85*(1+$I85)</f>
        <v>3804.6</v>
      </c>
      <c r="AV85" s="133" t="n">
        <f aca="false">AU85*Inputs!$C$14</f>
        <v>0</v>
      </c>
      <c r="AW85" s="84" t="n">
        <f aca="false">AU85-AV85</f>
        <v>3804.6</v>
      </c>
      <c r="AX85" s="133" t="n">
        <f aca="false">$D85*Inputs!$C$13</f>
        <v>4000</v>
      </c>
      <c r="AY85" s="84" t="n">
        <f aca="false">MIN(AV85,AX85)</f>
        <v>0</v>
      </c>
      <c r="AZ85" s="84" t="n">
        <f aca="false">AX85-AY85</f>
        <v>4000</v>
      </c>
      <c r="BA85" s="84" t="n">
        <f aca="false">$G85*AX85</f>
        <v>320</v>
      </c>
      <c r="BB85" s="84" t="n">
        <f aca="false">MIN(AV85-AY85,BA85)</f>
        <v>0</v>
      </c>
      <c r="BC85" s="84" t="n">
        <f aca="false">BA85-BB85</f>
        <v>320</v>
      </c>
      <c r="BD85" s="84" t="n">
        <f aca="false">IF($H85=1,MIN(AV85-AY85-BB85,MAX(0,$F85/(1-$F85)*BB85)),0)</f>
        <v>0</v>
      </c>
      <c r="BE85" s="84" t="n">
        <f aca="false">AV85-AY85-BB85-BD85</f>
        <v>0</v>
      </c>
      <c r="BF85" s="84" t="n">
        <f aca="false">AY85+BB85+(1-$F85)*BE85</f>
        <v>0</v>
      </c>
      <c r="BG85" s="84" t="n">
        <f aca="false">BD85+$F85*BE85</f>
        <v>0</v>
      </c>
      <c r="BH85" s="84" t="n">
        <f aca="false">BB85+(1-$F85)*BE85</f>
        <v>0</v>
      </c>
      <c r="BI85" s="84" t="n">
        <f aca="false">BG85</f>
        <v>0</v>
      </c>
      <c r="BJ85" s="133" t="n">
        <f aca="false">AW85+$D85*Inputs!$D$13-$D85*$E85</f>
        <v>7534.6</v>
      </c>
      <c r="BK85" s="84" t="n">
        <f aca="false">BJ85*(1+$I85)</f>
        <v>7685.292</v>
      </c>
      <c r="BL85" s="133" t="n">
        <f aca="false">BK85*Inputs!$D$14</f>
        <v>0</v>
      </c>
      <c r="BM85" s="84" t="n">
        <f aca="false">BK85-BL85</f>
        <v>7685.292</v>
      </c>
      <c r="BN85" s="133" t="n">
        <f aca="false">AZ85+$D85*Inputs!$D$13</f>
        <v>8000</v>
      </c>
      <c r="BO85" s="84" t="n">
        <f aca="false">MIN(BL85,BN85)</f>
        <v>0</v>
      </c>
      <c r="BP85" s="84" t="n">
        <f aca="false">BN85-BO85</f>
        <v>8000</v>
      </c>
      <c r="BQ85" s="84" t="n">
        <f aca="false">BC85+$G85*(BN85+BC85)</f>
        <v>985.6</v>
      </c>
      <c r="BR85" s="84" t="n">
        <f aca="false">MIN(BL85-BO85,BQ85)</f>
        <v>0</v>
      </c>
      <c r="BS85" s="84" t="n">
        <f aca="false">BQ85-BR85</f>
        <v>985.6</v>
      </c>
      <c r="BT85" s="84" t="n">
        <f aca="false">IF($H85=1,MIN(BL85-BO85-BR85,MAX(0,$F85/(1-$F85)*(BH85+BR85)-BI85)),0)</f>
        <v>0</v>
      </c>
      <c r="BU85" s="84" t="n">
        <f aca="false">BL85-BO85-BR85-BT85</f>
        <v>0</v>
      </c>
      <c r="BV85" s="84" t="n">
        <f aca="false">BO85+BR85+(1-$F85)*BU85</f>
        <v>0</v>
      </c>
      <c r="BW85" s="84" t="n">
        <f aca="false">BT85+$F85*BU85</f>
        <v>0</v>
      </c>
      <c r="BX85" s="84" t="n">
        <f aca="false">BH85+BR85+(1-$F85)*BU85</f>
        <v>0</v>
      </c>
      <c r="BY85" s="84" t="n">
        <f aca="false">BI85+BW85</f>
        <v>0</v>
      </c>
      <c r="BZ85" s="133" t="n">
        <f aca="false">BM85+$D85*Inputs!$E$13-$D85*$E85</f>
        <v>11415.292</v>
      </c>
      <c r="CA85" s="84" t="n">
        <f aca="false">BZ85*(1+$I85)</f>
        <v>11643.59784</v>
      </c>
      <c r="CB85" s="133" t="n">
        <f aca="false">CA85*Inputs!$E$14</f>
        <v>0</v>
      </c>
      <c r="CC85" s="84" t="n">
        <f aca="false">CA85-CB85</f>
        <v>11643.59784</v>
      </c>
      <c r="CD85" s="133" t="n">
        <f aca="false">BP85+$D85*Inputs!$E$13</f>
        <v>12000</v>
      </c>
      <c r="CE85" s="84" t="n">
        <f aca="false">MIN(CB85,CD85)</f>
        <v>0</v>
      </c>
      <c r="CF85" s="84" t="n">
        <f aca="false">CD85-CE85</f>
        <v>12000</v>
      </c>
      <c r="CG85" s="84" t="n">
        <f aca="false">BS85+$G85*(CD85+BS85)</f>
        <v>2024.448</v>
      </c>
      <c r="CH85" s="84" t="n">
        <f aca="false">MIN(CB85-CE85,CG85)</f>
        <v>0</v>
      </c>
      <c r="CI85" s="84" t="n">
        <f aca="false">CG85-CH85</f>
        <v>2024.448</v>
      </c>
      <c r="CJ85" s="84" t="n">
        <f aca="false">IF($H85=1,MIN(CB85-CE85-CH85,MAX(0,$F85/(1-$F85)*(BX85+CH85)-BY85)),0)</f>
        <v>0</v>
      </c>
      <c r="CK85" s="84" t="n">
        <f aca="false">CB85-CE85-CH85-CJ85</f>
        <v>0</v>
      </c>
      <c r="CL85" s="84" t="n">
        <f aca="false">CE85+CH85+(1-$F85)*CK85</f>
        <v>0</v>
      </c>
      <c r="CM85" s="84" t="n">
        <f aca="false">CJ85+$F85*CK85</f>
        <v>0</v>
      </c>
      <c r="CN85" s="84" t="n">
        <f aca="false">BX85+CH85+(1-$F85)*CK85</f>
        <v>0</v>
      </c>
      <c r="CO85" s="84" t="n">
        <f aca="false">BY85+CM85</f>
        <v>0</v>
      </c>
      <c r="CP85" s="133" t="n">
        <f aca="false">CC85+$D85*Inputs!$F$13-$D85*$E85</f>
        <v>15373.59784</v>
      </c>
      <c r="CQ85" s="84" t="n">
        <f aca="false">CP85*(1+$I85)</f>
        <v>15681.0697968</v>
      </c>
      <c r="CR85" s="133" t="n">
        <f aca="false">CQ85*Inputs!$F$14</f>
        <v>0</v>
      </c>
      <c r="CS85" s="84" t="n">
        <f aca="false">CQ85-CR85</f>
        <v>15681.0697968</v>
      </c>
      <c r="CT85" s="133" t="n">
        <f aca="false">CF85+$D85*Inputs!$F$13</f>
        <v>16000</v>
      </c>
      <c r="CU85" s="84" t="n">
        <f aca="false">MIN(CR85,CT85)</f>
        <v>0</v>
      </c>
      <c r="CV85" s="84" t="n">
        <f aca="false">CT85-CU85</f>
        <v>16000</v>
      </c>
      <c r="CW85" s="84" t="n">
        <f aca="false">CI85+$G85*(CT85+CI85)</f>
        <v>3466.40384</v>
      </c>
      <c r="CX85" s="84" t="n">
        <f aca="false">MIN(CR85-CU85,CW85)</f>
        <v>0</v>
      </c>
      <c r="CY85" s="84" t="n">
        <f aca="false">CW85-CX85</f>
        <v>3466.40384</v>
      </c>
      <c r="CZ85" s="84" t="n">
        <f aca="false">IF($H85=1,MIN(CR85-CU85-CX85,MAX(0,$F85/(1-$F85)*(CN85+CX85)-CO85)),0)</f>
        <v>0</v>
      </c>
      <c r="DA85" s="84" t="n">
        <f aca="false">CR85-CU85-CX85-CZ85</f>
        <v>0</v>
      </c>
      <c r="DB85" s="84" t="n">
        <f aca="false">CU85+CX85+(1-$F85)*DA85</f>
        <v>0</v>
      </c>
      <c r="DC85" s="84" t="n">
        <f aca="false">CZ85+$F85*DA85</f>
        <v>0</v>
      </c>
      <c r="DD85" s="84" t="n">
        <f aca="false">CN85+CX85+(1-$F85)*DA85</f>
        <v>0</v>
      </c>
      <c r="DE85" s="84" t="n">
        <f aca="false">CO85+DC85</f>
        <v>0</v>
      </c>
      <c r="DF85" s="133" t="n">
        <f aca="false">CS85+$D85*Inputs!$G$13-$D85*$E85</f>
        <v>19411.0697968</v>
      </c>
      <c r="DG85" s="84" t="n">
        <f aca="false">DF85*(1+$I85)</f>
        <v>19799.291192736</v>
      </c>
      <c r="DH85" s="133" t="n">
        <f aca="false">DG85*Inputs!$G$14</f>
        <v>3959.8582385472</v>
      </c>
      <c r="DI85" s="84" t="n">
        <f aca="false">DG85-DH85</f>
        <v>15839.4329541888</v>
      </c>
      <c r="DJ85" s="133" t="n">
        <f aca="false">CV85+$D85*Inputs!$G$13</f>
        <v>20000</v>
      </c>
      <c r="DK85" s="84" t="n">
        <f aca="false">MIN(DH85,DJ85)</f>
        <v>3959.8582385472</v>
      </c>
      <c r="DL85" s="84" t="n">
        <f aca="false">DJ85-DK85</f>
        <v>16040.1417614528</v>
      </c>
      <c r="DM85" s="84" t="n">
        <f aca="false">CY85+$G85*(DJ85+CY85)</f>
        <v>5343.7161472</v>
      </c>
      <c r="DN85" s="84" t="n">
        <f aca="false">MIN(DH85-DK85,DM85)</f>
        <v>0</v>
      </c>
      <c r="DO85" s="84" t="n">
        <f aca="false">DM85-DN85</f>
        <v>5343.7161472</v>
      </c>
      <c r="DP85" s="84" t="n">
        <f aca="false">IF($H85=1,MIN(DH85-DK85-DN85,MAX(0,$F85/(1-$F85)*(DD85+DN85)-DE85)),0)</f>
        <v>0</v>
      </c>
      <c r="DQ85" s="84" t="n">
        <f aca="false">DH85-DK85-DN85-DP85</f>
        <v>0</v>
      </c>
      <c r="DR85" s="84" t="n">
        <f aca="false">DK85+DN85+(1-$F85)*DQ85</f>
        <v>3959.8582385472</v>
      </c>
      <c r="DS85" s="84" t="n">
        <f aca="false">DP85+$F85*DQ85</f>
        <v>0</v>
      </c>
      <c r="DT85" s="84" t="n">
        <f aca="false">DD85+DN85+(1-$F85)*DQ85</f>
        <v>0</v>
      </c>
      <c r="DU85" s="84" t="n">
        <f aca="false">DE85+DS85</f>
        <v>0</v>
      </c>
      <c r="DV85" s="133" t="n">
        <f aca="false">DI85+$D85*Inputs!$H$13-$D85*$E85</f>
        <v>15569.4329541888</v>
      </c>
      <c r="DW85" s="84" t="n">
        <f aca="false">DV85*(1+$I85)</f>
        <v>15880.8216132726</v>
      </c>
      <c r="DX85" s="133" t="n">
        <f aca="false">DW85*Inputs!$H$14</f>
        <v>3176.16432265452</v>
      </c>
      <c r="DY85" s="84" t="n">
        <f aca="false">DW85-DX85</f>
        <v>12704.6572906181</v>
      </c>
      <c r="DZ85" s="133" t="n">
        <f aca="false">DL85+$D85*Inputs!$H$13</f>
        <v>16040.1417614528</v>
      </c>
      <c r="EA85" s="84" t="n">
        <f aca="false">MIN(DX85,DZ85)</f>
        <v>3176.16432265452</v>
      </c>
      <c r="EB85" s="84" t="n">
        <f aca="false">DZ85-EA85</f>
        <v>12863.9774387983</v>
      </c>
      <c r="EC85" s="84" t="n">
        <f aca="false">DO85+$G85*(DZ85+DO85)</f>
        <v>7054.42477989222</v>
      </c>
      <c r="ED85" s="84" t="n">
        <f aca="false">MIN(DX85-EA85,EC85)</f>
        <v>0</v>
      </c>
      <c r="EE85" s="84" t="n">
        <f aca="false">EC85-ED85</f>
        <v>7054.42477989222</v>
      </c>
      <c r="EF85" s="84" t="n">
        <f aca="false">IF($H85=1,MIN(DX85-EA85-ED85,MAX(0,$F85/(1-$F85)*(DT85+ED85)-DU85)),0)</f>
        <v>0</v>
      </c>
      <c r="EG85" s="84" t="n">
        <f aca="false">DX85-EA85-ED85-EF85</f>
        <v>0</v>
      </c>
      <c r="EH85" s="84" t="n">
        <f aca="false">EA85+ED85+(1-$F85)*EG85</f>
        <v>3176.16432265452</v>
      </c>
      <c r="EI85" s="84" t="n">
        <f aca="false">EF85+$F85*EG85</f>
        <v>0</v>
      </c>
      <c r="EJ85" s="84" t="n">
        <f aca="false">DT85+ED85+(1-$F85)*EG85</f>
        <v>0</v>
      </c>
      <c r="EK85" s="84" t="n">
        <f aca="false">DU85+EI85</f>
        <v>0</v>
      </c>
      <c r="EL85" s="133" t="n">
        <f aca="false">DY85+$D85*Inputs!$I$13-$D85*$E85</f>
        <v>12434.6572906181</v>
      </c>
      <c r="EM85" s="84" t="n">
        <f aca="false">EL85*(1+$I85)</f>
        <v>12683.3504364304</v>
      </c>
      <c r="EN85" s="133" t="n">
        <f aca="false">EM85*Inputs!$I$14</f>
        <v>2536.67008728609</v>
      </c>
      <c r="EO85" s="84" t="n">
        <f aca="false">EM85-EN85</f>
        <v>10146.6803491443</v>
      </c>
      <c r="EP85" s="133" t="n">
        <f aca="false">EB85+$D85*Inputs!$I$13</f>
        <v>12863.9774387983</v>
      </c>
      <c r="EQ85" s="84" t="n">
        <f aca="false">MIN(EN85,EP85)</f>
        <v>2536.67008728609</v>
      </c>
      <c r="ER85" s="84" t="n">
        <f aca="false">EP85-EQ85</f>
        <v>10327.3073515122</v>
      </c>
      <c r="ES85" s="84" t="n">
        <f aca="false">EE85+$G85*(EP85+EE85)</f>
        <v>8647.89695738746</v>
      </c>
      <c r="ET85" s="84" t="n">
        <f aca="false">MIN(EN85-EQ85,ES85)</f>
        <v>0</v>
      </c>
      <c r="EU85" s="84" t="n">
        <f aca="false">ES85-ET85</f>
        <v>8647.89695738746</v>
      </c>
      <c r="EV85" s="84" t="n">
        <f aca="false">IF($H85=1,MIN(EN85-EQ85-ET85,MAX(0,$F85/(1-$F85)*(EJ85+ET85)-EK85)),0)</f>
        <v>0</v>
      </c>
      <c r="EW85" s="84" t="n">
        <f aca="false">EN85-EQ85-ET85-EV85</f>
        <v>0</v>
      </c>
      <c r="EX85" s="84" t="n">
        <f aca="false">EQ85+ET85+(1-$F85)*EW85</f>
        <v>2536.67008728609</v>
      </c>
      <c r="EY85" s="84" t="n">
        <f aca="false">EV85+$F85*EW85</f>
        <v>0</v>
      </c>
      <c r="EZ85" s="84" t="n">
        <f aca="false">EJ85+ET85+(1-$F85)*EW85</f>
        <v>0</v>
      </c>
      <c r="FA85" s="84" t="n">
        <f aca="false">EK85+EY85</f>
        <v>0</v>
      </c>
      <c r="FB85" s="133" t="n">
        <f aca="false">EO85+$D85*Inputs!$J$13-$D85*$E85</f>
        <v>9876.68034914434</v>
      </c>
      <c r="FC85" s="84" t="n">
        <f aca="false">FB85*(1+$I85)</f>
        <v>10074.2139561272</v>
      </c>
      <c r="FD85" s="133" t="n">
        <f aca="false">FC85*Inputs!$J$14</f>
        <v>2014.84279122545</v>
      </c>
      <c r="FE85" s="84" t="n">
        <f aca="false">FC85-FD85</f>
        <v>8059.37116490178</v>
      </c>
      <c r="FF85" s="133" t="n">
        <f aca="false">ER85+$D85*Inputs!$J$13</f>
        <v>10327.3073515122</v>
      </c>
      <c r="FG85" s="84" t="n">
        <f aca="false">MIN(FD85,FF85)</f>
        <v>2014.84279122545</v>
      </c>
      <c r="FH85" s="84" t="n">
        <f aca="false">FF85-FG85</f>
        <v>8312.46456028675</v>
      </c>
      <c r="FI85" s="84" t="n">
        <f aca="false">EU85+$G85*(FF85+EU85)</f>
        <v>10165.9133020994</v>
      </c>
      <c r="FJ85" s="84" t="n">
        <f aca="false">MIN(FD85-FG85,FI85)</f>
        <v>0</v>
      </c>
      <c r="FK85" s="84" t="n">
        <f aca="false">FI85-FJ85</f>
        <v>10165.9133020994</v>
      </c>
      <c r="FL85" s="84" t="n">
        <f aca="false">IF($H85=1,MIN(FD85-FG85-FJ85,MAX(0,$F85/(1-$F85)*(EZ85+FJ85)-FA85)),0)</f>
        <v>0</v>
      </c>
      <c r="FM85" s="84" t="n">
        <f aca="false">FD85-FG85-FJ85-FL85</f>
        <v>0</v>
      </c>
      <c r="FN85" s="84" t="n">
        <f aca="false">FG85+FJ85+(1-$F85)*FM85</f>
        <v>2014.84279122545</v>
      </c>
      <c r="FO85" s="84" t="n">
        <f aca="false">FL85+$F85*FM85</f>
        <v>0</v>
      </c>
      <c r="FP85" s="84" t="n">
        <f aca="false">EZ85+FJ85+(1-$F85)*FM85</f>
        <v>0</v>
      </c>
      <c r="FQ85" s="84" t="n">
        <f aca="false">FA85+FO85</f>
        <v>0</v>
      </c>
      <c r="FR85" s="133" t="n">
        <f aca="false">FE85+$D85*Inputs!$K$13-$D85*$E85</f>
        <v>7789.37116490178</v>
      </c>
      <c r="FS85" s="84" t="n">
        <f aca="false">FR85*(1+$I85)</f>
        <v>7945.15858819982</v>
      </c>
      <c r="FT85" s="133" t="n">
        <f aca="false">FS85*Inputs!$K$14</f>
        <v>1589.03171763996</v>
      </c>
      <c r="FU85" s="84" t="n">
        <f aca="false">FS85-FT85</f>
        <v>6356.12687055985</v>
      </c>
      <c r="FV85" s="133" t="n">
        <f aca="false">FH85+$D85*Inputs!$K$13</f>
        <v>8312.46456028675</v>
      </c>
      <c r="FW85" s="84" t="n">
        <f aca="false">MIN(FT85,FV85)</f>
        <v>1589.03171763996</v>
      </c>
      <c r="FX85" s="84" t="n">
        <f aca="false">FV85-FW85</f>
        <v>6723.43284264679</v>
      </c>
      <c r="FY85" s="84" t="n">
        <f aca="false">FK85+$G85*(FV85+FK85)</f>
        <v>11644.1835310903</v>
      </c>
      <c r="FZ85" s="84" t="n">
        <f aca="false">MIN(FT85-FW85,FY85)</f>
        <v>0</v>
      </c>
      <c r="GA85" s="84" t="n">
        <f aca="false">FY85-FZ85</f>
        <v>11644.1835310903</v>
      </c>
      <c r="GB85" s="84" t="n">
        <f aca="false">IF($H85=1,MIN(FT85-FW85-FZ85,MAX(0,$F85/(1-$F85)*(FP85+FZ85)-FQ85)),0)</f>
        <v>0</v>
      </c>
      <c r="GC85" s="84" t="n">
        <f aca="false">FT85-FW85-FZ85-GB85</f>
        <v>0</v>
      </c>
      <c r="GD85" s="84" t="n">
        <f aca="false">FW85+FZ85+(1-$F85)*GC85</f>
        <v>1589.03171763996</v>
      </c>
      <c r="GE85" s="84" t="n">
        <f aca="false">GB85+$F85*GC85</f>
        <v>0</v>
      </c>
      <c r="GF85" s="84" t="n">
        <f aca="false">FP85+FZ85+(1-$F85)*GC85</f>
        <v>0</v>
      </c>
      <c r="GG85" s="84" t="n">
        <f aca="false">FQ85+GE85</f>
        <v>0</v>
      </c>
      <c r="GH85" s="133" t="n">
        <f aca="false">FU85+$D85*Inputs!$L$13-$D85*$E85</f>
        <v>6086.12687055985</v>
      </c>
      <c r="GI85" s="84" t="n">
        <f aca="false">GH85*(1+$I85)</f>
        <v>6207.84940797105</v>
      </c>
      <c r="GJ85" s="133" t="n">
        <f aca="false">GI85*Inputs!$L$14</f>
        <v>6207.84940797105</v>
      </c>
      <c r="GK85" s="84" t="n">
        <f aca="false">GI85-GJ85</f>
        <v>0</v>
      </c>
      <c r="GL85" s="133" t="n">
        <f aca="false">FX85+$D85*Inputs!$L$13</f>
        <v>6723.43284264679</v>
      </c>
      <c r="GM85" s="84" t="n">
        <f aca="false">MIN(GJ85,GL85)</f>
        <v>6207.84940797105</v>
      </c>
      <c r="GN85" s="84" t="n">
        <f aca="false">GL85-GM85</f>
        <v>515.58343467574</v>
      </c>
      <c r="GO85" s="84" t="n">
        <f aca="false">GA85+$G85*(GL85+GA85)</f>
        <v>13113.5928409893</v>
      </c>
      <c r="GP85" s="84" t="n">
        <f aca="false">MIN(GJ85-GM85,GO85)</f>
        <v>0</v>
      </c>
      <c r="GQ85" s="84" t="n">
        <f aca="false">GO85-GP85</f>
        <v>13113.5928409893</v>
      </c>
      <c r="GR85" s="84" t="n">
        <f aca="false">IF($H85=1,MIN(GJ85-GM85-GP85,MAX(0,$F85/(1-$F85)*(GF85+GP85)-GG85)),0)</f>
        <v>0</v>
      </c>
      <c r="GS85" s="84" t="n">
        <f aca="false">GJ85-GM85-GP85-GR85</f>
        <v>0</v>
      </c>
      <c r="GT85" s="84" t="n">
        <f aca="false">GM85+GP85+(1-$F85)*GS85</f>
        <v>6207.84940797105</v>
      </c>
      <c r="GU85" s="84" t="n">
        <f aca="false">GR85+$F85*GS85</f>
        <v>0</v>
      </c>
      <c r="GV85" s="84" t="n">
        <f aca="false">GF85+GP85+(1-$F85)*GS85</f>
        <v>0</v>
      </c>
      <c r="GW85" s="84" t="n">
        <f aca="false">GG85+GU85</f>
        <v>0</v>
      </c>
    </row>
    <row r="86" customFormat="false" ht="15" hidden="false" customHeight="false" outlineLevel="0" collapsed="false">
      <c r="A86" s="5" t="s">
        <v>639</v>
      </c>
      <c r="B86" s="5" t="s">
        <v>427</v>
      </c>
      <c r="C86" s="135" t="n">
        <v>3</v>
      </c>
      <c r="D86" s="47" t="n">
        <f aca="false">Inputs!$C$6</f>
        <v>20000</v>
      </c>
      <c r="E86" s="35" t="n">
        <f aca="false">Inputs!$C$19</f>
        <v>0.0135</v>
      </c>
      <c r="F86" s="36" t="n">
        <f aca="false">Inputs!$C$20</f>
        <v>0.2</v>
      </c>
      <c r="G86" s="36" t="n">
        <f aca="false">Inputs!$C$22</f>
        <v>0.08</v>
      </c>
      <c r="H86" s="27" t="n">
        <v>0</v>
      </c>
      <c r="I86" s="132" t="n">
        <f aca="false">Inputs!$C$38+$C86*Inputs!$C$39</f>
        <v>0.03</v>
      </c>
      <c r="J86" s="36" t="n">
        <f aca="false">Inputs!$C$9</f>
        <v>0.15</v>
      </c>
      <c r="K86" s="89" t="n">
        <f aca="false">IRR(W86:AG86,0.1)</f>
        <v>0.00585372794982102</v>
      </c>
      <c r="L86" s="45" t="n">
        <f aca="false">W86+NPV($J86,X86:AG86)</f>
        <v>-8099.54344747247</v>
      </c>
      <c r="M86" s="45" t="n">
        <f aca="false">SUM(BF86,BV86,CL86,DB86,DR86,EH86,EX86,FN86,GD86,GT86)</f>
        <v>20675.5213852755</v>
      </c>
      <c r="N86" s="43" t="n">
        <f aca="false">IF($D86*SUM(Inputs!$C$13:$L$13)=0,0,M86/($D86*SUM(Inputs!$C$13:$L$13)))</f>
        <v>1.03377606926378</v>
      </c>
      <c r="O86" s="42" t="n">
        <f aca="false">$D86*$E86*COLUMNS(Inputs!$C$13:$L$13)</f>
        <v>2700</v>
      </c>
      <c r="P86" s="45" t="n">
        <f aca="false">SUM(BG86,BW86,CM86,DC86,DS86,EI86,EY86,FO86,GE86,GU86)</f>
        <v>0</v>
      </c>
      <c r="Q86" s="42" t="n">
        <f aca="false">PV($J86,COLUMNS(Inputs!$C$13:$L$13),-$D86*$E86,0,1)</f>
        <v>1558.32765832774</v>
      </c>
      <c r="R86" s="45" t="n">
        <f aca="false">NPV($J86,BG86,BW86,CM86,DC86,DS86,EI86,EY86,FO86,GE86,GU86)</f>
        <v>0</v>
      </c>
      <c r="S86" s="45" t="n">
        <f aca="false">Q86+R86</f>
        <v>1558.32765832774</v>
      </c>
      <c r="T86" s="32" t="n">
        <f aca="false">IF(S86=0,0,Q86/S86)</f>
        <v>1</v>
      </c>
      <c r="U86" s="45" t="n">
        <f aca="false">ROUND(ABS(GK86)+ABS(SUM(AV86,BL86,CB86,CR86,DH86,DX86,EN86,FD86,FT86,GJ86)-M86-P86)+ABS(S86-(AH86+NPV($J86,AI86:AR86))),6)</f>
        <v>0</v>
      </c>
      <c r="W86" s="133" t="n">
        <f aca="false">-$D86*Inputs!$C$13</f>
        <v>-4000</v>
      </c>
      <c r="X86" s="133" t="n">
        <f aca="false">BF86-$D86*Inputs!$D$13</f>
        <v>-4000</v>
      </c>
      <c r="Y86" s="133" t="n">
        <f aca="false">BV86-$D86*Inputs!$E$13</f>
        <v>-4000</v>
      </c>
      <c r="Z86" s="133" t="n">
        <f aca="false">CL86-$D86*Inputs!$F$13</f>
        <v>-4000</v>
      </c>
      <c r="AA86" s="133" t="n">
        <f aca="false">DB86-$D86*Inputs!$G$13</f>
        <v>-4000</v>
      </c>
      <c r="AB86" s="133" t="n">
        <f aca="false">DR86-$D86*Inputs!$H$13</f>
        <v>4079.4337736878</v>
      </c>
      <c r="AC86" s="133" t="n">
        <f aca="false">EH86-$D86*Inputs!$I$13</f>
        <v>3305.83342951875</v>
      </c>
      <c r="AD86" s="133" t="n">
        <f aca="false">EX86-$D86*Inputs!$J$13</f>
        <v>2668.38674592345</v>
      </c>
      <c r="AE86" s="133" t="n">
        <f aca="false">FN86-$D86*Inputs!$K$13</f>
        <v>2143.13067864092</v>
      </c>
      <c r="AF86" s="133" t="n">
        <f aca="false">GD86-$D86*Inputs!$L$13</f>
        <v>1710.31967920012</v>
      </c>
      <c r="AG86" s="84" t="n">
        <f aca="false">GT86</f>
        <v>6768.41707830449</v>
      </c>
      <c r="AH86" s="84" t="n">
        <f aca="false">$D86*$E86</f>
        <v>270</v>
      </c>
      <c r="AI86" s="84" t="n">
        <f aca="false">BG86+$D86*$E86</f>
        <v>270</v>
      </c>
      <c r="AJ86" s="84" t="n">
        <f aca="false">BW86+$D86*$E86</f>
        <v>270</v>
      </c>
      <c r="AK86" s="84" t="n">
        <f aca="false">CM86+$D86*$E86</f>
        <v>270</v>
      </c>
      <c r="AL86" s="84" t="n">
        <f aca="false">DC86+$D86*$E86</f>
        <v>270</v>
      </c>
      <c r="AM86" s="84" t="n">
        <f aca="false">DS86+$D86*$E86</f>
        <v>270</v>
      </c>
      <c r="AN86" s="84" t="n">
        <f aca="false">EI86+$D86*$E86</f>
        <v>270</v>
      </c>
      <c r="AO86" s="84" t="n">
        <f aca="false">EY86+$D86*$E86</f>
        <v>270</v>
      </c>
      <c r="AP86" s="84" t="n">
        <f aca="false">FO86+$D86*$E86</f>
        <v>270</v>
      </c>
      <c r="AQ86" s="84" t="n">
        <f aca="false">GE86+$D86*$E86</f>
        <v>270</v>
      </c>
      <c r="AR86" s="84" t="n">
        <f aca="false">GU86</f>
        <v>0</v>
      </c>
      <c r="AT86" s="133" t="n">
        <f aca="false">$D86*Inputs!$C$13-$D86*$E86</f>
        <v>3730</v>
      </c>
      <c r="AU86" s="84" t="n">
        <f aca="false">AT86*(1+$I86)</f>
        <v>3841.9</v>
      </c>
      <c r="AV86" s="133" t="n">
        <f aca="false">AU86*Inputs!$C$14</f>
        <v>0</v>
      </c>
      <c r="AW86" s="84" t="n">
        <f aca="false">AU86-AV86</f>
        <v>3841.9</v>
      </c>
      <c r="AX86" s="133" t="n">
        <f aca="false">$D86*Inputs!$C$13</f>
        <v>4000</v>
      </c>
      <c r="AY86" s="84" t="n">
        <f aca="false">MIN(AV86,AX86)</f>
        <v>0</v>
      </c>
      <c r="AZ86" s="84" t="n">
        <f aca="false">AX86-AY86</f>
        <v>4000</v>
      </c>
      <c r="BA86" s="84" t="n">
        <f aca="false">$G86*AX86</f>
        <v>320</v>
      </c>
      <c r="BB86" s="84" t="n">
        <f aca="false">MIN(AV86-AY86,BA86)</f>
        <v>0</v>
      </c>
      <c r="BC86" s="84" t="n">
        <f aca="false">BA86-BB86</f>
        <v>320</v>
      </c>
      <c r="BD86" s="84" t="n">
        <f aca="false">IF($H86=1,MIN(AV86-AY86-BB86,MAX(0,$F86/(1-$F86)*BB86)),0)</f>
        <v>0</v>
      </c>
      <c r="BE86" s="84" t="n">
        <f aca="false">AV86-AY86-BB86-BD86</f>
        <v>0</v>
      </c>
      <c r="BF86" s="84" t="n">
        <f aca="false">AY86+BB86+(1-$F86)*BE86</f>
        <v>0</v>
      </c>
      <c r="BG86" s="84" t="n">
        <f aca="false">BD86+$F86*BE86</f>
        <v>0</v>
      </c>
      <c r="BH86" s="84" t="n">
        <f aca="false">BB86+(1-$F86)*BE86</f>
        <v>0</v>
      </c>
      <c r="BI86" s="84" t="n">
        <f aca="false">BG86</f>
        <v>0</v>
      </c>
      <c r="BJ86" s="133" t="n">
        <f aca="false">AW86+$D86*Inputs!$D$13-$D86*$E86</f>
        <v>7571.9</v>
      </c>
      <c r="BK86" s="84" t="n">
        <f aca="false">BJ86*(1+$I86)</f>
        <v>7799.057</v>
      </c>
      <c r="BL86" s="133" t="n">
        <f aca="false">BK86*Inputs!$D$14</f>
        <v>0</v>
      </c>
      <c r="BM86" s="84" t="n">
        <f aca="false">BK86-BL86</f>
        <v>7799.057</v>
      </c>
      <c r="BN86" s="133" t="n">
        <f aca="false">AZ86+$D86*Inputs!$D$13</f>
        <v>8000</v>
      </c>
      <c r="BO86" s="84" t="n">
        <f aca="false">MIN(BL86,BN86)</f>
        <v>0</v>
      </c>
      <c r="BP86" s="84" t="n">
        <f aca="false">BN86-BO86</f>
        <v>8000</v>
      </c>
      <c r="BQ86" s="84" t="n">
        <f aca="false">BC86+$G86*(BN86+BC86)</f>
        <v>985.6</v>
      </c>
      <c r="BR86" s="84" t="n">
        <f aca="false">MIN(BL86-BO86,BQ86)</f>
        <v>0</v>
      </c>
      <c r="BS86" s="84" t="n">
        <f aca="false">BQ86-BR86</f>
        <v>985.6</v>
      </c>
      <c r="BT86" s="84" t="n">
        <f aca="false">IF($H86=1,MIN(BL86-BO86-BR86,MAX(0,$F86/(1-$F86)*(BH86+BR86)-BI86)),0)</f>
        <v>0</v>
      </c>
      <c r="BU86" s="84" t="n">
        <f aca="false">BL86-BO86-BR86-BT86</f>
        <v>0</v>
      </c>
      <c r="BV86" s="84" t="n">
        <f aca="false">BO86+BR86+(1-$F86)*BU86</f>
        <v>0</v>
      </c>
      <c r="BW86" s="84" t="n">
        <f aca="false">BT86+$F86*BU86</f>
        <v>0</v>
      </c>
      <c r="BX86" s="84" t="n">
        <f aca="false">BH86+BR86+(1-$F86)*BU86</f>
        <v>0</v>
      </c>
      <c r="BY86" s="84" t="n">
        <f aca="false">BI86+BW86</f>
        <v>0</v>
      </c>
      <c r="BZ86" s="133" t="n">
        <f aca="false">BM86+$D86*Inputs!$E$13-$D86*$E86</f>
        <v>11529.057</v>
      </c>
      <c r="CA86" s="84" t="n">
        <f aca="false">BZ86*(1+$I86)</f>
        <v>11874.92871</v>
      </c>
      <c r="CB86" s="133" t="n">
        <f aca="false">CA86*Inputs!$E$14</f>
        <v>0</v>
      </c>
      <c r="CC86" s="84" t="n">
        <f aca="false">CA86-CB86</f>
        <v>11874.92871</v>
      </c>
      <c r="CD86" s="133" t="n">
        <f aca="false">BP86+$D86*Inputs!$E$13</f>
        <v>12000</v>
      </c>
      <c r="CE86" s="84" t="n">
        <f aca="false">MIN(CB86,CD86)</f>
        <v>0</v>
      </c>
      <c r="CF86" s="84" t="n">
        <f aca="false">CD86-CE86</f>
        <v>12000</v>
      </c>
      <c r="CG86" s="84" t="n">
        <f aca="false">BS86+$G86*(CD86+BS86)</f>
        <v>2024.448</v>
      </c>
      <c r="CH86" s="84" t="n">
        <f aca="false">MIN(CB86-CE86,CG86)</f>
        <v>0</v>
      </c>
      <c r="CI86" s="84" t="n">
        <f aca="false">CG86-CH86</f>
        <v>2024.448</v>
      </c>
      <c r="CJ86" s="84" t="n">
        <f aca="false">IF($H86=1,MIN(CB86-CE86-CH86,MAX(0,$F86/(1-$F86)*(BX86+CH86)-BY86)),0)</f>
        <v>0</v>
      </c>
      <c r="CK86" s="84" t="n">
        <f aca="false">CB86-CE86-CH86-CJ86</f>
        <v>0</v>
      </c>
      <c r="CL86" s="84" t="n">
        <f aca="false">CE86+CH86+(1-$F86)*CK86</f>
        <v>0</v>
      </c>
      <c r="CM86" s="84" t="n">
        <f aca="false">CJ86+$F86*CK86</f>
        <v>0</v>
      </c>
      <c r="CN86" s="84" t="n">
        <f aca="false">BX86+CH86+(1-$F86)*CK86</f>
        <v>0</v>
      </c>
      <c r="CO86" s="84" t="n">
        <f aca="false">BY86+CM86</f>
        <v>0</v>
      </c>
      <c r="CP86" s="133" t="n">
        <f aca="false">CC86+$D86*Inputs!$F$13-$D86*$E86</f>
        <v>15604.92871</v>
      </c>
      <c r="CQ86" s="84" t="n">
        <f aca="false">CP86*(1+$I86)</f>
        <v>16073.0765713</v>
      </c>
      <c r="CR86" s="133" t="n">
        <f aca="false">CQ86*Inputs!$F$14</f>
        <v>0</v>
      </c>
      <c r="CS86" s="84" t="n">
        <f aca="false">CQ86-CR86</f>
        <v>16073.0765713</v>
      </c>
      <c r="CT86" s="133" t="n">
        <f aca="false">CF86+$D86*Inputs!$F$13</f>
        <v>16000</v>
      </c>
      <c r="CU86" s="84" t="n">
        <f aca="false">MIN(CR86,CT86)</f>
        <v>0</v>
      </c>
      <c r="CV86" s="84" t="n">
        <f aca="false">CT86-CU86</f>
        <v>16000</v>
      </c>
      <c r="CW86" s="84" t="n">
        <f aca="false">CI86+$G86*(CT86+CI86)</f>
        <v>3466.40384</v>
      </c>
      <c r="CX86" s="84" t="n">
        <f aca="false">MIN(CR86-CU86,CW86)</f>
        <v>0</v>
      </c>
      <c r="CY86" s="84" t="n">
        <f aca="false">CW86-CX86</f>
        <v>3466.40384</v>
      </c>
      <c r="CZ86" s="84" t="n">
        <f aca="false">IF($H86=1,MIN(CR86-CU86-CX86,MAX(0,$F86/(1-$F86)*(CN86+CX86)-CO86)),0)</f>
        <v>0</v>
      </c>
      <c r="DA86" s="84" t="n">
        <f aca="false">CR86-CU86-CX86-CZ86</f>
        <v>0</v>
      </c>
      <c r="DB86" s="84" t="n">
        <f aca="false">CU86+CX86+(1-$F86)*DA86</f>
        <v>0</v>
      </c>
      <c r="DC86" s="84" t="n">
        <f aca="false">CZ86+$F86*DA86</f>
        <v>0</v>
      </c>
      <c r="DD86" s="84" t="n">
        <f aca="false">CN86+CX86+(1-$F86)*DA86</f>
        <v>0</v>
      </c>
      <c r="DE86" s="84" t="n">
        <f aca="false">CO86+DC86</f>
        <v>0</v>
      </c>
      <c r="DF86" s="133" t="n">
        <f aca="false">CS86+$D86*Inputs!$G$13-$D86*$E86</f>
        <v>19803.0765713</v>
      </c>
      <c r="DG86" s="84" t="n">
        <f aca="false">DF86*(1+$I86)</f>
        <v>20397.168868439</v>
      </c>
      <c r="DH86" s="133" t="n">
        <f aca="false">DG86*Inputs!$G$14</f>
        <v>4079.4337736878</v>
      </c>
      <c r="DI86" s="84" t="n">
        <f aca="false">DG86-DH86</f>
        <v>16317.7350947512</v>
      </c>
      <c r="DJ86" s="133" t="n">
        <f aca="false">CV86+$D86*Inputs!$G$13</f>
        <v>20000</v>
      </c>
      <c r="DK86" s="84" t="n">
        <f aca="false">MIN(DH86,DJ86)</f>
        <v>4079.4337736878</v>
      </c>
      <c r="DL86" s="84" t="n">
        <f aca="false">DJ86-DK86</f>
        <v>15920.5662263122</v>
      </c>
      <c r="DM86" s="84" t="n">
        <f aca="false">CY86+$G86*(DJ86+CY86)</f>
        <v>5343.7161472</v>
      </c>
      <c r="DN86" s="84" t="n">
        <f aca="false">MIN(DH86-DK86,DM86)</f>
        <v>0</v>
      </c>
      <c r="DO86" s="84" t="n">
        <f aca="false">DM86-DN86</f>
        <v>5343.7161472</v>
      </c>
      <c r="DP86" s="84" t="n">
        <f aca="false">IF($H86=1,MIN(DH86-DK86-DN86,MAX(0,$F86/(1-$F86)*(DD86+DN86)-DE86)),0)</f>
        <v>0</v>
      </c>
      <c r="DQ86" s="84" t="n">
        <f aca="false">DH86-DK86-DN86-DP86</f>
        <v>0</v>
      </c>
      <c r="DR86" s="84" t="n">
        <f aca="false">DK86+DN86+(1-$F86)*DQ86</f>
        <v>4079.4337736878</v>
      </c>
      <c r="DS86" s="84" t="n">
        <f aca="false">DP86+$F86*DQ86</f>
        <v>0</v>
      </c>
      <c r="DT86" s="84" t="n">
        <f aca="false">DD86+DN86+(1-$F86)*DQ86</f>
        <v>0</v>
      </c>
      <c r="DU86" s="84" t="n">
        <f aca="false">DE86+DS86</f>
        <v>0</v>
      </c>
      <c r="DV86" s="133" t="n">
        <f aca="false">DI86+$D86*Inputs!$H$13-$D86*$E86</f>
        <v>16047.7350947512</v>
      </c>
      <c r="DW86" s="84" t="n">
        <f aca="false">DV86*(1+$I86)</f>
        <v>16529.1671475937</v>
      </c>
      <c r="DX86" s="133" t="n">
        <f aca="false">DW86*Inputs!$H$14</f>
        <v>3305.83342951875</v>
      </c>
      <c r="DY86" s="84" t="n">
        <f aca="false">DW86-DX86</f>
        <v>13223.333718075</v>
      </c>
      <c r="DZ86" s="133" t="n">
        <f aca="false">DL86+$D86*Inputs!$H$13</f>
        <v>15920.5662263122</v>
      </c>
      <c r="EA86" s="84" t="n">
        <f aca="false">MIN(DX86,DZ86)</f>
        <v>3305.83342951875</v>
      </c>
      <c r="EB86" s="84" t="n">
        <f aca="false">DZ86-EA86</f>
        <v>12614.7327967935</v>
      </c>
      <c r="EC86" s="84" t="n">
        <f aca="false">DO86+$G86*(DZ86+DO86)</f>
        <v>7044.85873708098</v>
      </c>
      <c r="ED86" s="84" t="n">
        <f aca="false">MIN(DX86-EA86,EC86)</f>
        <v>0</v>
      </c>
      <c r="EE86" s="84" t="n">
        <f aca="false">EC86-ED86</f>
        <v>7044.85873708098</v>
      </c>
      <c r="EF86" s="84" t="n">
        <f aca="false">IF($H86=1,MIN(DX86-EA86-ED86,MAX(0,$F86/(1-$F86)*(DT86+ED86)-DU86)),0)</f>
        <v>0</v>
      </c>
      <c r="EG86" s="84" t="n">
        <f aca="false">DX86-EA86-ED86-EF86</f>
        <v>0</v>
      </c>
      <c r="EH86" s="84" t="n">
        <f aca="false">EA86+ED86+(1-$F86)*EG86</f>
        <v>3305.83342951875</v>
      </c>
      <c r="EI86" s="84" t="n">
        <f aca="false">EF86+$F86*EG86</f>
        <v>0</v>
      </c>
      <c r="EJ86" s="84" t="n">
        <f aca="false">DT86+ED86+(1-$F86)*EG86</f>
        <v>0</v>
      </c>
      <c r="EK86" s="84" t="n">
        <f aca="false">DU86+EI86</f>
        <v>0</v>
      </c>
      <c r="EL86" s="133" t="n">
        <f aca="false">DY86+$D86*Inputs!$I$13-$D86*$E86</f>
        <v>12953.333718075</v>
      </c>
      <c r="EM86" s="84" t="n">
        <f aca="false">EL86*(1+$I86)</f>
        <v>13341.9337296172</v>
      </c>
      <c r="EN86" s="133" t="n">
        <f aca="false">EM86*Inputs!$I$14</f>
        <v>2668.38674592345</v>
      </c>
      <c r="EO86" s="84" t="n">
        <f aca="false">EM86-EN86</f>
        <v>10673.5469836938</v>
      </c>
      <c r="EP86" s="133" t="n">
        <f aca="false">EB86+$D86*Inputs!$I$13</f>
        <v>12614.7327967935</v>
      </c>
      <c r="EQ86" s="84" t="n">
        <f aca="false">MIN(EN86,EP86)</f>
        <v>2668.38674592345</v>
      </c>
      <c r="ER86" s="84" t="n">
        <f aca="false">EP86-EQ86</f>
        <v>9946.34605087001</v>
      </c>
      <c r="ES86" s="84" t="n">
        <f aca="false">EE86+$G86*(EP86+EE86)</f>
        <v>8617.62605979093</v>
      </c>
      <c r="ET86" s="84" t="n">
        <f aca="false">MIN(EN86-EQ86,ES86)</f>
        <v>0</v>
      </c>
      <c r="EU86" s="84" t="n">
        <f aca="false">ES86-ET86</f>
        <v>8617.62605979093</v>
      </c>
      <c r="EV86" s="84" t="n">
        <f aca="false">IF($H86=1,MIN(EN86-EQ86-ET86,MAX(0,$F86/(1-$F86)*(EJ86+ET86)-EK86)),0)</f>
        <v>0</v>
      </c>
      <c r="EW86" s="84" t="n">
        <f aca="false">EN86-EQ86-ET86-EV86</f>
        <v>0</v>
      </c>
      <c r="EX86" s="84" t="n">
        <f aca="false">EQ86+ET86+(1-$F86)*EW86</f>
        <v>2668.38674592345</v>
      </c>
      <c r="EY86" s="84" t="n">
        <f aca="false">EV86+$F86*EW86</f>
        <v>0</v>
      </c>
      <c r="EZ86" s="84" t="n">
        <f aca="false">EJ86+ET86+(1-$F86)*EW86</f>
        <v>0</v>
      </c>
      <c r="FA86" s="84" t="n">
        <f aca="false">EK86+EY86</f>
        <v>0</v>
      </c>
      <c r="FB86" s="133" t="n">
        <f aca="false">EO86+$D86*Inputs!$J$13-$D86*$E86</f>
        <v>10403.5469836938</v>
      </c>
      <c r="FC86" s="84" t="n">
        <f aca="false">FB86*(1+$I86)</f>
        <v>10715.6533932046</v>
      </c>
      <c r="FD86" s="133" t="n">
        <f aca="false">FC86*Inputs!$J$14</f>
        <v>2143.13067864092</v>
      </c>
      <c r="FE86" s="84" t="n">
        <f aca="false">FC86-FD86</f>
        <v>8572.52271456369</v>
      </c>
      <c r="FF86" s="133" t="n">
        <f aca="false">ER86+$D86*Inputs!$J$13</f>
        <v>9946.34605087001</v>
      </c>
      <c r="FG86" s="84" t="n">
        <f aca="false">MIN(FD86,FF86)</f>
        <v>2143.13067864092</v>
      </c>
      <c r="FH86" s="84" t="n">
        <f aca="false">FF86-FG86</f>
        <v>7803.21537222908</v>
      </c>
      <c r="FI86" s="84" t="n">
        <f aca="false">EU86+$G86*(FF86+EU86)</f>
        <v>10102.7438286438</v>
      </c>
      <c r="FJ86" s="84" t="n">
        <f aca="false">MIN(FD86-FG86,FI86)</f>
        <v>0</v>
      </c>
      <c r="FK86" s="84" t="n">
        <f aca="false">FI86-FJ86</f>
        <v>10102.7438286438</v>
      </c>
      <c r="FL86" s="84" t="n">
        <f aca="false">IF($H86=1,MIN(FD86-FG86-FJ86,MAX(0,$F86/(1-$F86)*(EZ86+FJ86)-FA86)),0)</f>
        <v>0</v>
      </c>
      <c r="FM86" s="84" t="n">
        <f aca="false">FD86-FG86-FJ86-FL86</f>
        <v>0</v>
      </c>
      <c r="FN86" s="84" t="n">
        <f aca="false">FG86+FJ86+(1-$F86)*FM86</f>
        <v>2143.13067864092</v>
      </c>
      <c r="FO86" s="84" t="n">
        <f aca="false">FL86+$F86*FM86</f>
        <v>0</v>
      </c>
      <c r="FP86" s="84" t="n">
        <f aca="false">EZ86+FJ86+(1-$F86)*FM86</f>
        <v>0</v>
      </c>
      <c r="FQ86" s="84" t="n">
        <f aca="false">FA86+FO86</f>
        <v>0</v>
      </c>
      <c r="FR86" s="133" t="n">
        <f aca="false">FE86+$D86*Inputs!$K$13-$D86*$E86</f>
        <v>8302.52271456369</v>
      </c>
      <c r="FS86" s="84" t="n">
        <f aca="false">FR86*(1+$I86)</f>
        <v>8551.5983960006</v>
      </c>
      <c r="FT86" s="133" t="n">
        <f aca="false">FS86*Inputs!$K$14</f>
        <v>1710.31967920012</v>
      </c>
      <c r="FU86" s="84" t="n">
        <f aca="false">FS86-FT86</f>
        <v>6841.27871680048</v>
      </c>
      <c r="FV86" s="133" t="n">
        <f aca="false">FH86+$D86*Inputs!$K$13</f>
        <v>7803.21537222908</v>
      </c>
      <c r="FW86" s="84" t="n">
        <f aca="false">MIN(FT86,FV86)</f>
        <v>1710.31967920012</v>
      </c>
      <c r="FX86" s="84" t="n">
        <f aca="false">FV86-FW86</f>
        <v>6092.89569302896</v>
      </c>
      <c r="FY86" s="84" t="n">
        <f aca="false">FK86+$G86*(FV86+FK86)</f>
        <v>11535.2205647136</v>
      </c>
      <c r="FZ86" s="84" t="n">
        <f aca="false">MIN(FT86-FW86,FY86)</f>
        <v>0</v>
      </c>
      <c r="GA86" s="84" t="n">
        <f aca="false">FY86-FZ86</f>
        <v>11535.2205647136</v>
      </c>
      <c r="GB86" s="84" t="n">
        <f aca="false">IF($H86=1,MIN(FT86-FW86-FZ86,MAX(0,$F86/(1-$F86)*(FP86+FZ86)-FQ86)),0)</f>
        <v>0</v>
      </c>
      <c r="GC86" s="84" t="n">
        <f aca="false">FT86-FW86-FZ86-GB86</f>
        <v>0</v>
      </c>
      <c r="GD86" s="84" t="n">
        <f aca="false">FW86+FZ86+(1-$F86)*GC86</f>
        <v>1710.31967920012</v>
      </c>
      <c r="GE86" s="84" t="n">
        <f aca="false">GB86+$F86*GC86</f>
        <v>0</v>
      </c>
      <c r="GF86" s="84" t="n">
        <f aca="false">FP86+FZ86+(1-$F86)*GC86</f>
        <v>0</v>
      </c>
      <c r="GG86" s="84" t="n">
        <f aca="false">FQ86+GE86</f>
        <v>0</v>
      </c>
      <c r="GH86" s="133" t="n">
        <f aca="false">FU86+$D86*Inputs!$L$13-$D86*$E86</f>
        <v>6571.27871680048</v>
      </c>
      <c r="GI86" s="84" t="n">
        <f aca="false">GH86*(1+$I86)</f>
        <v>6768.41707830449</v>
      </c>
      <c r="GJ86" s="133" t="n">
        <f aca="false">GI86*Inputs!$L$14</f>
        <v>6768.41707830449</v>
      </c>
      <c r="GK86" s="84" t="n">
        <f aca="false">GI86-GJ86</f>
        <v>0</v>
      </c>
      <c r="GL86" s="133" t="n">
        <f aca="false">FX86+$D86*Inputs!$L$13</f>
        <v>6092.89569302896</v>
      </c>
      <c r="GM86" s="84" t="n">
        <f aca="false">MIN(GJ86,GL86)</f>
        <v>6092.89569302896</v>
      </c>
      <c r="GN86" s="84" t="n">
        <f aca="false">GL86-GM86</f>
        <v>0</v>
      </c>
      <c r="GO86" s="84" t="n">
        <f aca="false">GA86+$G86*(GL86+GA86)</f>
        <v>12945.469865333</v>
      </c>
      <c r="GP86" s="84" t="n">
        <f aca="false">MIN(GJ86-GM86,GO86)</f>
        <v>675.521385275528</v>
      </c>
      <c r="GQ86" s="84" t="n">
        <f aca="false">GO86-GP86</f>
        <v>12269.9484800575</v>
      </c>
      <c r="GR86" s="84" t="n">
        <f aca="false">IF($H86=1,MIN(GJ86-GM86-GP86,MAX(0,$F86/(1-$F86)*(GF86+GP86)-GG86)),0)</f>
        <v>0</v>
      </c>
      <c r="GS86" s="84" t="n">
        <f aca="false">GJ86-GM86-GP86-GR86</f>
        <v>0</v>
      </c>
      <c r="GT86" s="84" t="n">
        <f aca="false">GM86+GP86+(1-$F86)*GS86</f>
        <v>6768.41707830449</v>
      </c>
      <c r="GU86" s="84" t="n">
        <f aca="false">GR86+$F86*GS86</f>
        <v>0</v>
      </c>
      <c r="GV86" s="84" t="n">
        <f aca="false">GF86+GP86+(1-$F86)*GS86</f>
        <v>675.521385275528</v>
      </c>
      <c r="GW86" s="84" t="n">
        <f aca="false">GG86+GU86</f>
        <v>0</v>
      </c>
    </row>
    <row r="87" customFormat="false" ht="15" hidden="false" customHeight="false" outlineLevel="0" collapsed="false">
      <c r="A87" s="5" t="s">
        <v>639</v>
      </c>
      <c r="B87" s="5" t="s">
        <v>427</v>
      </c>
      <c r="C87" s="135" t="n">
        <v>4</v>
      </c>
      <c r="D87" s="47" t="n">
        <f aca="false">Inputs!$C$6</f>
        <v>20000</v>
      </c>
      <c r="E87" s="35" t="n">
        <f aca="false">Inputs!$C$19</f>
        <v>0.0135</v>
      </c>
      <c r="F87" s="36" t="n">
        <f aca="false">Inputs!$C$20</f>
        <v>0.2</v>
      </c>
      <c r="G87" s="36" t="n">
        <f aca="false">Inputs!$C$22</f>
        <v>0.08</v>
      </c>
      <c r="H87" s="27" t="n">
        <v>0</v>
      </c>
      <c r="I87" s="132" t="n">
        <f aca="false">Inputs!$C$38+$C87*Inputs!$C$39</f>
        <v>0.04</v>
      </c>
      <c r="J87" s="36" t="n">
        <f aca="false">Inputs!$C$9</f>
        <v>0.15</v>
      </c>
      <c r="K87" s="89" t="n">
        <f aca="false">IRR(W87:AG87,0.1)</f>
        <v>0.0162834542979452</v>
      </c>
      <c r="L87" s="45" t="n">
        <f aca="false">W87+NPV($J87,X87:AG87)</f>
        <v>-7698.7494474518</v>
      </c>
      <c r="M87" s="45" t="n">
        <f aca="false">SUM(BF87,BV87,CL87,DB87,DR87,EH87,EX87,FN87,GD87,GT87)</f>
        <v>21937.581297964</v>
      </c>
      <c r="N87" s="43" t="n">
        <f aca="false">IF($D87*SUM(Inputs!$C$13:$L$13)=0,0,M87/($D87*SUM(Inputs!$C$13:$L$13)))</f>
        <v>1.0968790648982</v>
      </c>
      <c r="O87" s="42" t="n">
        <f aca="false">$D87*$E87*COLUMNS(Inputs!$C$13:$L$13)</f>
        <v>2700</v>
      </c>
      <c r="P87" s="45" t="n">
        <f aca="false">SUM(BG87,BW87,CM87,DC87,DS87,EI87,EY87,FO87,GE87,GU87)</f>
        <v>0</v>
      </c>
      <c r="Q87" s="42" t="n">
        <f aca="false">PV($J87,COLUMNS(Inputs!$C$13:$L$13),-$D87*$E87,0,1)</f>
        <v>1558.32765832774</v>
      </c>
      <c r="R87" s="45" t="n">
        <f aca="false">NPV($J87,BG87,BW87,CM87,DC87,DS87,EI87,EY87,FO87,GE87,GU87)</f>
        <v>0</v>
      </c>
      <c r="S87" s="45" t="n">
        <f aca="false">Q87+R87</f>
        <v>1558.32765832774</v>
      </c>
      <c r="T87" s="32" t="n">
        <f aca="false">IF(S87=0,0,Q87/S87)</f>
        <v>1</v>
      </c>
      <c r="U87" s="45" t="n">
        <f aca="false">ROUND(ABS(GK87)+ABS(SUM(AV87,BL87,CB87,CR87,DH87,DX87,EN87,FD87,FT87,GJ87)-M87-P87)+ABS(S87-(AH87+NPV($J87,AI87:AR87))),6)</f>
        <v>0</v>
      </c>
      <c r="W87" s="133" t="n">
        <f aca="false">-$D87*Inputs!$C$13</f>
        <v>-4000</v>
      </c>
      <c r="X87" s="133" t="n">
        <f aca="false">BF87-$D87*Inputs!$D$13</f>
        <v>-4000</v>
      </c>
      <c r="Y87" s="133" t="n">
        <f aca="false">BV87-$D87*Inputs!$E$13</f>
        <v>-4000</v>
      </c>
      <c r="Z87" s="133" t="n">
        <f aca="false">CL87-$D87*Inputs!$F$13</f>
        <v>-4000</v>
      </c>
      <c r="AA87" s="133" t="n">
        <f aca="false">DB87-$D87*Inputs!$G$13</f>
        <v>-4000</v>
      </c>
      <c r="AB87" s="133" t="n">
        <f aca="false">DR87-$D87*Inputs!$H$13</f>
        <v>4202.1996949504</v>
      </c>
      <c r="AC87" s="133" t="n">
        <f aca="false">EH87-$D87*Inputs!$I$13</f>
        <v>3440.07014619873</v>
      </c>
      <c r="AD87" s="133" t="n">
        <f aca="false">EX87-$D87*Inputs!$J$13</f>
        <v>2805.97836163735</v>
      </c>
      <c r="AE87" s="133" t="n">
        <f aca="false">FN87-$D87*Inputs!$K$13</f>
        <v>2278.41399688227</v>
      </c>
      <c r="AF87" s="133" t="n">
        <f aca="false">GD87-$D87*Inputs!$L$13</f>
        <v>1839.48044540605</v>
      </c>
      <c r="AG87" s="84" t="n">
        <f aca="false">GT87</f>
        <v>7371.43865288917</v>
      </c>
      <c r="AH87" s="84" t="n">
        <f aca="false">$D87*$E87</f>
        <v>270</v>
      </c>
      <c r="AI87" s="84" t="n">
        <f aca="false">BG87+$D87*$E87</f>
        <v>270</v>
      </c>
      <c r="AJ87" s="84" t="n">
        <f aca="false">BW87+$D87*$E87</f>
        <v>270</v>
      </c>
      <c r="AK87" s="84" t="n">
        <f aca="false">CM87+$D87*$E87</f>
        <v>270</v>
      </c>
      <c r="AL87" s="84" t="n">
        <f aca="false">DC87+$D87*$E87</f>
        <v>270</v>
      </c>
      <c r="AM87" s="84" t="n">
        <f aca="false">DS87+$D87*$E87</f>
        <v>270</v>
      </c>
      <c r="AN87" s="84" t="n">
        <f aca="false">EI87+$D87*$E87</f>
        <v>270</v>
      </c>
      <c r="AO87" s="84" t="n">
        <f aca="false">EY87+$D87*$E87</f>
        <v>270</v>
      </c>
      <c r="AP87" s="84" t="n">
        <f aca="false">FO87+$D87*$E87</f>
        <v>270</v>
      </c>
      <c r="AQ87" s="84" t="n">
        <f aca="false">GE87+$D87*$E87</f>
        <v>270</v>
      </c>
      <c r="AR87" s="84" t="n">
        <f aca="false">GU87</f>
        <v>0</v>
      </c>
      <c r="AT87" s="133" t="n">
        <f aca="false">$D87*Inputs!$C$13-$D87*$E87</f>
        <v>3730</v>
      </c>
      <c r="AU87" s="84" t="n">
        <f aca="false">AT87*(1+$I87)</f>
        <v>3879.2</v>
      </c>
      <c r="AV87" s="133" t="n">
        <f aca="false">AU87*Inputs!$C$14</f>
        <v>0</v>
      </c>
      <c r="AW87" s="84" t="n">
        <f aca="false">AU87-AV87</f>
        <v>3879.2</v>
      </c>
      <c r="AX87" s="133" t="n">
        <f aca="false">$D87*Inputs!$C$13</f>
        <v>4000</v>
      </c>
      <c r="AY87" s="84" t="n">
        <f aca="false">MIN(AV87,AX87)</f>
        <v>0</v>
      </c>
      <c r="AZ87" s="84" t="n">
        <f aca="false">AX87-AY87</f>
        <v>4000</v>
      </c>
      <c r="BA87" s="84" t="n">
        <f aca="false">$G87*AX87</f>
        <v>320</v>
      </c>
      <c r="BB87" s="84" t="n">
        <f aca="false">MIN(AV87-AY87,BA87)</f>
        <v>0</v>
      </c>
      <c r="BC87" s="84" t="n">
        <f aca="false">BA87-BB87</f>
        <v>320</v>
      </c>
      <c r="BD87" s="84" t="n">
        <f aca="false">IF($H87=1,MIN(AV87-AY87-BB87,MAX(0,$F87/(1-$F87)*BB87)),0)</f>
        <v>0</v>
      </c>
      <c r="BE87" s="84" t="n">
        <f aca="false">AV87-AY87-BB87-BD87</f>
        <v>0</v>
      </c>
      <c r="BF87" s="84" t="n">
        <f aca="false">AY87+BB87+(1-$F87)*BE87</f>
        <v>0</v>
      </c>
      <c r="BG87" s="84" t="n">
        <f aca="false">BD87+$F87*BE87</f>
        <v>0</v>
      </c>
      <c r="BH87" s="84" t="n">
        <f aca="false">BB87+(1-$F87)*BE87</f>
        <v>0</v>
      </c>
      <c r="BI87" s="84" t="n">
        <f aca="false">BG87</f>
        <v>0</v>
      </c>
      <c r="BJ87" s="133" t="n">
        <f aca="false">AW87+$D87*Inputs!$D$13-$D87*$E87</f>
        <v>7609.2</v>
      </c>
      <c r="BK87" s="84" t="n">
        <f aca="false">BJ87*(1+$I87)</f>
        <v>7913.568</v>
      </c>
      <c r="BL87" s="133" t="n">
        <f aca="false">BK87*Inputs!$D$14</f>
        <v>0</v>
      </c>
      <c r="BM87" s="84" t="n">
        <f aca="false">BK87-BL87</f>
        <v>7913.568</v>
      </c>
      <c r="BN87" s="133" t="n">
        <f aca="false">AZ87+$D87*Inputs!$D$13</f>
        <v>8000</v>
      </c>
      <c r="BO87" s="84" t="n">
        <f aca="false">MIN(BL87,BN87)</f>
        <v>0</v>
      </c>
      <c r="BP87" s="84" t="n">
        <f aca="false">BN87-BO87</f>
        <v>8000</v>
      </c>
      <c r="BQ87" s="84" t="n">
        <f aca="false">BC87+$G87*(BN87+BC87)</f>
        <v>985.6</v>
      </c>
      <c r="BR87" s="84" t="n">
        <f aca="false">MIN(BL87-BO87,BQ87)</f>
        <v>0</v>
      </c>
      <c r="BS87" s="84" t="n">
        <f aca="false">BQ87-BR87</f>
        <v>985.6</v>
      </c>
      <c r="BT87" s="84" t="n">
        <f aca="false">IF($H87=1,MIN(BL87-BO87-BR87,MAX(0,$F87/(1-$F87)*(BH87+BR87)-BI87)),0)</f>
        <v>0</v>
      </c>
      <c r="BU87" s="84" t="n">
        <f aca="false">BL87-BO87-BR87-BT87</f>
        <v>0</v>
      </c>
      <c r="BV87" s="84" t="n">
        <f aca="false">BO87+BR87+(1-$F87)*BU87</f>
        <v>0</v>
      </c>
      <c r="BW87" s="84" t="n">
        <f aca="false">BT87+$F87*BU87</f>
        <v>0</v>
      </c>
      <c r="BX87" s="84" t="n">
        <f aca="false">BH87+BR87+(1-$F87)*BU87</f>
        <v>0</v>
      </c>
      <c r="BY87" s="84" t="n">
        <f aca="false">BI87+BW87</f>
        <v>0</v>
      </c>
      <c r="BZ87" s="133" t="n">
        <f aca="false">BM87+$D87*Inputs!$E$13-$D87*$E87</f>
        <v>11643.568</v>
      </c>
      <c r="CA87" s="84" t="n">
        <f aca="false">BZ87*(1+$I87)</f>
        <v>12109.31072</v>
      </c>
      <c r="CB87" s="133" t="n">
        <f aca="false">CA87*Inputs!$E$14</f>
        <v>0</v>
      </c>
      <c r="CC87" s="84" t="n">
        <f aca="false">CA87-CB87</f>
        <v>12109.31072</v>
      </c>
      <c r="CD87" s="133" t="n">
        <f aca="false">BP87+$D87*Inputs!$E$13</f>
        <v>12000</v>
      </c>
      <c r="CE87" s="84" t="n">
        <f aca="false">MIN(CB87,CD87)</f>
        <v>0</v>
      </c>
      <c r="CF87" s="84" t="n">
        <f aca="false">CD87-CE87</f>
        <v>12000</v>
      </c>
      <c r="CG87" s="84" t="n">
        <f aca="false">BS87+$G87*(CD87+BS87)</f>
        <v>2024.448</v>
      </c>
      <c r="CH87" s="84" t="n">
        <f aca="false">MIN(CB87-CE87,CG87)</f>
        <v>0</v>
      </c>
      <c r="CI87" s="84" t="n">
        <f aca="false">CG87-CH87</f>
        <v>2024.448</v>
      </c>
      <c r="CJ87" s="84" t="n">
        <f aca="false">IF($H87=1,MIN(CB87-CE87-CH87,MAX(0,$F87/(1-$F87)*(BX87+CH87)-BY87)),0)</f>
        <v>0</v>
      </c>
      <c r="CK87" s="84" t="n">
        <f aca="false">CB87-CE87-CH87-CJ87</f>
        <v>0</v>
      </c>
      <c r="CL87" s="84" t="n">
        <f aca="false">CE87+CH87+(1-$F87)*CK87</f>
        <v>0</v>
      </c>
      <c r="CM87" s="84" t="n">
        <f aca="false">CJ87+$F87*CK87</f>
        <v>0</v>
      </c>
      <c r="CN87" s="84" t="n">
        <f aca="false">BX87+CH87+(1-$F87)*CK87</f>
        <v>0</v>
      </c>
      <c r="CO87" s="84" t="n">
        <f aca="false">BY87+CM87</f>
        <v>0</v>
      </c>
      <c r="CP87" s="133" t="n">
        <f aca="false">CC87+$D87*Inputs!$F$13-$D87*$E87</f>
        <v>15839.31072</v>
      </c>
      <c r="CQ87" s="84" t="n">
        <f aca="false">CP87*(1+$I87)</f>
        <v>16472.8831488</v>
      </c>
      <c r="CR87" s="133" t="n">
        <f aca="false">CQ87*Inputs!$F$14</f>
        <v>0</v>
      </c>
      <c r="CS87" s="84" t="n">
        <f aca="false">CQ87-CR87</f>
        <v>16472.8831488</v>
      </c>
      <c r="CT87" s="133" t="n">
        <f aca="false">CF87+$D87*Inputs!$F$13</f>
        <v>16000</v>
      </c>
      <c r="CU87" s="84" t="n">
        <f aca="false">MIN(CR87,CT87)</f>
        <v>0</v>
      </c>
      <c r="CV87" s="84" t="n">
        <f aca="false">CT87-CU87</f>
        <v>16000</v>
      </c>
      <c r="CW87" s="84" t="n">
        <f aca="false">CI87+$G87*(CT87+CI87)</f>
        <v>3466.40384</v>
      </c>
      <c r="CX87" s="84" t="n">
        <f aca="false">MIN(CR87-CU87,CW87)</f>
        <v>0</v>
      </c>
      <c r="CY87" s="84" t="n">
        <f aca="false">CW87-CX87</f>
        <v>3466.40384</v>
      </c>
      <c r="CZ87" s="84" t="n">
        <f aca="false">IF($H87=1,MIN(CR87-CU87-CX87,MAX(0,$F87/(1-$F87)*(CN87+CX87)-CO87)),0)</f>
        <v>0</v>
      </c>
      <c r="DA87" s="84" t="n">
        <f aca="false">CR87-CU87-CX87-CZ87</f>
        <v>0</v>
      </c>
      <c r="DB87" s="84" t="n">
        <f aca="false">CU87+CX87+(1-$F87)*DA87</f>
        <v>0</v>
      </c>
      <c r="DC87" s="84" t="n">
        <f aca="false">CZ87+$F87*DA87</f>
        <v>0</v>
      </c>
      <c r="DD87" s="84" t="n">
        <f aca="false">CN87+CX87+(1-$F87)*DA87</f>
        <v>0</v>
      </c>
      <c r="DE87" s="84" t="n">
        <f aca="false">CO87+DC87</f>
        <v>0</v>
      </c>
      <c r="DF87" s="133" t="n">
        <f aca="false">CS87+$D87*Inputs!$G$13-$D87*$E87</f>
        <v>20202.8831488</v>
      </c>
      <c r="DG87" s="84" t="n">
        <f aca="false">DF87*(1+$I87)</f>
        <v>21010.998474752</v>
      </c>
      <c r="DH87" s="133" t="n">
        <f aca="false">DG87*Inputs!$G$14</f>
        <v>4202.1996949504</v>
      </c>
      <c r="DI87" s="84" t="n">
        <f aca="false">DG87-DH87</f>
        <v>16808.7987798016</v>
      </c>
      <c r="DJ87" s="133" t="n">
        <f aca="false">CV87+$D87*Inputs!$G$13</f>
        <v>20000</v>
      </c>
      <c r="DK87" s="84" t="n">
        <f aca="false">MIN(DH87,DJ87)</f>
        <v>4202.1996949504</v>
      </c>
      <c r="DL87" s="84" t="n">
        <f aca="false">DJ87-DK87</f>
        <v>15797.8003050496</v>
      </c>
      <c r="DM87" s="84" t="n">
        <f aca="false">CY87+$G87*(DJ87+CY87)</f>
        <v>5343.7161472</v>
      </c>
      <c r="DN87" s="84" t="n">
        <f aca="false">MIN(DH87-DK87,DM87)</f>
        <v>0</v>
      </c>
      <c r="DO87" s="84" t="n">
        <f aca="false">DM87-DN87</f>
        <v>5343.7161472</v>
      </c>
      <c r="DP87" s="84" t="n">
        <f aca="false">IF($H87=1,MIN(DH87-DK87-DN87,MAX(0,$F87/(1-$F87)*(DD87+DN87)-DE87)),0)</f>
        <v>0</v>
      </c>
      <c r="DQ87" s="84" t="n">
        <f aca="false">DH87-DK87-DN87-DP87</f>
        <v>0</v>
      </c>
      <c r="DR87" s="84" t="n">
        <f aca="false">DK87+DN87+(1-$F87)*DQ87</f>
        <v>4202.1996949504</v>
      </c>
      <c r="DS87" s="84" t="n">
        <f aca="false">DP87+$F87*DQ87</f>
        <v>0</v>
      </c>
      <c r="DT87" s="84" t="n">
        <f aca="false">DD87+DN87+(1-$F87)*DQ87</f>
        <v>0</v>
      </c>
      <c r="DU87" s="84" t="n">
        <f aca="false">DE87+DS87</f>
        <v>0</v>
      </c>
      <c r="DV87" s="133" t="n">
        <f aca="false">DI87+$D87*Inputs!$H$13-$D87*$E87</f>
        <v>16538.7987798016</v>
      </c>
      <c r="DW87" s="84" t="n">
        <f aca="false">DV87*(1+$I87)</f>
        <v>17200.3507309937</v>
      </c>
      <c r="DX87" s="133" t="n">
        <f aca="false">DW87*Inputs!$H$14</f>
        <v>3440.07014619873</v>
      </c>
      <c r="DY87" s="84" t="n">
        <f aca="false">DW87-DX87</f>
        <v>13760.2805847949</v>
      </c>
      <c r="DZ87" s="133" t="n">
        <f aca="false">DL87+$D87*Inputs!$H$13</f>
        <v>15797.8003050496</v>
      </c>
      <c r="EA87" s="84" t="n">
        <f aca="false">MIN(DX87,DZ87)</f>
        <v>3440.07014619873</v>
      </c>
      <c r="EB87" s="84" t="n">
        <f aca="false">DZ87-EA87</f>
        <v>12357.7301588509</v>
      </c>
      <c r="EC87" s="84" t="n">
        <f aca="false">DO87+$G87*(DZ87+DO87)</f>
        <v>7035.03746337997</v>
      </c>
      <c r="ED87" s="84" t="n">
        <f aca="false">MIN(DX87-EA87,EC87)</f>
        <v>0</v>
      </c>
      <c r="EE87" s="84" t="n">
        <f aca="false">EC87-ED87</f>
        <v>7035.03746337997</v>
      </c>
      <c r="EF87" s="84" t="n">
        <f aca="false">IF($H87=1,MIN(DX87-EA87-ED87,MAX(0,$F87/(1-$F87)*(DT87+ED87)-DU87)),0)</f>
        <v>0</v>
      </c>
      <c r="EG87" s="84" t="n">
        <f aca="false">DX87-EA87-ED87-EF87</f>
        <v>0</v>
      </c>
      <c r="EH87" s="84" t="n">
        <f aca="false">EA87+ED87+(1-$F87)*EG87</f>
        <v>3440.07014619873</v>
      </c>
      <c r="EI87" s="84" t="n">
        <f aca="false">EF87+$F87*EG87</f>
        <v>0</v>
      </c>
      <c r="EJ87" s="84" t="n">
        <f aca="false">DT87+ED87+(1-$F87)*EG87</f>
        <v>0</v>
      </c>
      <c r="EK87" s="84" t="n">
        <f aca="false">DU87+EI87</f>
        <v>0</v>
      </c>
      <c r="EL87" s="133" t="n">
        <f aca="false">DY87+$D87*Inputs!$I$13-$D87*$E87</f>
        <v>13490.2805847949</v>
      </c>
      <c r="EM87" s="84" t="n">
        <f aca="false">EL87*(1+$I87)</f>
        <v>14029.8918081867</v>
      </c>
      <c r="EN87" s="133" t="n">
        <f aca="false">EM87*Inputs!$I$14</f>
        <v>2805.97836163735</v>
      </c>
      <c r="EO87" s="84" t="n">
        <f aca="false">EM87-EN87</f>
        <v>11223.9134465494</v>
      </c>
      <c r="EP87" s="133" t="n">
        <f aca="false">EB87+$D87*Inputs!$I$13</f>
        <v>12357.7301588509</v>
      </c>
      <c r="EQ87" s="84" t="n">
        <f aca="false">MIN(EN87,EP87)</f>
        <v>2805.97836163735</v>
      </c>
      <c r="ER87" s="84" t="n">
        <f aca="false">EP87-EQ87</f>
        <v>9551.75179721352</v>
      </c>
      <c r="ES87" s="84" t="n">
        <f aca="false">EE87+$G87*(EP87+EE87)</f>
        <v>8586.45887315843</v>
      </c>
      <c r="ET87" s="84" t="n">
        <f aca="false">MIN(EN87-EQ87,ES87)</f>
        <v>0</v>
      </c>
      <c r="EU87" s="84" t="n">
        <f aca="false">ES87-ET87</f>
        <v>8586.45887315843</v>
      </c>
      <c r="EV87" s="84" t="n">
        <f aca="false">IF($H87=1,MIN(EN87-EQ87-ET87,MAX(0,$F87/(1-$F87)*(EJ87+ET87)-EK87)),0)</f>
        <v>0</v>
      </c>
      <c r="EW87" s="84" t="n">
        <f aca="false">EN87-EQ87-ET87-EV87</f>
        <v>0</v>
      </c>
      <c r="EX87" s="84" t="n">
        <f aca="false">EQ87+ET87+(1-$F87)*EW87</f>
        <v>2805.97836163735</v>
      </c>
      <c r="EY87" s="84" t="n">
        <f aca="false">EV87+$F87*EW87</f>
        <v>0</v>
      </c>
      <c r="EZ87" s="84" t="n">
        <f aca="false">EJ87+ET87+(1-$F87)*EW87</f>
        <v>0</v>
      </c>
      <c r="FA87" s="84" t="n">
        <f aca="false">EK87+EY87</f>
        <v>0</v>
      </c>
      <c r="FB87" s="133" t="n">
        <f aca="false">EO87+$D87*Inputs!$J$13-$D87*$E87</f>
        <v>10953.9134465494</v>
      </c>
      <c r="FC87" s="84" t="n">
        <f aca="false">FB87*(1+$I87)</f>
        <v>11392.0699844114</v>
      </c>
      <c r="FD87" s="133" t="n">
        <f aca="false">FC87*Inputs!$J$14</f>
        <v>2278.41399688227</v>
      </c>
      <c r="FE87" s="84" t="n">
        <f aca="false">FC87-FD87</f>
        <v>9113.65598752909</v>
      </c>
      <c r="FF87" s="133" t="n">
        <f aca="false">ER87+$D87*Inputs!$J$13</f>
        <v>9551.75179721352</v>
      </c>
      <c r="FG87" s="84" t="n">
        <f aca="false">MIN(FD87,FF87)</f>
        <v>2278.41399688227</v>
      </c>
      <c r="FH87" s="84" t="n">
        <f aca="false">FF87-FG87</f>
        <v>7273.33780033125</v>
      </c>
      <c r="FI87" s="84" t="n">
        <f aca="false">EU87+$G87*(FF87+EU87)</f>
        <v>10037.5157267882</v>
      </c>
      <c r="FJ87" s="84" t="n">
        <f aca="false">MIN(FD87-FG87,FI87)</f>
        <v>0</v>
      </c>
      <c r="FK87" s="84" t="n">
        <f aca="false">FI87-FJ87</f>
        <v>10037.5157267882</v>
      </c>
      <c r="FL87" s="84" t="n">
        <f aca="false">IF($H87=1,MIN(FD87-FG87-FJ87,MAX(0,$F87/(1-$F87)*(EZ87+FJ87)-FA87)),0)</f>
        <v>0</v>
      </c>
      <c r="FM87" s="84" t="n">
        <f aca="false">FD87-FG87-FJ87-FL87</f>
        <v>0</v>
      </c>
      <c r="FN87" s="84" t="n">
        <f aca="false">FG87+FJ87+(1-$F87)*FM87</f>
        <v>2278.41399688227</v>
      </c>
      <c r="FO87" s="84" t="n">
        <f aca="false">FL87+$F87*FM87</f>
        <v>0</v>
      </c>
      <c r="FP87" s="84" t="n">
        <f aca="false">EZ87+FJ87+(1-$F87)*FM87</f>
        <v>0</v>
      </c>
      <c r="FQ87" s="84" t="n">
        <f aca="false">FA87+FO87</f>
        <v>0</v>
      </c>
      <c r="FR87" s="133" t="n">
        <f aca="false">FE87+$D87*Inputs!$K$13-$D87*$E87</f>
        <v>8843.65598752909</v>
      </c>
      <c r="FS87" s="84" t="n">
        <f aca="false">FR87*(1+$I87)</f>
        <v>9197.40222703025</v>
      </c>
      <c r="FT87" s="133" t="n">
        <f aca="false">FS87*Inputs!$K$14</f>
        <v>1839.48044540605</v>
      </c>
      <c r="FU87" s="84" t="n">
        <f aca="false">FS87-FT87</f>
        <v>7357.9217816242</v>
      </c>
      <c r="FV87" s="133" t="n">
        <f aca="false">FH87+$D87*Inputs!$K$13</f>
        <v>7273.33780033125</v>
      </c>
      <c r="FW87" s="84" t="n">
        <f aca="false">MIN(FT87,FV87)</f>
        <v>1839.48044540605</v>
      </c>
      <c r="FX87" s="84" t="n">
        <f aca="false">FV87-FW87</f>
        <v>5433.8573549252</v>
      </c>
      <c r="FY87" s="84" t="n">
        <f aca="false">FK87+$G87*(FV87+FK87)</f>
        <v>11422.3840089577</v>
      </c>
      <c r="FZ87" s="84" t="n">
        <f aca="false">MIN(FT87-FW87,FY87)</f>
        <v>0</v>
      </c>
      <c r="GA87" s="84" t="n">
        <f aca="false">FY87-FZ87</f>
        <v>11422.3840089577</v>
      </c>
      <c r="GB87" s="84" t="n">
        <f aca="false">IF($H87=1,MIN(FT87-FW87-FZ87,MAX(0,$F87/(1-$F87)*(FP87+FZ87)-FQ87)),0)</f>
        <v>0</v>
      </c>
      <c r="GC87" s="84" t="n">
        <f aca="false">FT87-FW87-FZ87-GB87</f>
        <v>0</v>
      </c>
      <c r="GD87" s="84" t="n">
        <f aca="false">FW87+FZ87+(1-$F87)*GC87</f>
        <v>1839.48044540605</v>
      </c>
      <c r="GE87" s="84" t="n">
        <f aca="false">GB87+$F87*GC87</f>
        <v>0</v>
      </c>
      <c r="GF87" s="84" t="n">
        <f aca="false">FP87+FZ87+(1-$F87)*GC87</f>
        <v>0</v>
      </c>
      <c r="GG87" s="84" t="n">
        <f aca="false">FQ87+GE87</f>
        <v>0</v>
      </c>
      <c r="GH87" s="133" t="n">
        <f aca="false">FU87+$D87*Inputs!$L$13-$D87*$E87</f>
        <v>7087.9217816242</v>
      </c>
      <c r="GI87" s="84" t="n">
        <f aca="false">GH87*(1+$I87)</f>
        <v>7371.43865288917</v>
      </c>
      <c r="GJ87" s="133" t="n">
        <f aca="false">GI87*Inputs!$L$14</f>
        <v>7371.43865288917</v>
      </c>
      <c r="GK87" s="84" t="n">
        <f aca="false">GI87-GJ87</f>
        <v>0</v>
      </c>
      <c r="GL87" s="133" t="n">
        <f aca="false">FX87+$D87*Inputs!$L$13</f>
        <v>5433.8573549252</v>
      </c>
      <c r="GM87" s="84" t="n">
        <f aca="false">MIN(GJ87,GL87)</f>
        <v>5433.8573549252</v>
      </c>
      <c r="GN87" s="84" t="n">
        <f aca="false">GL87-GM87</f>
        <v>0</v>
      </c>
      <c r="GO87" s="84" t="n">
        <f aca="false">GA87+$G87*(GL87+GA87)</f>
        <v>12770.8833180684</v>
      </c>
      <c r="GP87" s="84" t="n">
        <f aca="false">MIN(GJ87-GM87,GO87)</f>
        <v>1937.58129796398</v>
      </c>
      <c r="GQ87" s="84" t="n">
        <f aca="false">GO87-GP87</f>
        <v>10833.3020201044</v>
      </c>
      <c r="GR87" s="84" t="n">
        <f aca="false">IF($H87=1,MIN(GJ87-GM87-GP87,MAX(0,$F87/(1-$F87)*(GF87+GP87)-GG87)),0)</f>
        <v>0</v>
      </c>
      <c r="GS87" s="84" t="n">
        <f aca="false">GJ87-GM87-GP87-GR87</f>
        <v>0</v>
      </c>
      <c r="GT87" s="84" t="n">
        <f aca="false">GM87+GP87+(1-$F87)*GS87</f>
        <v>7371.43865288917</v>
      </c>
      <c r="GU87" s="84" t="n">
        <f aca="false">GR87+$F87*GS87</f>
        <v>0</v>
      </c>
      <c r="GV87" s="84" t="n">
        <f aca="false">GF87+GP87+(1-$F87)*GS87</f>
        <v>1937.58129796398</v>
      </c>
      <c r="GW87" s="84" t="n">
        <f aca="false">GG87+GU87</f>
        <v>0</v>
      </c>
    </row>
    <row r="88" customFormat="false" ht="15" hidden="false" customHeight="false" outlineLevel="0" collapsed="false">
      <c r="A88" s="5" t="s">
        <v>639</v>
      </c>
      <c r="B88" s="5" t="s">
        <v>427</v>
      </c>
      <c r="C88" s="135" t="n">
        <v>5</v>
      </c>
      <c r="D88" s="47" t="n">
        <f aca="false">Inputs!$C$6</f>
        <v>20000</v>
      </c>
      <c r="E88" s="35" t="n">
        <f aca="false">Inputs!$C$19</f>
        <v>0.0135</v>
      </c>
      <c r="F88" s="36" t="n">
        <f aca="false">Inputs!$C$20</f>
        <v>0.2</v>
      </c>
      <c r="G88" s="36" t="n">
        <f aca="false">Inputs!$C$22</f>
        <v>0.08</v>
      </c>
      <c r="H88" s="27" t="n">
        <v>0</v>
      </c>
      <c r="I88" s="132" t="n">
        <f aca="false">Inputs!$C$38+$C88*Inputs!$C$39</f>
        <v>0.05</v>
      </c>
      <c r="J88" s="36" t="n">
        <f aca="false">Inputs!$C$9</f>
        <v>0.15</v>
      </c>
      <c r="K88" s="89" t="n">
        <f aca="false">IRR(W88:AG88,0.1)</f>
        <v>0.0266851918575835</v>
      </c>
      <c r="L88" s="45" t="n">
        <f aca="false">W88+NPV($J88,X88:AG88)</f>
        <v>-7276.06005974331</v>
      </c>
      <c r="M88" s="45" t="n">
        <f aca="false">SUM(BF88,BV88,CL88,DB88,DR88,EH88,EX88,FN88,GD88,GT88)</f>
        <v>23274.6121627894</v>
      </c>
      <c r="N88" s="43" t="n">
        <f aca="false">IF($D88*SUM(Inputs!$C$13:$L$13)=0,0,M88/($D88*SUM(Inputs!$C$13:$L$13)))</f>
        <v>1.16373060813947</v>
      </c>
      <c r="O88" s="42" t="n">
        <f aca="false">$D88*$E88*COLUMNS(Inputs!$C$13:$L$13)</f>
        <v>2700</v>
      </c>
      <c r="P88" s="45" t="n">
        <f aca="false">SUM(BG88,BW88,CM88,DC88,DS88,EI88,EY88,FO88,GE88,GU88)</f>
        <v>0</v>
      </c>
      <c r="Q88" s="42" t="n">
        <f aca="false">PV($J88,COLUMNS(Inputs!$C$13:$L$13),-$D88*$E88,0,1)</f>
        <v>1558.32765832774</v>
      </c>
      <c r="R88" s="45" t="n">
        <f aca="false">NPV($J88,BG88,BW88,CM88,DC88,DS88,EI88,EY88,FO88,GE88,GU88)</f>
        <v>0</v>
      </c>
      <c r="S88" s="45" t="n">
        <f aca="false">Q88+R88</f>
        <v>1558.32765832774</v>
      </c>
      <c r="T88" s="32" t="n">
        <f aca="false">IF(S88=0,0,Q88/S88)</f>
        <v>1</v>
      </c>
      <c r="U88" s="45" t="n">
        <f aca="false">ROUND(ABS(GK88)+ABS(SUM(AV88,BL88,CB88,CR88,DH88,DX88,EN88,FD88,FT88,GJ88)-M88-P88)+ABS(S88-(AH88+NPV($J88,AI88:AR88))),6)</f>
        <v>0</v>
      </c>
      <c r="W88" s="133" t="n">
        <f aca="false">-$D88*Inputs!$C$13</f>
        <v>-4000</v>
      </c>
      <c r="X88" s="133" t="n">
        <f aca="false">BF88-$D88*Inputs!$D$13</f>
        <v>-4000</v>
      </c>
      <c r="Y88" s="133" t="n">
        <f aca="false">BV88-$D88*Inputs!$E$13</f>
        <v>-4000</v>
      </c>
      <c r="Z88" s="133" t="n">
        <f aca="false">CL88-$D88*Inputs!$F$13</f>
        <v>-4000</v>
      </c>
      <c r="AA88" s="133" t="n">
        <f aca="false">DB88-$D88*Inputs!$G$13</f>
        <v>-4000</v>
      </c>
      <c r="AB88" s="133" t="n">
        <f aca="false">DR88-$D88*Inputs!$H$13</f>
        <v>4328.226958125</v>
      </c>
      <c r="AC88" s="133" t="n">
        <f aca="false">EH88-$D88*Inputs!$I$13</f>
        <v>3579.010644825</v>
      </c>
      <c r="AD88" s="133" t="n">
        <f aca="false">EX88-$D88*Inputs!$J$13</f>
        <v>2949.668941653</v>
      </c>
      <c r="AE88" s="133" t="n">
        <f aca="false">FN88-$D88*Inputs!$K$13</f>
        <v>2421.02191098852</v>
      </c>
      <c r="AF88" s="133" t="n">
        <f aca="false">GD88-$D88*Inputs!$L$13</f>
        <v>1976.95840523036</v>
      </c>
      <c r="AG88" s="84" t="n">
        <f aca="false">GT88</f>
        <v>8019.7253019675</v>
      </c>
      <c r="AH88" s="84" t="n">
        <f aca="false">$D88*$E88</f>
        <v>270</v>
      </c>
      <c r="AI88" s="84" t="n">
        <f aca="false">BG88+$D88*$E88</f>
        <v>270</v>
      </c>
      <c r="AJ88" s="84" t="n">
        <f aca="false">BW88+$D88*$E88</f>
        <v>270</v>
      </c>
      <c r="AK88" s="84" t="n">
        <f aca="false">CM88+$D88*$E88</f>
        <v>270</v>
      </c>
      <c r="AL88" s="84" t="n">
        <f aca="false">DC88+$D88*$E88</f>
        <v>270</v>
      </c>
      <c r="AM88" s="84" t="n">
        <f aca="false">DS88+$D88*$E88</f>
        <v>270</v>
      </c>
      <c r="AN88" s="84" t="n">
        <f aca="false">EI88+$D88*$E88</f>
        <v>270</v>
      </c>
      <c r="AO88" s="84" t="n">
        <f aca="false">EY88+$D88*$E88</f>
        <v>270</v>
      </c>
      <c r="AP88" s="84" t="n">
        <f aca="false">FO88+$D88*$E88</f>
        <v>270</v>
      </c>
      <c r="AQ88" s="84" t="n">
        <f aca="false">GE88+$D88*$E88</f>
        <v>270</v>
      </c>
      <c r="AR88" s="84" t="n">
        <f aca="false">GU88</f>
        <v>0</v>
      </c>
      <c r="AT88" s="133" t="n">
        <f aca="false">$D88*Inputs!$C$13-$D88*$E88</f>
        <v>3730</v>
      </c>
      <c r="AU88" s="84" t="n">
        <f aca="false">AT88*(1+$I88)</f>
        <v>3916.5</v>
      </c>
      <c r="AV88" s="133" t="n">
        <f aca="false">AU88*Inputs!$C$14</f>
        <v>0</v>
      </c>
      <c r="AW88" s="84" t="n">
        <f aca="false">AU88-AV88</f>
        <v>3916.5</v>
      </c>
      <c r="AX88" s="133" t="n">
        <f aca="false">$D88*Inputs!$C$13</f>
        <v>4000</v>
      </c>
      <c r="AY88" s="84" t="n">
        <f aca="false">MIN(AV88,AX88)</f>
        <v>0</v>
      </c>
      <c r="AZ88" s="84" t="n">
        <f aca="false">AX88-AY88</f>
        <v>4000</v>
      </c>
      <c r="BA88" s="84" t="n">
        <f aca="false">$G88*AX88</f>
        <v>320</v>
      </c>
      <c r="BB88" s="84" t="n">
        <f aca="false">MIN(AV88-AY88,BA88)</f>
        <v>0</v>
      </c>
      <c r="BC88" s="84" t="n">
        <f aca="false">BA88-BB88</f>
        <v>320</v>
      </c>
      <c r="BD88" s="84" t="n">
        <f aca="false">IF($H88=1,MIN(AV88-AY88-BB88,MAX(0,$F88/(1-$F88)*BB88)),0)</f>
        <v>0</v>
      </c>
      <c r="BE88" s="84" t="n">
        <f aca="false">AV88-AY88-BB88-BD88</f>
        <v>0</v>
      </c>
      <c r="BF88" s="84" t="n">
        <f aca="false">AY88+BB88+(1-$F88)*BE88</f>
        <v>0</v>
      </c>
      <c r="BG88" s="84" t="n">
        <f aca="false">BD88+$F88*BE88</f>
        <v>0</v>
      </c>
      <c r="BH88" s="84" t="n">
        <f aca="false">BB88+(1-$F88)*BE88</f>
        <v>0</v>
      </c>
      <c r="BI88" s="84" t="n">
        <f aca="false">BG88</f>
        <v>0</v>
      </c>
      <c r="BJ88" s="133" t="n">
        <f aca="false">AW88+$D88*Inputs!$D$13-$D88*$E88</f>
        <v>7646.5</v>
      </c>
      <c r="BK88" s="84" t="n">
        <f aca="false">BJ88*(1+$I88)</f>
        <v>8028.825</v>
      </c>
      <c r="BL88" s="133" t="n">
        <f aca="false">BK88*Inputs!$D$14</f>
        <v>0</v>
      </c>
      <c r="BM88" s="84" t="n">
        <f aca="false">BK88-BL88</f>
        <v>8028.825</v>
      </c>
      <c r="BN88" s="133" t="n">
        <f aca="false">AZ88+$D88*Inputs!$D$13</f>
        <v>8000</v>
      </c>
      <c r="BO88" s="84" t="n">
        <f aca="false">MIN(BL88,BN88)</f>
        <v>0</v>
      </c>
      <c r="BP88" s="84" t="n">
        <f aca="false">BN88-BO88</f>
        <v>8000</v>
      </c>
      <c r="BQ88" s="84" t="n">
        <f aca="false">BC88+$G88*(BN88+BC88)</f>
        <v>985.6</v>
      </c>
      <c r="BR88" s="84" t="n">
        <f aca="false">MIN(BL88-BO88,BQ88)</f>
        <v>0</v>
      </c>
      <c r="BS88" s="84" t="n">
        <f aca="false">BQ88-BR88</f>
        <v>985.6</v>
      </c>
      <c r="BT88" s="84" t="n">
        <f aca="false">IF($H88=1,MIN(BL88-BO88-BR88,MAX(0,$F88/(1-$F88)*(BH88+BR88)-BI88)),0)</f>
        <v>0</v>
      </c>
      <c r="BU88" s="84" t="n">
        <f aca="false">BL88-BO88-BR88-BT88</f>
        <v>0</v>
      </c>
      <c r="BV88" s="84" t="n">
        <f aca="false">BO88+BR88+(1-$F88)*BU88</f>
        <v>0</v>
      </c>
      <c r="BW88" s="84" t="n">
        <f aca="false">BT88+$F88*BU88</f>
        <v>0</v>
      </c>
      <c r="BX88" s="84" t="n">
        <f aca="false">BH88+BR88+(1-$F88)*BU88</f>
        <v>0</v>
      </c>
      <c r="BY88" s="84" t="n">
        <f aca="false">BI88+BW88</f>
        <v>0</v>
      </c>
      <c r="BZ88" s="133" t="n">
        <f aca="false">BM88+$D88*Inputs!$E$13-$D88*$E88</f>
        <v>11758.825</v>
      </c>
      <c r="CA88" s="84" t="n">
        <f aca="false">BZ88*(1+$I88)</f>
        <v>12346.76625</v>
      </c>
      <c r="CB88" s="133" t="n">
        <f aca="false">CA88*Inputs!$E$14</f>
        <v>0</v>
      </c>
      <c r="CC88" s="84" t="n">
        <f aca="false">CA88-CB88</f>
        <v>12346.76625</v>
      </c>
      <c r="CD88" s="133" t="n">
        <f aca="false">BP88+$D88*Inputs!$E$13</f>
        <v>12000</v>
      </c>
      <c r="CE88" s="84" t="n">
        <f aca="false">MIN(CB88,CD88)</f>
        <v>0</v>
      </c>
      <c r="CF88" s="84" t="n">
        <f aca="false">CD88-CE88</f>
        <v>12000</v>
      </c>
      <c r="CG88" s="84" t="n">
        <f aca="false">BS88+$G88*(CD88+BS88)</f>
        <v>2024.448</v>
      </c>
      <c r="CH88" s="84" t="n">
        <f aca="false">MIN(CB88-CE88,CG88)</f>
        <v>0</v>
      </c>
      <c r="CI88" s="84" t="n">
        <f aca="false">CG88-CH88</f>
        <v>2024.448</v>
      </c>
      <c r="CJ88" s="84" t="n">
        <f aca="false">IF($H88=1,MIN(CB88-CE88-CH88,MAX(0,$F88/(1-$F88)*(BX88+CH88)-BY88)),0)</f>
        <v>0</v>
      </c>
      <c r="CK88" s="84" t="n">
        <f aca="false">CB88-CE88-CH88-CJ88</f>
        <v>0</v>
      </c>
      <c r="CL88" s="84" t="n">
        <f aca="false">CE88+CH88+(1-$F88)*CK88</f>
        <v>0</v>
      </c>
      <c r="CM88" s="84" t="n">
        <f aca="false">CJ88+$F88*CK88</f>
        <v>0</v>
      </c>
      <c r="CN88" s="84" t="n">
        <f aca="false">BX88+CH88+(1-$F88)*CK88</f>
        <v>0</v>
      </c>
      <c r="CO88" s="84" t="n">
        <f aca="false">BY88+CM88</f>
        <v>0</v>
      </c>
      <c r="CP88" s="133" t="n">
        <f aca="false">CC88+$D88*Inputs!$F$13-$D88*$E88</f>
        <v>16076.76625</v>
      </c>
      <c r="CQ88" s="84" t="n">
        <f aca="false">CP88*(1+$I88)</f>
        <v>16880.6045625</v>
      </c>
      <c r="CR88" s="133" t="n">
        <f aca="false">CQ88*Inputs!$F$14</f>
        <v>0</v>
      </c>
      <c r="CS88" s="84" t="n">
        <f aca="false">CQ88-CR88</f>
        <v>16880.6045625</v>
      </c>
      <c r="CT88" s="133" t="n">
        <f aca="false">CF88+$D88*Inputs!$F$13</f>
        <v>16000</v>
      </c>
      <c r="CU88" s="84" t="n">
        <f aca="false">MIN(CR88,CT88)</f>
        <v>0</v>
      </c>
      <c r="CV88" s="84" t="n">
        <f aca="false">CT88-CU88</f>
        <v>16000</v>
      </c>
      <c r="CW88" s="84" t="n">
        <f aca="false">CI88+$G88*(CT88+CI88)</f>
        <v>3466.40384</v>
      </c>
      <c r="CX88" s="84" t="n">
        <f aca="false">MIN(CR88-CU88,CW88)</f>
        <v>0</v>
      </c>
      <c r="CY88" s="84" t="n">
        <f aca="false">CW88-CX88</f>
        <v>3466.40384</v>
      </c>
      <c r="CZ88" s="84" t="n">
        <f aca="false">IF($H88=1,MIN(CR88-CU88-CX88,MAX(0,$F88/(1-$F88)*(CN88+CX88)-CO88)),0)</f>
        <v>0</v>
      </c>
      <c r="DA88" s="84" t="n">
        <f aca="false">CR88-CU88-CX88-CZ88</f>
        <v>0</v>
      </c>
      <c r="DB88" s="84" t="n">
        <f aca="false">CU88+CX88+(1-$F88)*DA88</f>
        <v>0</v>
      </c>
      <c r="DC88" s="84" t="n">
        <f aca="false">CZ88+$F88*DA88</f>
        <v>0</v>
      </c>
      <c r="DD88" s="84" t="n">
        <f aca="false">CN88+CX88+(1-$F88)*DA88</f>
        <v>0</v>
      </c>
      <c r="DE88" s="84" t="n">
        <f aca="false">CO88+DC88</f>
        <v>0</v>
      </c>
      <c r="DF88" s="133" t="n">
        <f aca="false">CS88+$D88*Inputs!$G$13-$D88*$E88</f>
        <v>20610.6045625</v>
      </c>
      <c r="DG88" s="84" t="n">
        <f aca="false">DF88*(1+$I88)</f>
        <v>21641.134790625</v>
      </c>
      <c r="DH88" s="133" t="n">
        <f aca="false">DG88*Inputs!$G$14</f>
        <v>4328.226958125</v>
      </c>
      <c r="DI88" s="84" t="n">
        <f aca="false">DG88-DH88</f>
        <v>17312.9078325</v>
      </c>
      <c r="DJ88" s="133" t="n">
        <f aca="false">CV88+$D88*Inputs!$G$13</f>
        <v>20000</v>
      </c>
      <c r="DK88" s="84" t="n">
        <f aca="false">MIN(DH88,DJ88)</f>
        <v>4328.226958125</v>
      </c>
      <c r="DL88" s="84" t="n">
        <f aca="false">DJ88-DK88</f>
        <v>15671.773041875</v>
      </c>
      <c r="DM88" s="84" t="n">
        <f aca="false">CY88+$G88*(DJ88+CY88)</f>
        <v>5343.7161472</v>
      </c>
      <c r="DN88" s="84" t="n">
        <f aca="false">MIN(DH88-DK88,DM88)</f>
        <v>0</v>
      </c>
      <c r="DO88" s="84" t="n">
        <f aca="false">DM88-DN88</f>
        <v>5343.7161472</v>
      </c>
      <c r="DP88" s="84" t="n">
        <f aca="false">IF($H88=1,MIN(DH88-DK88-DN88,MAX(0,$F88/(1-$F88)*(DD88+DN88)-DE88)),0)</f>
        <v>0</v>
      </c>
      <c r="DQ88" s="84" t="n">
        <f aca="false">DH88-DK88-DN88-DP88</f>
        <v>0</v>
      </c>
      <c r="DR88" s="84" t="n">
        <f aca="false">DK88+DN88+(1-$F88)*DQ88</f>
        <v>4328.226958125</v>
      </c>
      <c r="DS88" s="84" t="n">
        <f aca="false">DP88+$F88*DQ88</f>
        <v>0</v>
      </c>
      <c r="DT88" s="84" t="n">
        <f aca="false">DD88+DN88+(1-$F88)*DQ88</f>
        <v>0</v>
      </c>
      <c r="DU88" s="84" t="n">
        <f aca="false">DE88+DS88</f>
        <v>0</v>
      </c>
      <c r="DV88" s="133" t="n">
        <f aca="false">DI88+$D88*Inputs!$H$13-$D88*$E88</f>
        <v>17042.9078325</v>
      </c>
      <c r="DW88" s="84" t="n">
        <f aca="false">DV88*(1+$I88)</f>
        <v>17895.053224125</v>
      </c>
      <c r="DX88" s="133" t="n">
        <f aca="false">DW88*Inputs!$H$14</f>
        <v>3579.010644825</v>
      </c>
      <c r="DY88" s="84" t="n">
        <f aca="false">DW88-DX88</f>
        <v>14316.0425793</v>
      </c>
      <c r="DZ88" s="133" t="n">
        <f aca="false">DL88+$D88*Inputs!$H$13</f>
        <v>15671.773041875</v>
      </c>
      <c r="EA88" s="84" t="n">
        <f aca="false">MIN(DX88,DZ88)</f>
        <v>3579.010644825</v>
      </c>
      <c r="EB88" s="84" t="n">
        <f aca="false">DZ88-EA88</f>
        <v>12092.76239705</v>
      </c>
      <c r="EC88" s="84" t="n">
        <f aca="false">DO88+$G88*(DZ88+DO88)</f>
        <v>7024.955282326</v>
      </c>
      <c r="ED88" s="84" t="n">
        <f aca="false">MIN(DX88-EA88,EC88)</f>
        <v>0</v>
      </c>
      <c r="EE88" s="84" t="n">
        <f aca="false">EC88-ED88</f>
        <v>7024.955282326</v>
      </c>
      <c r="EF88" s="84" t="n">
        <f aca="false">IF($H88=1,MIN(DX88-EA88-ED88,MAX(0,$F88/(1-$F88)*(DT88+ED88)-DU88)),0)</f>
        <v>0</v>
      </c>
      <c r="EG88" s="84" t="n">
        <f aca="false">DX88-EA88-ED88-EF88</f>
        <v>0</v>
      </c>
      <c r="EH88" s="84" t="n">
        <f aca="false">EA88+ED88+(1-$F88)*EG88</f>
        <v>3579.010644825</v>
      </c>
      <c r="EI88" s="84" t="n">
        <f aca="false">EF88+$F88*EG88</f>
        <v>0</v>
      </c>
      <c r="EJ88" s="84" t="n">
        <f aca="false">DT88+ED88+(1-$F88)*EG88</f>
        <v>0</v>
      </c>
      <c r="EK88" s="84" t="n">
        <f aca="false">DU88+EI88</f>
        <v>0</v>
      </c>
      <c r="EL88" s="133" t="n">
        <f aca="false">DY88+$D88*Inputs!$I$13-$D88*$E88</f>
        <v>14046.0425793</v>
      </c>
      <c r="EM88" s="84" t="n">
        <f aca="false">EL88*(1+$I88)</f>
        <v>14748.344708265</v>
      </c>
      <c r="EN88" s="133" t="n">
        <f aca="false">EM88*Inputs!$I$14</f>
        <v>2949.668941653</v>
      </c>
      <c r="EO88" s="84" t="n">
        <f aca="false">EM88-EN88</f>
        <v>11798.675766612</v>
      </c>
      <c r="EP88" s="133" t="n">
        <f aca="false">EB88+$D88*Inputs!$I$13</f>
        <v>12092.76239705</v>
      </c>
      <c r="EQ88" s="84" t="n">
        <f aca="false">MIN(EN88,EP88)</f>
        <v>2949.668941653</v>
      </c>
      <c r="ER88" s="84" t="n">
        <f aca="false">EP88-EQ88</f>
        <v>9143.093455397</v>
      </c>
      <c r="ES88" s="84" t="n">
        <f aca="false">EE88+$G88*(EP88+EE88)</f>
        <v>8554.37269667608</v>
      </c>
      <c r="ET88" s="84" t="n">
        <f aca="false">MIN(EN88-EQ88,ES88)</f>
        <v>0</v>
      </c>
      <c r="EU88" s="84" t="n">
        <f aca="false">ES88-ET88</f>
        <v>8554.37269667608</v>
      </c>
      <c r="EV88" s="84" t="n">
        <f aca="false">IF($H88=1,MIN(EN88-EQ88-ET88,MAX(0,$F88/(1-$F88)*(EJ88+ET88)-EK88)),0)</f>
        <v>0</v>
      </c>
      <c r="EW88" s="84" t="n">
        <f aca="false">EN88-EQ88-ET88-EV88</f>
        <v>0</v>
      </c>
      <c r="EX88" s="84" t="n">
        <f aca="false">EQ88+ET88+(1-$F88)*EW88</f>
        <v>2949.668941653</v>
      </c>
      <c r="EY88" s="84" t="n">
        <f aca="false">EV88+$F88*EW88</f>
        <v>0</v>
      </c>
      <c r="EZ88" s="84" t="n">
        <f aca="false">EJ88+ET88+(1-$F88)*EW88</f>
        <v>0</v>
      </c>
      <c r="FA88" s="84" t="n">
        <f aca="false">EK88+EY88</f>
        <v>0</v>
      </c>
      <c r="FB88" s="133" t="n">
        <f aca="false">EO88+$D88*Inputs!$J$13-$D88*$E88</f>
        <v>11528.675766612</v>
      </c>
      <c r="FC88" s="84" t="n">
        <f aca="false">FB88*(1+$I88)</f>
        <v>12105.1095549426</v>
      </c>
      <c r="FD88" s="133" t="n">
        <f aca="false">FC88*Inputs!$J$14</f>
        <v>2421.02191098852</v>
      </c>
      <c r="FE88" s="84" t="n">
        <f aca="false">FC88-FD88</f>
        <v>9684.08764395408</v>
      </c>
      <c r="FF88" s="133" t="n">
        <f aca="false">ER88+$D88*Inputs!$J$13</f>
        <v>9143.093455397</v>
      </c>
      <c r="FG88" s="84" t="n">
        <f aca="false">MIN(FD88,FF88)</f>
        <v>2421.02191098852</v>
      </c>
      <c r="FH88" s="84" t="n">
        <f aca="false">FF88-FG88</f>
        <v>6722.07154440848</v>
      </c>
      <c r="FI88" s="84" t="n">
        <f aca="false">EU88+$G88*(FF88+EU88)</f>
        <v>9970.16998884193</v>
      </c>
      <c r="FJ88" s="84" t="n">
        <f aca="false">MIN(FD88-FG88,FI88)</f>
        <v>0</v>
      </c>
      <c r="FK88" s="84" t="n">
        <f aca="false">FI88-FJ88</f>
        <v>9970.16998884193</v>
      </c>
      <c r="FL88" s="84" t="n">
        <f aca="false">IF($H88=1,MIN(FD88-FG88-FJ88,MAX(0,$F88/(1-$F88)*(EZ88+FJ88)-FA88)),0)</f>
        <v>0</v>
      </c>
      <c r="FM88" s="84" t="n">
        <f aca="false">FD88-FG88-FJ88-FL88</f>
        <v>0</v>
      </c>
      <c r="FN88" s="84" t="n">
        <f aca="false">FG88+FJ88+(1-$F88)*FM88</f>
        <v>2421.02191098852</v>
      </c>
      <c r="FO88" s="84" t="n">
        <f aca="false">FL88+$F88*FM88</f>
        <v>0</v>
      </c>
      <c r="FP88" s="84" t="n">
        <f aca="false">EZ88+FJ88+(1-$F88)*FM88</f>
        <v>0</v>
      </c>
      <c r="FQ88" s="84" t="n">
        <f aca="false">FA88+FO88</f>
        <v>0</v>
      </c>
      <c r="FR88" s="133" t="n">
        <f aca="false">FE88+$D88*Inputs!$K$13-$D88*$E88</f>
        <v>9414.08764395408</v>
      </c>
      <c r="FS88" s="84" t="n">
        <f aca="false">FR88*(1+$I88)</f>
        <v>9884.79202615178</v>
      </c>
      <c r="FT88" s="133" t="n">
        <f aca="false">FS88*Inputs!$K$14</f>
        <v>1976.95840523036</v>
      </c>
      <c r="FU88" s="84" t="n">
        <f aca="false">FS88-FT88</f>
        <v>7907.83362092143</v>
      </c>
      <c r="FV88" s="133" t="n">
        <f aca="false">FH88+$D88*Inputs!$K$13</f>
        <v>6722.07154440848</v>
      </c>
      <c r="FW88" s="84" t="n">
        <f aca="false">MIN(FT88,FV88)</f>
        <v>1976.95840523036</v>
      </c>
      <c r="FX88" s="84" t="n">
        <f aca="false">FV88-FW88</f>
        <v>4745.11313917812</v>
      </c>
      <c r="FY88" s="84" t="n">
        <f aca="false">FK88+$G88*(FV88+FK88)</f>
        <v>11305.549311502</v>
      </c>
      <c r="FZ88" s="84" t="n">
        <f aca="false">MIN(FT88-FW88,FY88)</f>
        <v>0</v>
      </c>
      <c r="GA88" s="84" t="n">
        <f aca="false">FY88-FZ88</f>
        <v>11305.549311502</v>
      </c>
      <c r="GB88" s="84" t="n">
        <f aca="false">IF($H88=1,MIN(FT88-FW88-FZ88,MAX(0,$F88/(1-$F88)*(FP88+FZ88)-FQ88)),0)</f>
        <v>0</v>
      </c>
      <c r="GC88" s="84" t="n">
        <f aca="false">FT88-FW88-FZ88-GB88</f>
        <v>0</v>
      </c>
      <c r="GD88" s="84" t="n">
        <f aca="false">FW88+FZ88+(1-$F88)*GC88</f>
        <v>1976.95840523036</v>
      </c>
      <c r="GE88" s="84" t="n">
        <f aca="false">GB88+$F88*GC88</f>
        <v>0</v>
      </c>
      <c r="GF88" s="84" t="n">
        <f aca="false">FP88+FZ88+(1-$F88)*GC88</f>
        <v>0</v>
      </c>
      <c r="GG88" s="84" t="n">
        <f aca="false">FQ88+GE88</f>
        <v>0</v>
      </c>
      <c r="GH88" s="133" t="n">
        <f aca="false">FU88+$D88*Inputs!$L$13-$D88*$E88</f>
        <v>7637.83362092143</v>
      </c>
      <c r="GI88" s="84" t="n">
        <f aca="false">GH88*(1+$I88)</f>
        <v>8019.7253019675</v>
      </c>
      <c r="GJ88" s="133" t="n">
        <f aca="false">GI88*Inputs!$L$14</f>
        <v>8019.7253019675</v>
      </c>
      <c r="GK88" s="84" t="n">
        <f aca="false">GI88-GJ88</f>
        <v>0</v>
      </c>
      <c r="GL88" s="133" t="n">
        <f aca="false">FX88+$D88*Inputs!$L$13</f>
        <v>4745.11313917812</v>
      </c>
      <c r="GM88" s="84" t="n">
        <f aca="false">MIN(GJ88,GL88)</f>
        <v>4745.11313917812</v>
      </c>
      <c r="GN88" s="84" t="n">
        <f aca="false">GL88-GM88</f>
        <v>0</v>
      </c>
      <c r="GO88" s="84" t="n">
        <f aca="false">GA88+$G88*(GL88+GA88)</f>
        <v>12589.6023075564</v>
      </c>
      <c r="GP88" s="84" t="n">
        <f aca="false">MIN(GJ88-GM88,GO88)</f>
        <v>3274.61216278938</v>
      </c>
      <c r="GQ88" s="84" t="n">
        <f aca="false">GO88-GP88</f>
        <v>9314.99014476699</v>
      </c>
      <c r="GR88" s="84" t="n">
        <f aca="false">IF($H88=1,MIN(GJ88-GM88-GP88,MAX(0,$F88/(1-$F88)*(GF88+GP88)-GG88)),0)</f>
        <v>0</v>
      </c>
      <c r="GS88" s="84" t="n">
        <f aca="false">GJ88-GM88-GP88-GR88</f>
        <v>0</v>
      </c>
      <c r="GT88" s="84" t="n">
        <f aca="false">GM88+GP88+(1-$F88)*GS88</f>
        <v>8019.7253019675</v>
      </c>
      <c r="GU88" s="84" t="n">
        <f aca="false">GR88+$F88*GS88</f>
        <v>0</v>
      </c>
      <c r="GV88" s="84" t="n">
        <f aca="false">GF88+GP88+(1-$F88)*GS88</f>
        <v>3274.61216278938</v>
      </c>
      <c r="GW88" s="84" t="n">
        <f aca="false">GG88+GU88</f>
        <v>0</v>
      </c>
    </row>
    <row r="89" customFormat="false" ht="15" hidden="false" customHeight="false" outlineLevel="0" collapsed="false">
      <c r="A89" s="5" t="s">
        <v>639</v>
      </c>
      <c r="B89" s="5" t="s">
        <v>427</v>
      </c>
      <c r="C89" s="135" t="n">
        <v>6</v>
      </c>
      <c r="D89" s="47" t="n">
        <f aca="false">Inputs!$C$6</f>
        <v>20000</v>
      </c>
      <c r="E89" s="35" t="n">
        <f aca="false">Inputs!$C$19</f>
        <v>0.0135</v>
      </c>
      <c r="F89" s="36" t="n">
        <f aca="false">Inputs!$C$20</f>
        <v>0.2</v>
      </c>
      <c r="G89" s="36" t="n">
        <f aca="false">Inputs!$C$22</f>
        <v>0.08</v>
      </c>
      <c r="H89" s="27" t="n">
        <v>0</v>
      </c>
      <c r="I89" s="132" t="n">
        <f aca="false">Inputs!$C$38+$C89*Inputs!$C$39</f>
        <v>0.06</v>
      </c>
      <c r="J89" s="36" t="n">
        <f aca="false">Inputs!$C$9</f>
        <v>0.15</v>
      </c>
      <c r="K89" s="89" t="n">
        <f aca="false">IRR(W89:AG89,0.1)</f>
        <v>0.0370608449414686</v>
      </c>
      <c r="L89" s="45" t="n">
        <f aca="false">W89+NPV($J89,X89:AG89)</f>
        <v>-6830.3127160451</v>
      </c>
      <c r="M89" s="45" t="n">
        <f aca="false">SUM(BF89,BV89,CL89,DB89,DR89,EH89,EX89,FN89,GD89,GT89)</f>
        <v>24690.8392469323</v>
      </c>
      <c r="N89" s="43" t="n">
        <f aca="false">IF($D89*SUM(Inputs!$C$13:$L$13)=0,0,M89/($D89*SUM(Inputs!$C$13:$L$13)))</f>
        <v>1.23454196234661</v>
      </c>
      <c r="O89" s="42" t="n">
        <f aca="false">$D89*$E89*COLUMNS(Inputs!$C$13:$L$13)</f>
        <v>2700</v>
      </c>
      <c r="P89" s="45" t="n">
        <f aca="false">SUM(BG89,BW89,CM89,DC89,DS89,EI89,EY89,FO89,GE89,GU89)</f>
        <v>0</v>
      </c>
      <c r="Q89" s="42" t="n">
        <f aca="false">PV($J89,COLUMNS(Inputs!$C$13:$L$13),-$D89*$E89,0,1)</f>
        <v>1558.32765832774</v>
      </c>
      <c r="R89" s="45" t="n">
        <f aca="false">NPV($J89,BG89,BW89,CM89,DC89,DS89,EI89,EY89,FO89,GE89,GU89)</f>
        <v>0</v>
      </c>
      <c r="S89" s="45" t="n">
        <f aca="false">Q89+R89</f>
        <v>1558.32765832774</v>
      </c>
      <c r="T89" s="32" t="n">
        <f aca="false">IF(S89=0,0,Q89/S89)</f>
        <v>1</v>
      </c>
      <c r="U89" s="45" t="n">
        <f aca="false">ROUND(ABS(GK89)+ABS(SUM(AV89,BL89,CB89,CR89,DH89,DX89,EN89,FD89,FT89,GJ89)-M89-P89)+ABS(S89-(AH89+NPV($J89,AI89:AR89))),6)</f>
        <v>0</v>
      </c>
      <c r="W89" s="133" t="n">
        <f aca="false">-$D89*Inputs!$C$13</f>
        <v>-4000</v>
      </c>
      <c r="X89" s="133" t="n">
        <f aca="false">BF89-$D89*Inputs!$D$13</f>
        <v>-4000</v>
      </c>
      <c r="Y89" s="133" t="n">
        <f aca="false">BV89-$D89*Inputs!$E$13</f>
        <v>-4000</v>
      </c>
      <c r="Z89" s="133" t="n">
        <f aca="false">CL89-$D89*Inputs!$F$13</f>
        <v>-4000</v>
      </c>
      <c r="AA89" s="133" t="n">
        <f aca="false">DB89-$D89*Inputs!$G$13</f>
        <v>-4000</v>
      </c>
      <c r="AB89" s="133" t="n">
        <f aca="false">DR89-$D89*Inputs!$H$13</f>
        <v>4457.5876290496</v>
      </c>
      <c r="AC89" s="133" t="n">
        <f aca="false">EH89-$D89*Inputs!$I$13</f>
        <v>3722.79430943406</v>
      </c>
      <c r="AD89" s="133" t="n">
        <f aca="false">EX89-$D89*Inputs!$J$13</f>
        <v>3099.68957440009</v>
      </c>
      <c r="AE89" s="133" t="n">
        <f aca="false">FN89-$D89*Inputs!$K$13</f>
        <v>2571.29675909127</v>
      </c>
      <c r="AF89" s="133" t="n">
        <f aca="false">GD89-$D89*Inputs!$L$13</f>
        <v>2123.2196517094</v>
      </c>
      <c r="AG89" s="84" t="n">
        <f aca="false">GT89</f>
        <v>8716.25132324785</v>
      </c>
      <c r="AH89" s="84" t="n">
        <f aca="false">$D89*$E89</f>
        <v>270</v>
      </c>
      <c r="AI89" s="84" t="n">
        <f aca="false">BG89+$D89*$E89</f>
        <v>270</v>
      </c>
      <c r="AJ89" s="84" t="n">
        <f aca="false">BW89+$D89*$E89</f>
        <v>270</v>
      </c>
      <c r="AK89" s="84" t="n">
        <f aca="false">CM89+$D89*$E89</f>
        <v>270</v>
      </c>
      <c r="AL89" s="84" t="n">
        <f aca="false">DC89+$D89*$E89</f>
        <v>270</v>
      </c>
      <c r="AM89" s="84" t="n">
        <f aca="false">DS89+$D89*$E89</f>
        <v>270</v>
      </c>
      <c r="AN89" s="84" t="n">
        <f aca="false">EI89+$D89*$E89</f>
        <v>270</v>
      </c>
      <c r="AO89" s="84" t="n">
        <f aca="false">EY89+$D89*$E89</f>
        <v>270</v>
      </c>
      <c r="AP89" s="84" t="n">
        <f aca="false">FO89+$D89*$E89</f>
        <v>270</v>
      </c>
      <c r="AQ89" s="84" t="n">
        <f aca="false">GE89+$D89*$E89</f>
        <v>270</v>
      </c>
      <c r="AR89" s="84" t="n">
        <f aca="false">GU89</f>
        <v>0</v>
      </c>
      <c r="AT89" s="133" t="n">
        <f aca="false">$D89*Inputs!$C$13-$D89*$E89</f>
        <v>3730</v>
      </c>
      <c r="AU89" s="84" t="n">
        <f aca="false">AT89*(1+$I89)</f>
        <v>3953.8</v>
      </c>
      <c r="AV89" s="133" t="n">
        <f aca="false">AU89*Inputs!$C$14</f>
        <v>0</v>
      </c>
      <c r="AW89" s="84" t="n">
        <f aca="false">AU89-AV89</f>
        <v>3953.8</v>
      </c>
      <c r="AX89" s="133" t="n">
        <f aca="false">$D89*Inputs!$C$13</f>
        <v>4000</v>
      </c>
      <c r="AY89" s="84" t="n">
        <f aca="false">MIN(AV89,AX89)</f>
        <v>0</v>
      </c>
      <c r="AZ89" s="84" t="n">
        <f aca="false">AX89-AY89</f>
        <v>4000</v>
      </c>
      <c r="BA89" s="84" t="n">
        <f aca="false">$G89*AX89</f>
        <v>320</v>
      </c>
      <c r="BB89" s="84" t="n">
        <f aca="false">MIN(AV89-AY89,BA89)</f>
        <v>0</v>
      </c>
      <c r="BC89" s="84" t="n">
        <f aca="false">BA89-BB89</f>
        <v>320</v>
      </c>
      <c r="BD89" s="84" t="n">
        <f aca="false">IF($H89=1,MIN(AV89-AY89-BB89,MAX(0,$F89/(1-$F89)*BB89)),0)</f>
        <v>0</v>
      </c>
      <c r="BE89" s="84" t="n">
        <f aca="false">AV89-AY89-BB89-BD89</f>
        <v>0</v>
      </c>
      <c r="BF89" s="84" t="n">
        <f aca="false">AY89+BB89+(1-$F89)*BE89</f>
        <v>0</v>
      </c>
      <c r="BG89" s="84" t="n">
        <f aca="false">BD89+$F89*BE89</f>
        <v>0</v>
      </c>
      <c r="BH89" s="84" t="n">
        <f aca="false">BB89+(1-$F89)*BE89</f>
        <v>0</v>
      </c>
      <c r="BI89" s="84" t="n">
        <f aca="false">BG89</f>
        <v>0</v>
      </c>
      <c r="BJ89" s="133" t="n">
        <f aca="false">AW89+$D89*Inputs!$D$13-$D89*$E89</f>
        <v>7683.8</v>
      </c>
      <c r="BK89" s="84" t="n">
        <f aca="false">BJ89*(1+$I89)</f>
        <v>8144.828</v>
      </c>
      <c r="BL89" s="133" t="n">
        <f aca="false">BK89*Inputs!$D$14</f>
        <v>0</v>
      </c>
      <c r="BM89" s="84" t="n">
        <f aca="false">BK89-BL89</f>
        <v>8144.828</v>
      </c>
      <c r="BN89" s="133" t="n">
        <f aca="false">AZ89+$D89*Inputs!$D$13</f>
        <v>8000</v>
      </c>
      <c r="BO89" s="84" t="n">
        <f aca="false">MIN(BL89,BN89)</f>
        <v>0</v>
      </c>
      <c r="BP89" s="84" t="n">
        <f aca="false">BN89-BO89</f>
        <v>8000</v>
      </c>
      <c r="BQ89" s="84" t="n">
        <f aca="false">BC89+$G89*(BN89+BC89)</f>
        <v>985.6</v>
      </c>
      <c r="BR89" s="84" t="n">
        <f aca="false">MIN(BL89-BO89,BQ89)</f>
        <v>0</v>
      </c>
      <c r="BS89" s="84" t="n">
        <f aca="false">BQ89-BR89</f>
        <v>985.6</v>
      </c>
      <c r="BT89" s="84" t="n">
        <f aca="false">IF($H89=1,MIN(BL89-BO89-BR89,MAX(0,$F89/(1-$F89)*(BH89+BR89)-BI89)),0)</f>
        <v>0</v>
      </c>
      <c r="BU89" s="84" t="n">
        <f aca="false">BL89-BO89-BR89-BT89</f>
        <v>0</v>
      </c>
      <c r="BV89" s="84" t="n">
        <f aca="false">BO89+BR89+(1-$F89)*BU89</f>
        <v>0</v>
      </c>
      <c r="BW89" s="84" t="n">
        <f aca="false">BT89+$F89*BU89</f>
        <v>0</v>
      </c>
      <c r="BX89" s="84" t="n">
        <f aca="false">BH89+BR89+(1-$F89)*BU89</f>
        <v>0</v>
      </c>
      <c r="BY89" s="84" t="n">
        <f aca="false">BI89+BW89</f>
        <v>0</v>
      </c>
      <c r="BZ89" s="133" t="n">
        <f aca="false">BM89+$D89*Inputs!$E$13-$D89*$E89</f>
        <v>11874.828</v>
      </c>
      <c r="CA89" s="84" t="n">
        <f aca="false">BZ89*(1+$I89)</f>
        <v>12587.31768</v>
      </c>
      <c r="CB89" s="133" t="n">
        <f aca="false">CA89*Inputs!$E$14</f>
        <v>0</v>
      </c>
      <c r="CC89" s="84" t="n">
        <f aca="false">CA89-CB89</f>
        <v>12587.31768</v>
      </c>
      <c r="CD89" s="133" t="n">
        <f aca="false">BP89+$D89*Inputs!$E$13</f>
        <v>12000</v>
      </c>
      <c r="CE89" s="84" t="n">
        <f aca="false">MIN(CB89,CD89)</f>
        <v>0</v>
      </c>
      <c r="CF89" s="84" t="n">
        <f aca="false">CD89-CE89</f>
        <v>12000</v>
      </c>
      <c r="CG89" s="84" t="n">
        <f aca="false">BS89+$G89*(CD89+BS89)</f>
        <v>2024.448</v>
      </c>
      <c r="CH89" s="84" t="n">
        <f aca="false">MIN(CB89-CE89,CG89)</f>
        <v>0</v>
      </c>
      <c r="CI89" s="84" t="n">
        <f aca="false">CG89-CH89</f>
        <v>2024.448</v>
      </c>
      <c r="CJ89" s="84" t="n">
        <f aca="false">IF($H89=1,MIN(CB89-CE89-CH89,MAX(0,$F89/(1-$F89)*(BX89+CH89)-BY89)),0)</f>
        <v>0</v>
      </c>
      <c r="CK89" s="84" t="n">
        <f aca="false">CB89-CE89-CH89-CJ89</f>
        <v>0</v>
      </c>
      <c r="CL89" s="84" t="n">
        <f aca="false">CE89+CH89+(1-$F89)*CK89</f>
        <v>0</v>
      </c>
      <c r="CM89" s="84" t="n">
        <f aca="false">CJ89+$F89*CK89</f>
        <v>0</v>
      </c>
      <c r="CN89" s="84" t="n">
        <f aca="false">BX89+CH89+(1-$F89)*CK89</f>
        <v>0</v>
      </c>
      <c r="CO89" s="84" t="n">
        <f aca="false">BY89+CM89</f>
        <v>0</v>
      </c>
      <c r="CP89" s="133" t="n">
        <f aca="false">CC89+$D89*Inputs!$F$13-$D89*$E89</f>
        <v>16317.31768</v>
      </c>
      <c r="CQ89" s="84" t="n">
        <f aca="false">CP89*(1+$I89)</f>
        <v>17296.3567408</v>
      </c>
      <c r="CR89" s="133" t="n">
        <f aca="false">CQ89*Inputs!$F$14</f>
        <v>0</v>
      </c>
      <c r="CS89" s="84" t="n">
        <f aca="false">CQ89-CR89</f>
        <v>17296.3567408</v>
      </c>
      <c r="CT89" s="133" t="n">
        <f aca="false">CF89+$D89*Inputs!$F$13</f>
        <v>16000</v>
      </c>
      <c r="CU89" s="84" t="n">
        <f aca="false">MIN(CR89,CT89)</f>
        <v>0</v>
      </c>
      <c r="CV89" s="84" t="n">
        <f aca="false">CT89-CU89</f>
        <v>16000</v>
      </c>
      <c r="CW89" s="84" t="n">
        <f aca="false">CI89+$G89*(CT89+CI89)</f>
        <v>3466.40384</v>
      </c>
      <c r="CX89" s="84" t="n">
        <f aca="false">MIN(CR89-CU89,CW89)</f>
        <v>0</v>
      </c>
      <c r="CY89" s="84" t="n">
        <f aca="false">CW89-CX89</f>
        <v>3466.40384</v>
      </c>
      <c r="CZ89" s="84" t="n">
        <f aca="false">IF($H89=1,MIN(CR89-CU89-CX89,MAX(0,$F89/(1-$F89)*(CN89+CX89)-CO89)),0)</f>
        <v>0</v>
      </c>
      <c r="DA89" s="84" t="n">
        <f aca="false">CR89-CU89-CX89-CZ89</f>
        <v>0</v>
      </c>
      <c r="DB89" s="84" t="n">
        <f aca="false">CU89+CX89+(1-$F89)*DA89</f>
        <v>0</v>
      </c>
      <c r="DC89" s="84" t="n">
        <f aca="false">CZ89+$F89*DA89</f>
        <v>0</v>
      </c>
      <c r="DD89" s="84" t="n">
        <f aca="false">CN89+CX89+(1-$F89)*DA89</f>
        <v>0</v>
      </c>
      <c r="DE89" s="84" t="n">
        <f aca="false">CO89+DC89</f>
        <v>0</v>
      </c>
      <c r="DF89" s="133" t="n">
        <f aca="false">CS89+$D89*Inputs!$G$13-$D89*$E89</f>
        <v>21026.3567408</v>
      </c>
      <c r="DG89" s="84" t="n">
        <f aca="false">DF89*(1+$I89)</f>
        <v>22287.938145248</v>
      </c>
      <c r="DH89" s="133" t="n">
        <f aca="false">DG89*Inputs!$G$14</f>
        <v>4457.5876290496</v>
      </c>
      <c r="DI89" s="84" t="n">
        <f aca="false">DG89-DH89</f>
        <v>17830.3505161984</v>
      </c>
      <c r="DJ89" s="133" t="n">
        <f aca="false">CV89+$D89*Inputs!$G$13</f>
        <v>20000</v>
      </c>
      <c r="DK89" s="84" t="n">
        <f aca="false">MIN(DH89,DJ89)</f>
        <v>4457.5876290496</v>
      </c>
      <c r="DL89" s="84" t="n">
        <f aca="false">DJ89-DK89</f>
        <v>15542.4123709504</v>
      </c>
      <c r="DM89" s="84" t="n">
        <f aca="false">CY89+$G89*(DJ89+CY89)</f>
        <v>5343.7161472</v>
      </c>
      <c r="DN89" s="84" t="n">
        <f aca="false">MIN(DH89-DK89,DM89)</f>
        <v>0</v>
      </c>
      <c r="DO89" s="84" t="n">
        <f aca="false">DM89-DN89</f>
        <v>5343.7161472</v>
      </c>
      <c r="DP89" s="84" t="n">
        <f aca="false">IF($H89=1,MIN(DH89-DK89-DN89,MAX(0,$F89/(1-$F89)*(DD89+DN89)-DE89)),0)</f>
        <v>0</v>
      </c>
      <c r="DQ89" s="84" t="n">
        <f aca="false">DH89-DK89-DN89-DP89</f>
        <v>0</v>
      </c>
      <c r="DR89" s="84" t="n">
        <f aca="false">DK89+DN89+(1-$F89)*DQ89</f>
        <v>4457.5876290496</v>
      </c>
      <c r="DS89" s="84" t="n">
        <f aca="false">DP89+$F89*DQ89</f>
        <v>0</v>
      </c>
      <c r="DT89" s="84" t="n">
        <f aca="false">DD89+DN89+(1-$F89)*DQ89</f>
        <v>0</v>
      </c>
      <c r="DU89" s="84" t="n">
        <f aca="false">DE89+DS89</f>
        <v>0</v>
      </c>
      <c r="DV89" s="133" t="n">
        <f aca="false">DI89+$D89*Inputs!$H$13-$D89*$E89</f>
        <v>17560.3505161984</v>
      </c>
      <c r="DW89" s="84" t="n">
        <f aca="false">DV89*(1+$I89)</f>
        <v>18613.9715471703</v>
      </c>
      <c r="DX89" s="133" t="n">
        <f aca="false">DW89*Inputs!$H$14</f>
        <v>3722.79430943406</v>
      </c>
      <c r="DY89" s="84" t="n">
        <f aca="false">DW89-DX89</f>
        <v>14891.1772377362</v>
      </c>
      <c r="DZ89" s="133" t="n">
        <f aca="false">DL89+$D89*Inputs!$H$13</f>
        <v>15542.4123709504</v>
      </c>
      <c r="EA89" s="84" t="n">
        <f aca="false">MIN(DX89,DZ89)</f>
        <v>3722.79430943406</v>
      </c>
      <c r="EB89" s="84" t="n">
        <f aca="false">DZ89-EA89</f>
        <v>11819.6180615163</v>
      </c>
      <c r="EC89" s="84" t="n">
        <f aca="false">DO89+$G89*(DZ89+DO89)</f>
        <v>7014.60642865203</v>
      </c>
      <c r="ED89" s="84" t="n">
        <f aca="false">MIN(DX89-EA89,EC89)</f>
        <v>0</v>
      </c>
      <c r="EE89" s="84" t="n">
        <f aca="false">EC89-ED89</f>
        <v>7014.60642865203</v>
      </c>
      <c r="EF89" s="84" t="n">
        <f aca="false">IF($H89=1,MIN(DX89-EA89-ED89,MAX(0,$F89/(1-$F89)*(DT89+ED89)-DU89)),0)</f>
        <v>0</v>
      </c>
      <c r="EG89" s="84" t="n">
        <f aca="false">DX89-EA89-ED89-EF89</f>
        <v>0</v>
      </c>
      <c r="EH89" s="84" t="n">
        <f aca="false">EA89+ED89+(1-$F89)*EG89</f>
        <v>3722.79430943406</v>
      </c>
      <c r="EI89" s="84" t="n">
        <f aca="false">EF89+$F89*EG89</f>
        <v>0</v>
      </c>
      <c r="EJ89" s="84" t="n">
        <f aca="false">DT89+ED89+(1-$F89)*EG89</f>
        <v>0</v>
      </c>
      <c r="EK89" s="84" t="n">
        <f aca="false">DU89+EI89</f>
        <v>0</v>
      </c>
      <c r="EL89" s="133" t="n">
        <f aca="false">DY89+$D89*Inputs!$I$13-$D89*$E89</f>
        <v>14621.1772377362</v>
      </c>
      <c r="EM89" s="84" t="n">
        <f aca="false">EL89*(1+$I89)</f>
        <v>15498.4478720004</v>
      </c>
      <c r="EN89" s="133" t="n">
        <f aca="false">EM89*Inputs!$I$14</f>
        <v>3099.68957440009</v>
      </c>
      <c r="EO89" s="84" t="n">
        <f aca="false">EM89-EN89</f>
        <v>12398.7582976003</v>
      </c>
      <c r="EP89" s="133" t="n">
        <f aca="false">EB89+$D89*Inputs!$I$13</f>
        <v>11819.6180615163</v>
      </c>
      <c r="EQ89" s="84" t="n">
        <f aca="false">MIN(EN89,EP89)</f>
        <v>3099.68957440009</v>
      </c>
      <c r="ER89" s="84" t="n">
        <f aca="false">EP89-EQ89</f>
        <v>8719.92848711625</v>
      </c>
      <c r="ES89" s="84" t="n">
        <f aca="false">EE89+$G89*(EP89+EE89)</f>
        <v>8521.3443878655</v>
      </c>
      <c r="ET89" s="84" t="n">
        <f aca="false">MIN(EN89-EQ89,ES89)</f>
        <v>0</v>
      </c>
      <c r="EU89" s="84" t="n">
        <f aca="false">ES89-ET89</f>
        <v>8521.3443878655</v>
      </c>
      <c r="EV89" s="84" t="n">
        <f aca="false">IF($H89=1,MIN(EN89-EQ89-ET89,MAX(0,$F89/(1-$F89)*(EJ89+ET89)-EK89)),0)</f>
        <v>0</v>
      </c>
      <c r="EW89" s="84" t="n">
        <f aca="false">EN89-EQ89-ET89-EV89</f>
        <v>0</v>
      </c>
      <c r="EX89" s="84" t="n">
        <f aca="false">EQ89+ET89+(1-$F89)*EW89</f>
        <v>3099.68957440009</v>
      </c>
      <c r="EY89" s="84" t="n">
        <f aca="false">EV89+$F89*EW89</f>
        <v>0</v>
      </c>
      <c r="EZ89" s="84" t="n">
        <f aca="false">EJ89+ET89+(1-$F89)*EW89</f>
        <v>0</v>
      </c>
      <c r="FA89" s="84" t="n">
        <f aca="false">EK89+EY89</f>
        <v>0</v>
      </c>
      <c r="FB89" s="133" t="n">
        <f aca="false">EO89+$D89*Inputs!$J$13-$D89*$E89</f>
        <v>12128.7582976003</v>
      </c>
      <c r="FC89" s="84" t="n">
        <f aca="false">FB89*(1+$I89)</f>
        <v>12856.4837954564</v>
      </c>
      <c r="FD89" s="133" t="n">
        <f aca="false">FC89*Inputs!$J$14</f>
        <v>2571.29675909127</v>
      </c>
      <c r="FE89" s="84" t="n">
        <f aca="false">FC89-FD89</f>
        <v>10285.1870363651</v>
      </c>
      <c r="FF89" s="133" t="n">
        <f aca="false">ER89+$D89*Inputs!$J$13</f>
        <v>8719.92848711625</v>
      </c>
      <c r="FG89" s="84" t="n">
        <f aca="false">MIN(FD89,FF89)</f>
        <v>2571.29675909127</v>
      </c>
      <c r="FH89" s="84" t="n">
        <f aca="false">FF89-FG89</f>
        <v>6148.63172802498</v>
      </c>
      <c r="FI89" s="84" t="n">
        <f aca="false">EU89+$G89*(FF89+EU89)</f>
        <v>9900.64621786404</v>
      </c>
      <c r="FJ89" s="84" t="n">
        <f aca="false">MIN(FD89-FG89,FI89)</f>
        <v>0</v>
      </c>
      <c r="FK89" s="84" t="n">
        <f aca="false">FI89-FJ89</f>
        <v>9900.64621786404</v>
      </c>
      <c r="FL89" s="84" t="n">
        <f aca="false">IF($H89=1,MIN(FD89-FG89-FJ89,MAX(0,$F89/(1-$F89)*(EZ89+FJ89)-FA89)),0)</f>
        <v>0</v>
      </c>
      <c r="FM89" s="84" t="n">
        <f aca="false">FD89-FG89-FJ89-FL89</f>
        <v>0</v>
      </c>
      <c r="FN89" s="84" t="n">
        <f aca="false">FG89+FJ89+(1-$F89)*FM89</f>
        <v>2571.29675909127</v>
      </c>
      <c r="FO89" s="84" t="n">
        <f aca="false">FL89+$F89*FM89</f>
        <v>0</v>
      </c>
      <c r="FP89" s="84" t="n">
        <f aca="false">EZ89+FJ89+(1-$F89)*FM89</f>
        <v>0</v>
      </c>
      <c r="FQ89" s="84" t="n">
        <f aca="false">FA89+FO89</f>
        <v>0</v>
      </c>
      <c r="FR89" s="133" t="n">
        <f aca="false">FE89+$D89*Inputs!$K$13-$D89*$E89</f>
        <v>10015.1870363651</v>
      </c>
      <c r="FS89" s="84" t="n">
        <f aca="false">FR89*(1+$I89)</f>
        <v>10616.098258547</v>
      </c>
      <c r="FT89" s="133" t="n">
        <f aca="false">FS89*Inputs!$K$14</f>
        <v>2123.2196517094</v>
      </c>
      <c r="FU89" s="84" t="n">
        <f aca="false">FS89-FT89</f>
        <v>8492.87860683759</v>
      </c>
      <c r="FV89" s="133" t="n">
        <f aca="false">FH89+$D89*Inputs!$K$13</f>
        <v>6148.63172802498</v>
      </c>
      <c r="FW89" s="84" t="n">
        <f aca="false">MIN(FT89,FV89)</f>
        <v>2123.2196517094</v>
      </c>
      <c r="FX89" s="84" t="n">
        <f aca="false">FV89-FW89</f>
        <v>4025.41207631558</v>
      </c>
      <c r="FY89" s="84" t="n">
        <f aca="false">FK89+$G89*(FV89+FK89)</f>
        <v>11184.5884535352</v>
      </c>
      <c r="FZ89" s="84" t="n">
        <f aca="false">MIN(FT89-FW89,FY89)</f>
        <v>0</v>
      </c>
      <c r="GA89" s="84" t="n">
        <f aca="false">FY89-FZ89</f>
        <v>11184.5884535352</v>
      </c>
      <c r="GB89" s="84" t="n">
        <f aca="false">IF($H89=1,MIN(FT89-FW89-FZ89,MAX(0,$F89/(1-$F89)*(FP89+FZ89)-FQ89)),0)</f>
        <v>0</v>
      </c>
      <c r="GC89" s="84" t="n">
        <f aca="false">FT89-FW89-FZ89-GB89</f>
        <v>0</v>
      </c>
      <c r="GD89" s="84" t="n">
        <f aca="false">FW89+FZ89+(1-$F89)*GC89</f>
        <v>2123.2196517094</v>
      </c>
      <c r="GE89" s="84" t="n">
        <f aca="false">GB89+$F89*GC89</f>
        <v>0</v>
      </c>
      <c r="GF89" s="84" t="n">
        <f aca="false">FP89+FZ89+(1-$F89)*GC89</f>
        <v>0</v>
      </c>
      <c r="GG89" s="84" t="n">
        <f aca="false">FQ89+GE89</f>
        <v>0</v>
      </c>
      <c r="GH89" s="133" t="n">
        <f aca="false">FU89+$D89*Inputs!$L$13-$D89*$E89</f>
        <v>8222.87860683759</v>
      </c>
      <c r="GI89" s="84" t="n">
        <f aca="false">GH89*(1+$I89)</f>
        <v>8716.25132324785</v>
      </c>
      <c r="GJ89" s="133" t="n">
        <f aca="false">GI89*Inputs!$L$14</f>
        <v>8716.25132324785</v>
      </c>
      <c r="GK89" s="84" t="n">
        <f aca="false">GI89-GJ89</f>
        <v>0</v>
      </c>
      <c r="GL89" s="133" t="n">
        <f aca="false">FX89+$D89*Inputs!$L$13</f>
        <v>4025.41207631558</v>
      </c>
      <c r="GM89" s="84" t="n">
        <f aca="false">MIN(GJ89,GL89)</f>
        <v>4025.41207631558</v>
      </c>
      <c r="GN89" s="84" t="n">
        <f aca="false">GL89-GM89</f>
        <v>0</v>
      </c>
      <c r="GO89" s="84" t="n">
        <f aca="false">GA89+$G89*(GL89+GA89)</f>
        <v>12401.3884959232</v>
      </c>
      <c r="GP89" s="84" t="n">
        <f aca="false">MIN(GJ89-GM89,GO89)</f>
        <v>4690.83924693227</v>
      </c>
      <c r="GQ89" s="84" t="n">
        <f aca="false">GO89-GP89</f>
        <v>7710.54924899095</v>
      </c>
      <c r="GR89" s="84" t="n">
        <f aca="false">IF($H89=1,MIN(GJ89-GM89-GP89,MAX(0,$F89/(1-$F89)*(GF89+GP89)-GG89)),0)</f>
        <v>0</v>
      </c>
      <c r="GS89" s="84" t="n">
        <f aca="false">GJ89-GM89-GP89-GR89</f>
        <v>0</v>
      </c>
      <c r="GT89" s="84" t="n">
        <f aca="false">GM89+GP89+(1-$F89)*GS89</f>
        <v>8716.25132324785</v>
      </c>
      <c r="GU89" s="84" t="n">
        <f aca="false">GR89+$F89*GS89</f>
        <v>0</v>
      </c>
      <c r="GV89" s="84" t="n">
        <f aca="false">GF89+GP89+(1-$F89)*GS89</f>
        <v>4690.83924693227</v>
      </c>
      <c r="GW89" s="84" t="n">
        <f aca="false">GG89+GU89</f>
        <v>0</v>
      </c>
    </row>
    <row r="90" customFormat="false" ht="15" hidden="false" customHeight="false" outlineLevel="0" collapsed="false">
      <c r="A90" s="5" t="s">
        <v>639</v>
      </c>
      <c r="B90" s="5" t="s">
        <v>427</v>
      </c>
      <c r="C90" s="135" t="n">
        <v>7</v>
      </c>
      <c r="D90" s="47" t="n">
        <f aca="false">Inputs!$C$6</f>
        <v>20000</v>
      </c>
      <c r="E90" s="35" t="n">
        <f aca="false">Inputs!$C$19</f>
        <v>0.0135</v>
      </c>
      <c r="F90" s="36" t="n">
        <f aca="false">Inputs!$C$20</f>
        <v>0.2</v>
      </c>
      <c r="G90" s="36" t="n">
        <f aca="false">Inputs!$C$22</f>
        <v>0.08</v>
      </c>
      <c r="H90" s="27" t="n">
        <v>0</v>
      </c>
      <c r="I90" s="132" t="n">
        <f aca="false">Inputs!$C$38+$C90*Inputs!$C$39</f>
        <v>0.07</v>
      </c>
      <c r="J90" s="36" t="n">
        <f aca="false">Inputs!$C$9</f>
        <v>0.15</v>
      </c>
      <c r="K90" s="89" t="n">
        <f aca="false">IRR(W90:AG90,0.1)</f>
        <v>0.047412159548745</v>
      </c>
      <c r="L90" s="45" t="n">
        <f aca="false">W90+NPV($J90,X90:AG90)</f>
        <v>-6360.28693803464</v>
      </c>
      <c r="M90" s="45" t="n">
        <f aca="false">SUM(BF90,BV90,CL90,DB90,DR90,EH90,EX90,FN90,GD90,GT90)</f>
        <v>26190.7069634287</v>
      </c>
      <c r="N90" s="43" t="n">
        <f aca="false">IF($D90*SUM(Inputs!$C$13:$L$13)=0,0,M90/($D90*SUM(Inputs!$C$13:$L$13)))</f>
        <v>1.30953534817143</v>
      </c>
      <c r="O90" s="42" t="n">
        <f aca="false">$D90*$E90*COLUMNS(Inputs!$C$13:$L$13)</f>
        <v>2700</v>
      </c>
      <c r="P90" s="45" t="n">
        <f aca="false">SUM(BG90,BW90,CM90,DC90,DS90,EI90,EY90,FO90,GE90,GU90)</f>
        <v>0</v>
      </c>
      <c r="Q90" s="42" t="n">
        <f aca="false">PV($J90,COLUMNS(Inputs!$C$13:$L$13),-$D90*$E90,0,1)</f>
        <v>1558.32765832774</v>
      </c>
      <c r="R90" s="45" t="n">
        <f aca="false">NPV($J90,BG90,BW90,CM90,DC90,DS90,EI90,EY90,FO90,GE90,GU90)</f>
        <v>0</v>
      </c>
      <c r="S90" s="45" t="n">
        <f aca="false">Q90+R90</f>
        <v>1558.32765832774</v>
      </c>
      <c r="T90" s="32" t="n">
        <f aca="false">IF(S90=0,0,Q90/S90)</f>
        <v>1</v>
      </c>
      <c r="U90" s="45" t="n">
        <f aca="false">ROUND(ABS(GK90)+ABS(SUM(AV90,BL90,CB90,CR90,DH90,DX90,EN90,FD90,FT90,GJ90)-M90-P90)+ABS(S90-(AH90+NPV($J90,AI90:AR90))),6)</f>
        <v>0</v>
      </c>
      <c r="W90" s="133" t="n">
        <f aca="false">-$D90*Inputs!$C$13</f>
        <v>-4000</v>
      </c>
      <c r="X90" s="133" t="n">
        <f aca="false">BF90-$D90*Inputs!$D$13</f>
        <v>-4000</v>
      </c>
      <c r="Y90" s="133" t="n">
        <f aca="false">BV90-$D90*Inputs!$E$13</f>
        <v>-4000</v>
      </c>
      <c r="Z90" s="133" t="n">
        <f aca="false">CL90-$D90*Inputs!$F$13</f>
        <v>-4000</v>
      </c>
      <c r="AA90" s="133" t="n">
        <f aca="false">DB90-$D90*Inputs!$G$13</f>
        <v>-4000</v>
      </c>
      <c r="AB90" s="133" t="n">
        <f aca="false">DR90-$D90*Inputs!$H$13</f>
        <v>4590.3548925622</v>
      </c>
      <c r="AC90" s="133" t="n">
        <f aca="false">EH90-$D90*Inputs!$I$13</f>
        <v>3871.56378803324</v>
      </c>
      <c r="AD90" s="133" t="n">
        <f aca="false">EX90-$D90*Inputs!$J$13</f>
        <v>3256.27860255646</v>
      </c>
      <c r="AE90" s="133" t="n">
        <f aca="false">FN90-$D90*Inputs!$K$13</f>
        <v>2729.59448378833</v>
      </c>
      <c r="AF90" s="133" t="n">
        <f aca="false">GD90-$D90*Inputs!$L$13</f>
        <v>2278.75287812281</v>
      </c>
      <c r="AG90" s="84" t="n">
        <f aca="false">GT90</f>
        <v>9464.16231836562</v>
      </c>
      <c r="AH90" s="84" t="n">
        <f aca="false">$D90*$E90</f>
        <v>270</v>
      </c>
      <c r="AI90" s="84" t="n">
        <f aca="false">BG90+$D90*$E90</f>
        <v>270</v>
      </c>
      <c r="AJ90" s="84" t="n">
        <f aca="false">BW90+$D90*$E90</f>
        <v>270</v>
      </c>
      <c r="AK90" s="84" t="n">
        <f aca="false">CM90+$D90*$E90</f>
        <v>270</v>
      </c>
      <c r="AL90" s="84" t="n">
        <f aca="false">DC90+$D90*$E90</f>
        <v>270</v>
      </c>
      <c r="AM90" s="84" t="n">
        <f aca="false">DS90+$D90*$E90</f>
        <v>270</v>
      </c>
      <c r="AN90" s="84" t="n">
        <f aca="false">EI90+$D90*$E90</f>
        <v>270</v>
      </c>
      <c r="AO90" s="84" t="n">
        <f aca="false">EY90+$D90*$E90</f>
        <v>270</v>
      </c>
      <c r="AP90" s="84" t="n">
        <f aca="false">FO90+$D90*$E90</f>
        <v>270</v>
      </c>
      <c r="AQ90" s="84" t="n">
        <f aca="false">GE90+$D90*$E90</f>
        <v>270</v>
      </c>
      <c r="AR90" s="84" t="n">
        <f aca="false">GU90</f>
        <v>0</v>
      </c>
      <c r="AT90" s="133" t="n">
        <f aca="false">$D90*Inputs!$C$13-$D90*$E90</f>
        <v>3730</v>
      </c>
      <c r="AU90" s="84" t="n">
        <f aca="false">AT90*(1+$I90)</f>
        <v>3991.1</v>
      </c>
      <c r="AV90" s="133" t="n">
        <f aca="false">AU90*Inputs!$C$14</f>
        <v>0</v>
      </c>
      <c r="AW90" s="84" t="n">
        <f aca="false">AU90-AV90</f>
        <v>3991.1</v>
      </c>
      <c r="AX90" s="133" t="n">
        <f aca="false">$D90*Inputs!$C$13</f>
        <v>4000</v>
      </c>
      <c r="AY90" s="84" t="n">
        <f aca="false">MIN(AV90,AX90)</f>
        <v>0</v>
      </c>
      <c r="AZ90" s="84" t="n">
        <f aca="false">AX90-AY90</f>
        <v>4000</v>
      </c>
      <c r="BA90" s="84" t="n">
        <f aca="false">$G90*AX90</f>
        <v>320</v>
      </c>
      <c r="BB90" s="84" t="n">
        <f aca="false">MIN(AV90-AY90,BA90)</f>
        <v>0</v>
      </c>
      <c r="BC90" s="84" t="n">
        <f aca="false">BA90-BB90</f>
        <v>320</v>
      </c>
      <c r="BD90" s="84" t="n">
        <f aca="false">IF($H90=1,MIN(AV90-AY90-BB90,MAX(0,$F90/(1-$F90)*BB90)),0)</f>
        <v>0</v>
      </c>
      <c r="BE90" s="84" t="n">
        <f aca="false">AV90-AY90-BB90-BD90</f>
        <v>0</v>
      </c>
      <c r="BF90" s="84" t="n">
        <f aca="false">AY90+BB90+(1-$F90)*BE90</f>
        <v>0</v>
      </c>
      <c r="BG90" s="84" t="n">
        <f aca="false">BD90+$F90*BE90</f>
        <v>0</v>
      </c>
      <c r="BH90" s="84" t="n">
        <f aca="false">BB90+(1-$F90)*BE90</f>
        <v>0</v>
      </c>
      <c r="BI90" s="84" t="n">
        <f aca="false">BG90</f>
        <v>0</v>
      </c>
      <c r="BJ90" s="133" t="n">
        <f aca="false">AW90+$D90*Inputs!$D$13-$D90*$E90</f>
        <v>7721.1</v>
      </c>
      <c r="BK90" s="84" t="n">
        <f aca="false">BJ90*(1+$I90)</f>
        <v>8261.577</v>
      </c>
      <c r="BL90" s="133" t="n">
        <f aca="false">BK90*Inputs!$D$14</f>
        <v>0</v>
      </c>
      <c r="BM90" s="84" t="n">
        <f aca="false">BK90-BL90</f>
        <v>8261.577</v>
      </c>
      <c r="BN90" s="133" t="n">
        <f aca="false">AZ90+$D90*Inputs!$D$13</f>
        <v>8000</v>
      </c>
      <c r="BO90" s="84" t="n">
        <f aca="false">MIN(BL90,BN90)</f>
        <v>0</v>
      </c>
      <c r="BP90" s="84" t="n">
        <f aca="false">BN90-BO90</f>
        <v>8000</v>
      </c>
      <c r="BQ90" s="84" t="n">
        <f aca="false">BC90+$G90*(BN90+BC90)</f>
        <v>985.6</v>
      </c>
      <c r="BR90" s="84" t="n">
        <f aca="false">MIN(BL90-BO90,BQ90)</f>
        <v>0</v>
      </c>
      <c r="BS90" s="84" t="n">
        <f aca="false">BQ90-BR90</f>
        <v>985.6</v>
      </c>
      <c r="BT90" s="84" t="n">
        <f aca="false">IF($H90=1,MIN(BL90-BO90-BR90,MAX(0,$F90/(1-$F90)*(BH90+BR90)-BI90)),0)</f>
        <v>0</v>
      </c>
      <c r="BU90" s="84" t="n">
        <f aca="false">BL90-BO90-BR90-BT90</f>
        <v>0</v>
      </c>
      <c r="BV90" s="84" t="n">
        <f aca="false">BO90+BR90+(1-$F90)*BU90</f>
        <v>0</v>
      </c>
      <c r="BW90" s="84" t="n">
        <f aca="false">BT90+$F90*BU90</f>
        <v>0</v>
      </c>
      <c r="BX90" s="84" t="n">
        <f aca="false">BH90+BR90+(1-$F90)*BU90</f>
        <v>0</v>
      </c>
      <c r="BY90" s="84" t="n">
        <f aca="false">BI90+BW90</f>
        <v>0</v>
      </c>
      <c r="BZ90" s="133" t="n">
        <f aca="false">BM90+$D90*Inputs!$E$13-$D90*$E90</f>
        <v>11991.577</v>
      </c>
      <c r="CA90" s="84" t="n">
        <f aca="false">BZ90*(1+$I90)</f>
        <v>12830.98739</v>
      </c>
      <c r="CB90" s="133" t="n">
        <f aca="false">CA90*Inputs!$E$14</f>
        <v>0</v>
      </c>
      <c r="CC90" s="84" t="n">
        <f aca="false">CA90-CB90</f>
        <v>12830.98739</v>
      </c>
      <c r="CD90" s="133" t="n">
        <f aca="false">BP90+$D90*Inputs!$E$13</f>
        <v>12000</v>
      </c>
      <c r="CE90" s="84" t="n">
        <f aca="false">MIN(CB90,CD90)</f>
        <v>0</v>
      </c>
      <c r="CF90" s="84" t="n">
        <f aca="false">CD90-CE90</f>
        <v>12000</v>
      </c>
      <c r="CG90" s="84" t="n">
        <f aca="false">BS90+$G90*(CD90+BS90)</f>
        <v>2024.448</v>
      </c>
      <c r="CH90" s="84" t="n">
        <f aca="false">MIN(CB90-CE90,CG90)</f>
        <v>0</v>
      </c>
      <c r="CI90" s="84" t="n">
        <f aca="false">CG90-CH90</f>
        <v>2024.448</v>
      </c>
      <c r="CJ90" s="84" t="n">
        <f aca="false">IF($H90=1,MIN(CB90-CE90-CH90,MAX(0,$F90/(1-$F90)*(BX90+CH90)-BY90)),0)</f>
        <v>0</v>
      </c>
      <c r="CK90" s="84" t="n">
        <f aca="false">CB90-CE90-CH90-CJ90</f>
        <v>0</v>
      </c>
      <c r="CL90" s="84" t="n">
        <f aca="false">CE90+CH90+(1-$F90)*CK90</f>
        <v>0</v>
      </c>
      <c r="CM90" s="84" t="n">
        <f aca="false">CJ90+$F90*CK90</f>
        <v>0</v>
      </c>
      <c r="CN90" s="84" t="n">
        <f aca="false">BX90+CH90+(1-$F90)*CK90</f>
        <v>0</v>
      </c>
      <c r="CO90" s="84" t="n">
        <f aca="false">BY90+CM90</f>
        <v>0</v>
      </c>
      <c r="CP90" s="133" t="n">
        <f aca="false">CC90+$D90*Inputs!$F$13-$D90*$E90</f>
        <v>16560.98739</v>
      </c>
      <c r="CQ90" s="84" t="n">
        <f aca="false">CP90*(1+$I90)</f>
        <v>17720.2565073</v>
      </c>
      <c r="CR90" s="133" t="n">
        <f aca="false">CQ90*Inputs!$F$14</f>
        <v>0</v>
      </c>
      <c r="CS90" s="84" t="n">
        <f aca="false">CQ90-CR90</f>
        <v>17720.2565073</v>
      </c>
      <c r="CT90" s="133" t="n">
        <f aca="false">CF90+$D90*Inputs!$F$13</f>
        <v>16000</v>
      </c>
      <c r="CU90" s="84" t="n">
        <f aca="false">MIN(CR90,CT90)</f>
        <v>0</v>
      </c>
      <c r="CV90" s="84" t="n">
        <f aca="false">CT90-CU90</f>
        <v>16000</v>
      </c>
      <c r="CW90" s="84" t="n">
        <f aca="false">CI90+$G90*(CT90+CI90)</f>
        <v>3466.40384</v>
      </c>
      <c r="CX90" s="84" t="n">
        <f aca="false">MIN(CR90-CU90,CW90)</f>
        <v>0</v>
      </c>
      <c r="CY90" s="84" t="n">
        <f aca="false">CW90-CX90</f>
        <v>3466.40384</v>
      </c>
      <c r="CZ90" s="84" t="n">
        <f aca="false">IF($H90=1,MIN(CR90-CU90-CX90,MAX(0,$F90/(1-$F90)*(CN90+CX90)-CO90)),0)</f>
        <v>0</v>
      </c>
      <c r="DA90" s="84" t="n">
        <f aca="false">CR90-CU90-CX90-CZ90</f>
        <v>0</v>
      </c>
      <c r="DB90" s="84" t="n">
        <f aca="false">CU90+CX90+(1-$F90)*DA90</f>
        <v>0</v>
      </c>
      <c r="DC90" s="84" t="n">
        <f aca="false">CZ90+$F90*DA90</f>
        <v>0</v>
      </c>
      <c r="DD90" s="84" t="n">
        <f aca="false">CN90+CX90+(1-$F90)*DA90</f>
        <v>0</v>
      </c>
      <c r="DE90" s="84" t="n">
        <f aca="false">CO90+DC90</f>
        <v>0</v>
      </c>
      <c r="DF90" s="133" t="n">
        <f aca="false">CS90+$D90*Inputs!$G$13-$D90*$E90</f>
        <v>21450.2565073</v>
      </c>
      <c r="DG90" s="84" t="n">
        <f aca="false">DF90*(1+$I90)</f>
        <v>22951.774462811</v>
      </c>
      <c r="DH90" s="133" t="n">
        <f aca="false">DG90*Inputs!$G$14</f>
        <v>4590.3548925622</v>
      </c>
      <c r="DI90" s="84" t="n">
        <f aca="false">DG90-DH90</f>
        <v>18361.4195702488</v>
      </c>
      <c r="DJ90" s="133" t="n">
        <f aca="false">CV90+$D90*Inputs!$G$13</f>
        <v>20000</v>
      </c>
      <c r="DK90" s="84" t="n">
        <f aca="false">MIN(DH90,DJ90)</f>
        <v>4590.3548925622</v>
      </c>
      <c r="DL90" s="84" t="n">
        <f aca="false">DJ90-DK90</f>
        <v>15409.6451074378</v>
      </c>
      <c r="DM90" s="84" t="n">
        <f aca="false">CY90+$G90*(DJ90+CY90)</f>
        <v>5343.7161472</v>
      </c>
      <c r="DN90" s="84" t="n">
        <f aca="false">MIN(DH90-DK90,DM90)</f>
        <v>0</v>
      </c>
      <c r="DO90" s="84" t="n">
        <f aca="false">DM90-DN90</f>
        <v>5343.7161472</v>
      </c>
      <c r="DP90" s="84" t="n">
        <f aca="false">IF($H90=1,MIN(DH90-DK90-DN90,MAX(0,$F90/(1-$F90)*(DD90+DN90)-DE90)),0)</f>
        <v>0</v>
      </c>
      <c r="DQ90" s="84" t="n">
        <f aca="false">DH90-DK90-DN90-DP90</f>
        <v>0</v>
      </c>
      <c r="DR90" s="84" t="n">
        <f aca="false">DK90+DN90+(1-$F90)*DQ90</f>
        <v>4590.3548925622</v>
      </c>
      <c r="DS90" s="84" t="n">
        <f aca="false">DP90+$F90*DQ90</f>
        <v>0</v>
      </c>
      <c r="DT90" s="84" t="n">
        <f aca="false">DD90+DN90+(1-$F90)*DQ90</f>
        <v>0</v>
      </c>
      <c r="DU90" s="84" t="n">
        <f aca="false">DE90+DS90</f>
        <v>0</v>
      </c>
      <c r="DV90" s="133" t="n">
        <f aca="false">DI90+$D90*Inputs!$H$13-$D90*$E90</f>
        <v>18091.4195702488</v>
      </c>
      <c r="DW90" s="84" t="n">
        <f aca="false">DV90*(1+$I90)</f>
        <v>19357.8189401662</v>
      </c>
      <c r="DX90" s="133" t="n">
        <f aca="false">DW90*Inputs!$H$14</f>
        <v>3871.56378803324</v>
      </c>
      <c r="DY90" s="84" t="n">
        <f aca="false">DW90-DX90</f>
        <v>15486.255152133</v>
      </c>
      <c r="DZ90" s="133" t="n">
        <f aca="false">DL90+$D90*Inputs!$H$13</f>
        <v>15409.6451074378</v>
      </c>
      <c r="EA90" s="84" t="n">
        <f aca="false">MIN(DX90,DZ90)</f>
        <v>3871.56378803324</v>
      </c>
      <c r="EB90" s="84" t="n">
        <f aca="false">DZ90-EA90</f>
        <v>11538.0813194046</v>
      </c>
      <c r="EC90" s="84" t="n">
        <f aca="false">DO90+$G90*(DZ90+DO90)</f>
        <v>7003.98504757102</v>
      </c>
      <c r="ED90" s="84" t="n">
        <f aca="false">MIN(DX90-EA90,EC90)</f>
        <v>0</v>
      </c>
      <c r="EE90" s="84" t="n">
        <f aca="false">EC90-ED90</f>
        <v>7003.98504757102</v>
      </c>
      <c r="EF90" s="84" t="n">
        <f aca="false">IF($H90=1,MIN(DX90-EA90-ED90,MAX(0,$F90/(1-$F90)*(DT90+ED90)-DU90)),0)</f>
        <v>0</v>
      </c>
      <c r="EG90" s="84" t="n">
        <f aca="false">DX90-EA90-ED90-EF90</f>
        <v>0</v>
      </c>
      <c r="EH90" s="84" t="n">
        <f aca="false">EA90+ED90+(1-$F90)*EG90</f>
        <v>3871.56378803324</v>
      </c>
      <c r="EI90" s="84" t="n">
        <f aca="false">EF90+$F90*EG90</f>
        <v>0</v>
      </c>
      <c r="EJ90" s="84" t="n">
        <f aca="false">DT90+ED90+(1-$F90)*EG90</f>
        <v>0</v>
      </c>
      <c r="EK90" s="84" t="n">
        <f aca="false">DU90+EI90</f>
        <v>0</v>
      </c>
      <c r="EL90" s="133" t="n">
        <f aca="false">DY90+$D90*Inputs!$I$13-$D90*$E90</f>
        <v>15216.255152133</v>
      </c>
      <c r="EM90" s="84" t="n">
        <f aca="false">EL90*(1+$I90)</f>
        <v>16281.3930127823</v>
      </c>
      <c r="EN90" s="133" t="n">
        <f aca="false">EM90*Inputs!$I$14</f>
        <v>3256.27860255646</v>
      </c>
      <c r="EO90" s="84" t="n">
        <f aca="false">EM90-EN90</f>
        <v>13025.1144102258</v>
      </c>
      <c r="EP90" s="133" t="n">
        <f aca="false">EB90+$D90*Inputs!$I$13</f>
        <v>11538.0813194046</v>
      </c>
      <c r="EQ90" s="84" t="n">
        <f aca="false">MIN(EN90,EP90)</f>
        <v>3256.27860255646</v>
      </c>
      <c r="ER90" s="84" t="n">
        <f aca="false">EP90-EQ90</f>
        <v>8281.8027168481</v>
      </c>
      <c r="ES90" s="84" t="n">
        <f aca="false">EE90+$G90*(EP90+EE90)</f>
        <v>8487.35035692907</v>
      </c>
      <c r="ET90" s="84" t="n">
        <f aca="false">MIN(EN90-EQ90,ES90)</f>
        <v>0</v>
      </c>
      <c r="EU90" s="84" t="n">
        <f aca="false">ES90-ET90</f>
        <v>8487.35035692907</v>
      </c>
      <c r="EV90" s="84" t="n">
        <f aca="false">IF($H90=1,MIN(EN90-EQ90-ET90,MAX(0,$F90/(1-$F90)*(EJ90+ET90)-EK90)),0)</f>
        <v>0</v>
      </c>
      <c r="EW90" s="84" t="n">
        <f aca="false">EN90-EQ90-ET90-EV90</f>
        <v>0</v>
      </c>
      <c r="EX90" s="84" t="n">
        <f aca="false">EQ90+ET90+(1-$F90)*EW90</f>
        <v>3256.27860255646</v>
      </c>
      <c r="EY90" s="84" t="n">
        <f aca="false">EV90+$F90*EW90</f>
        <v>0</v>
      </c>
      <c r="EZ90" s="84" t="n">
        <f aca="false">EJ90+ET90+(1-$F90)*EW90</f>
        <v>0</v>
      </c>
      <c r="FA90" s="84" t="n">
        <f aca="false">EK90+EY90</f>
        <v>0</v>
      </c>
      <c r="FB90" s="133" t="n">
        <f aca="false">EO90+$D90*Inputs!$J$13-$D90*$E90</f>
        <v>12755.1144102258</v>
      </c>
      <c r="FC90" s="84" t="n">
        <f aca="false">FB90*(1+$I90)</f>
        <v>13647.9724189416</v>
      </c>
      <c r="FD90" s="133" t="n">
        <f aca="false">FC90*Inputs!$J$14</f>
        <v>2729.59448378833</v>
      </c>
      <c r="FE90" s="84" t="n">
        <f aca="false">FC90-FD90</f>
        <v>10918.3779351533</v>
      </c>
      <c r="FF90" s="133" t="n">
        <f aca="false">ER90+$D90*Inputs!$J$13</f>
        <v>8281.8027168481</v>
      </c>
      <c r="FG90" s="84" t="n">
        <f aca="false">MIN(FD90,FF90)</f>
        <v>2729.59448378833</v>
      </c>
      <c r="FH90" s="84" t="n">
        <f aca="false">FF90-FG90</f>
        <v>5552.20823305977</v>
      </c>
      <c r="FI90" s="84" t="n">
        <f aca="false">EU90+$G90*(FF90+EU90)</f>
        <v>9828.88260283124</v>
      </c>
      <c r="FJ90" s="84" t="n">
        <f aca="false">MIN(FD90-FG90,FI90)</f>
        <v>0</v>
      </c>
      <c r="FK90" s="84" t="n">
        <f aca="false">FI90-FJ90</f>
        <v>9828.88260283124</v>
      </c>
      <c r="FL90" s="84" t="n">
        <f aca="false">IF($H90=1,MIN(FD90-FG90-FJ90,MAX(0,$F90/(1-$F90)*(EZ90+FJ90)-FA90)),0)</f>
        <v>0</v>
      </c>
      <c r="FM90" s="84" t="n">
        <f aca="false">FD90-FG90-FJ90-FL90</f>
        <v>0</v>
      </c>
      <c r="FN90" s="84" t="n">
        <f aca="false">FG90+FJ90+(1-$F90)*FM90</f>
        <v>2729.59448378833</v>
      </c>
      <c r="FO90" s="84" t="n">
        <f aca="false">FL90+$F90*FM90</f>
        <v>0</v>
      </c>
      <c r="FP90" s="84" t="n">
        <f aca="false">EZ90+FJ90+(1-$F90)*FM90</f>
        <v>0</v>
      </c>
      <c r="FQ90" s="84" t="n">
        <f aca="false">FA90+FO90</f>
        <v>0</v>
      </c>
      <c r="FR90" s="133" t="n">
        <f aca="false">FE90+$D90*Inputs!$K$13-$D90*$E90</f>
        <v>10648.3779351533</v>
      </c>
      <c r="FS90" s="84" t="n">
        <f aca="false">FR90*(1+$I90)</f>
        <v>11393.764390614</v>
      </c>
      <c r="FT90" s="133" t="n">
        <f aca="false">FS90*Inputs!$K$14</f>
        <v>2278.75287812281</v>
      </c>
      <c r="FU90" s="84" t="n">
        <f aca="false">FS90-FT90</f>
        <v>9115.01151249123</v>
      </c>
      <c r="FV90" s="133" t="n">
        <f aca="false">FH90+$D90*Inputs!$K$13</f>
        <v>5552.20823305977</v>
      </c>
      <c r="FW90" s="84" t="n">
        <f aca="false">MIN(FT90,FV90)</f>
        <v>2278.75287812281</v>
      </c>
      <c r="FX90" s="84" t="n">
        <f aca="false">FV90-FW90</f>
        <v>3273.45535493696</v>
      </c>
      <c r="FY90" s="84" t="n">
        <f aca="false">FK90+$G90*(FV90+FK90)</f>
        <v>11059.3698697025</v>
      </c>
      <c r="FZ90" s="84" t="n">
        <f aca="false">MIN(FT90-FW90,FY90)</f>
        <v>0</v>
      </c>
      <c r="GA90" s="84" t="n">
        <f aca="false">FY90-FZ90</f>
        <v>11059.3698697025</v>
      </c>
      <c r="GB90" s="84" t="n">
        <f aca="false">IF($H90=1,MIN(FT90-FW90-FZ90,MAX(0,$F90/(1-$F90)*(FP90+FZ90)-FQ90)),0)</f>
        <v>0</v>
      </c>
      <c r="GC90" s="84" t="n">
        <f aca="false">FT90-FW90-FZ90-GB90</f>
        <v>0</v>
      </c>
      <c r="GD90" s="84" t="n">
        <f aca="false">FW90+FZ90+(1-$F90)*GC90</f>
        <v>2278.75287812281</v>
      </c>
      <c r="GE90" s="84" t="n">
        <f aca="false">GB90+$F90*GC90</f>
        <v>0</v>
      </c>
      <c r="GF90" s="84" t="n">
        <f aca="false">FP90+FZ90+(1-$F90)*GC90</f>
        <v>0</v>
      </c>
      <c r="GG90" s="84" t="n">
        <f aca="false">FQ90+GE90</f>
        <v>0</v>
      </c>
      <c r="GH90" s="133" t="n">
        <f aca="false">FU90+$D90*Inputs!$L$13-$D90*$E90</f>
        <v>8845.01151249123</v>
      </c>
      <c r="GI90" s="84" t="n">
        <f aca="false">GH90*(1+$I90)</f>
        <v>9464.16231836562</v>
      </c>
      <c r="GJ90" s="133" t="n">
        <f aca="false">GI90*Inputs!$L$14</f>
        <v>9464.16231836562</v>
      </c>
      <c r="GK90" s="84" t="n">
        <f aca="false">GI90-GJ90</f>
        <v>0</v>
      </c>
      <c r="GL90" s="133" t="n">
        <f aca="false">FX90+$D90*Inputs!$L$13</f>
        <v>3273.45535493696</v>
      </c>
      <c r="GM90" s="84" t="n">
        <f aca="false">MIN(GJ90,GL90)</f>
        <v>3273.45535493696</v>
      </c>
      <c r="GN90" s="84" t="n">
        <f aca="false">GL90-GM90</f>
        <v>0</v>
      </c>
      <c r="GO90" s="84" t="n">
        <f aca="false">GA90+$G90*(GL90+GA90)</f>
        <v>12205.9958876737</v>
      </c>
      <c r="GP90" s="84" t="n">
        <f aca="false">MIN(GJ90-GM90,GO90)</f>
        <v>6190.70696342866</v>
      </c>
      <c r="GQ90" s="84" t="n">
        <f aca="false">GO90-GP90</f>
        <v>6015.28892424503</v>
      </c>
      <c r="GR90" s="84" t="n">
        <f aca="false">IF($H90=1,MIN(GJ90-GM90-GP90,MAX(0,$F90/(1-$F90)*(GF90+GP90)-GG90)),0)</f>
        <v>0</v>
      </c>
      <c r="GS90" s="84" t="n">
        <f aca="false">GJ90-GM90-GP90-GR90</f>
        <v>0</v>
      </c>
      <c r="GT90" s="84" t="n">
        <f aca="false">GM90+GP90+(1-$F90)*GS90</f>
        <v>9464.16231836562</v>
      </c>
      <c r="GU90" s="84" t="n">
        <f aca="false">GR90+$F90*GS90</f>
        <v>0</v>
      </c>
      <c r="GV90" s="84" t="n">
        <f aca="false">GF90+GP90+(1-$F90)*GS90</f>
        <v>6190.70696342866</v>
      </c>
      <c r="GW90" s="84" t="n">
        <f aca="false">GG90+GU90</f>
        <v>0</v>
      </c>
    </row>
    <row r="91" customFormat="false" ht="15" hidden="false" customHeight="false" outlineLevel="0" collapsed="false">
      <c r="A91" s="5" t="s">
        <v>639</v>
      </c>
      <c r="B91" s="5" t="s">
        <v>427</v>
      </c>
      <c r="C91" s="135" t="n">
        <v>8</v>
      </c>
      <c r="D91" s="47" t="n">
        <f aca="false">Inputs!$C$6</f>
        <v>20000</v>
      </c>
      <c r="E91" s="35" t="n">
        <f aca="false">Inputs!$C$19</f>
        <v>0.0135</v>
      </c>
      <c r="F91" s="36" t="n">
        <f aca="false">Inputs!$C$20</f>
        <v>0.2</v>
      </c>
      <c r="G91" s="36" t="n">
        <f aca="false">Inputs!$C$22</f>
        <v>0.08</v>
      </c>
      <c r="H91" s="27" t="n">
        <v>0</v>
      </c>
      <c r="I91" s="132" t="n">
        <f aca="false">Inputs!$C$38+$C91*Inputs!$C$39</f>
        <v>0.08</v>
      </c>
      <c r="J91" s="36" t="n">
        <f aca="false">Inputs!$C$9</f>
        <v>0.15</v>
      </c>
      <c r="K91" s="89" t="n">
        <f aca="false">IRR(W91:AG91,0.1)</f>
        <v>0.0577407391827779</v>
      </c>
      <c r="L91" s="45" t="n">
        <f aca="false">W91+NPV($J91,X91:AG91)</f>
        <v>-5864.7017299392</v>
      </c>
      <c r="M91" s="45" t="n">
        <f aca="false">SUM(BF91,BV91,CL91,DB91,DR91,EH91,EX91,FN91,GD91,GT91)</f>
        <v>27778.8889981478</v>
      </c>
      <c r="N91" s="43" t="n">
        <f aca="false">IF($D91*SUM(Inputs!$C$13:$L$13)=0,0,M91/($D91*SUM(Inputs!$C$13:$L$13)))</f>
        <v>1.38894444990739</v>
      </c>
      <c r="O91" s="42" t="n">
        <f aca="false">$D91*$E91*COLUMNS(Inputs!$C$13:$L$13)</f>
        <v>2700</v>
      </c>
      <c r="P91" s="45" t="n">
        <f aca="false">SUM(BG91,BW91,CM91,DC91,DS91,EI91,EY91,FO91,GE91,GU91)</f>
        <v>0</v>
      </c>
      <c r="Q91" s="42" t="n">
        <f aca="false">PV($J91,COLUMNS(Inputs!$C$13:$L$13),-$D91*$E91,0,1)</f>
        <v>1558.32765832774</v>
      </c>
      <c r="R91" s="45" t="n">
        <f aca="false">NPV($J91,BG91,BW91,CM91,DC91,DS91,EI91,EY91,FO91,GE91,GU91)</f>
        <v>0</v>
      </c>
      <c r="S91" s="45" t="n">
        <f aca="false">Q91+R91</f>
        <v>1558.32765832774</v>
      </c>
      <c r="T91" s="32" t="n">
        <f aca="false">IF(S91=0,0,Q91/S91)</f>
        <v>1</v>
      </c>
      <c r="U91" s="45" t="n">
        <f aca="false">ROUND(ABS(GK91)+ABS(SUM(AV91,BL91,CB91,CR91,DH91,DX91,EN91,FD91,FT91,GJ91)-M91-P91)+ABS(S91-(AH91+NPV($J91,AI91:AR91))),6)</f>
        <v>0</v>
      </c>
      <c r="W91" s="133" t="n">
        <f aca="false">-$D91*Inputs!$C$13</f>
        <v>-4000</v>
      </c>
      <c r="X91" s="133" t="n">
        <f aca="false">BF91-$D91*Inputs!$D$13</f>
        <v>-4000</v>
      </c>
      <c r="Y91" s="133" t="n">
        <f aca="false">BV91-$D91*Inputs!$E$13</f>
        <v>-4000</v>
      </c>
      <c r="Z91" s="133" t="n">
        <f aca="false">CL91-$D91*Inputs!$F$13</f>
        <v>-4000</v>
      </c>
      <c r="AA91" s="133" t="n">
        <f aca="false">DB91-$D91*Inputs!$G$13</f>
        <v>-4000</v>
      </c>
      <c r="AB91" s="133" t="n">
        <f aca="false">DR91-$D91*Inputs!$H$13</f>
        <v>4726.6030614528</v>
      </c>
      <c r="AC91" s="133" t="n">
        <f aca="false">EH91-$D91*Inputs!$I$13</f>
        <v>4025.46504509522</v>
      </c>
      <c r="AD91" s="133" t="n">
        <f aca="false">EX91-$D91*Inputs!$J$13</f>
        <v>3419.68179896227</v>
      </c>
      <c r="AE91" s="133" t="n">
        <f aca="false">FN91-$D91*Inputs!$K$13</f>
        <v>2896.2850743034</v>
      </c>
      <c r="AF91" s="133" t="n">
        <f aca="false">GD91-$D91*Inputs!$L$13</f>
        <v>2444.07030419814</v>
      </c>
      <c r="AG91" s="84" t="n">
        <f aca="false">GT91</f>
        <v>10266.783714136</v>
      </c>
      <c r="AH91" s="84" t="n">
        <f aca="false">$D91*$E91</f>
        <v>270</v>
      </c>
      <c r="AI91" s="84" t="n">
        <f aca="false">BG91+$D91*$E91</f>
        <v>270</v>
      </c>
      <c r="AJ91" s="84" t="n">
        <f aca="false">BW91+$D91*$E91</f>
        <v>270</v>
      </c>
      <c r="AK91" s="84" t="n">
        <f aca="false">CM91+$D91*$E91</f>
        <v>270</v>
      </c>
      <c r="AL91" s="84" t="n">
        <f aca="false">DC91+$D91*$E91</f>
        <v>270</v>
      </c>
      <c r="AM91" s="84" t="n">
        <f aca="false">DS91+$D91*$E91</f>
        <v>270</v>
      </c>
      <c r="AN91" s="84" t="n">
        <f aca="false">EI91+$D91*$E91</f>
        <v>270</v>
      </c>
      <c r="AO91" s="84" t="n">
        <f aca="false">EY91+$D91*$E91</f>
        <v>270</v>
      </c>
      <c r="AP91" s="84" t="n">
        <f aca="false">FO91+$D91*$E91</f>
        <v>270</v>
      </c>
      <c r="AQ91" s="84" t="n">
        <f aca="false">GE91+$D91*$E91</f>
        <v>270</v>
      </c>
      <c r="AR91" s="84" t="n">
        <f aca="false">GU91</f>
        <v>0</v>
      </c>
      <c r="AT91" s="133" t="n">
        <f aca="false">$D91*Inputs!$C$13-$D91*$E91</f>
        <v>3730</v>
      </c>
      <c r="AU91" s="84" t="n">
        <f aca="false">AT91*(1+$I91)</f>
        <v>4028.4</v>
      </c>
      <c r="AV91" s="133" t="n">
        <f aca="false">AU91*Inputs!$C$14</f>
        <v>0</v>
      </c>
      <c r="AW91" s="84" t="n">
        <f aca="false">AU91-AV91</f>
        <v>4028.4</v>
      </c>
      <c r="AX91" s="133" t="n">
        <f aca="false">$D91*Inputs!$C$13</f>
        <v>4000</v>
      </c>
      <c r="AY91" s="84" t="n">
        <f aca="false">MIN(AV91,AX91)</f>
        <v>0</v>
      </c>
      <c r="AZ91" s="84" t="n">
        <f aca="false">AX91-AY91</f>
        <v>4000</v>
      </c>
      <c r="BA91" s="84" t="n">
        <f aca="false">$G91*AX91</f>
        <v>320</v>
      </c>
      <c r="BB91" s="84" t="n">
        <f aca="false">MIN(AV91-AY91,BA91)</f>
        <v>0</v>
      </c>
      <c r="BC91" s="84" t="n">
        <f aca="false">BA91-BB91</f>
        <v>320</v>
      </c>
      <c r="BD91" s="84" t="n">
        <f aca="false">IF($H91=1,MIN(AV91-AY91-BB91,MAX(0,$F91/(1-$F91)*BB91)),0)</f>
        <v>0</v>
      </c>
      <c r="BE91" s="84" t="n">
        <f aca="false">AV91-AY91-BB91-BD91</f>
        <v>0</v>
      </c>
      <c r="BF91" s="84" t="n">
        <f aca="false">AY91+BB91+(1-$F91)*BE91</f>
        <v>0</v>
      </c>
      <c r="BG91" s="84" t="n">
        <f aca="false">BD91+$F91*BE91</f>
        <v>0</v>
      </c>
      <c r="BH91" s="84" t="n">
        <f aca="false">BB91+(1-$F91)*BE91</f>
        <v>0</v>
      </c>
      <c r="BI91" s="84" t="n">
        <f aca="false">BG91</f>
        <v>0</v>
      </c>
      <c r="BJ91" s="133" t="n">
        <f aca="false">AW91+$D91*Inputs!$D$13-$D91*$E91</f>
        <v>7758.4</v>
      </c>
      <c r="BK91" s="84" t="n">
        <f aca="false">BJ91*(1+$I91)</f>
        <v>8379.072</v>
      </c>
      <c r="BL91" s="133" t="n">
        <f aca="false">BK91*Inputs!$D$14</f>
        <v>0</v>
      </c>
      <c r="BM91" s="84" t="n">
        <f aca="false">BK91-BL91</f>
        <v>8379.072</v>
      </c>
      <c r="BN91" s="133" t="n">
        <f aca="false">AZ91+$D91*Inputs!$D$13</f>
        <v>8000</v>
      </c>
      <c r="BO91" s="84" t="n">
        <f aca="false">MIN(BL91,BN91)</f>
        <v>0</v>
      </c>
      <c r="BP91" s="84" t="n">
        <f aca="false">BN91-BO91</f>
        <v>8000</v>
      </c>
      <c r="BQ91" s="84" t="n">
        <f aca="false">BC91+$G91*(BN91+BC91)</f>
        <v>985.6</v>
      </c>
      <c r="BR91" s="84" t="n">
        <f aca="false">MIN(BL91-BO91,BQ91)</f>
        <v>0</v>
      </c>
      <c r="BS91" s="84" t="n">
        <f aca="false">BQ91-BR91</f>
        <v>985.6</v>
      </c>
      <c r="BT91" s="84" t="n">
        <f aca="false">IF($H91=1,MIN(BL91-BO91-BR91,MAX(0,$F91/(1-$F91)*(BH91+BR91)-BI91)),0)</f>
        <v>0</v>
      </c>
      <c r="BU91" s="84" t="n">
        <f aca="false">BL91-BO91-BR91-BT91</f>
        <v>0</v>
      </c>
      <c r="BV91" s="84" t="n">
        <f aca="false">BO91+BR91+(1-$F91)*BU91</f>
        <v>0</v>
      </c>
      <c r="BW91" s="84" t="n">
        <f aca="false">BT91+$F91*BU91</f>
        <v>0</v>
      </c>
      <c r="BX91" s="84" t="n">
        <f aca="false">BH91+BR91+(1-$F91)*BU91</f>
        <v>0</v>
      </c>
      <c r="BY91" s="84" t="n">
        <f aca="false">BI91+BW91</f>
        <v>0</v>
      </c>
      <c r="BZ91" s="133" t="n">
        <f aca="false">BM91+$D91*Inputs!$E$13-$D91*$E91</f>
        <v>12109.072</v>
      </c>
      <c r="CA91" s="84" t="n">
        <f aca="false">BZ91*(1+$I91)</f>
        <v>13077.79776</v>
      </c>
      <c r="CB91" s="133" t="n">
        <f aca="false">CA91*Inputs!$E$14</f>
        <v>0</v>
      </c>
      <c r="CC91" s="84" t="n">
        <f aca="false">CA91-CB91</f>
        <v>13077.79776</v>
      </c>
      <c r="CD91" s="133" t="n">
        <f aca="false">BP91+$D91*Inputs!$E$13</f>
        <v>12000</v>
      </c>
      <c r="CE91" s="84" t="n">
        <f aca="false">MIN(CB91,CD91)</f>
        <v>0</v>
      </c>
      <c r="CF91" s="84" t="n">
        <f aca="false">CD91-CE91</f>
        <v>12000</v>
      </c>
      <c r="CG91" s="84" t="n">
        <f aca="false">BS91+$G91*(CD91+BS91)</f>
        <v>2024.448</v>
      </c>
      <c r="CH91" s="84" t="n">
        <f aca="false">MIN(CB91-CE91,CG91)</f>
        <v>0</v>
      </c>
      <c r="CI91" s="84" t="n">
        <f aca="false">CG91-CH91</f>
        <v>2024.448</v>
      </c>
      <c r="CJ91" s="84" t="n">
        <f aca="false">IF($H91=1,MIN(CB91-CE91-CH91,MAX(0,$F91/(1-$F91)*(BX91+CH91)-BY91)),0)</f>
        <v>0</v>
      </c>
      <c r="CK91" s="84" t="n">
        <f aca="false">CB91-CE91-CH91-CJ91</f>
        <v>0</v>
      </c>
      <c r="CL91" s="84" t="n">
        <f aca="false">CE91+CH91+(1-$F91)*CK91</f>
        <v>0</v>
      </c>
      <c r="CM91" s="84" t="n">
        <f aca="false">CJ91+$F91*CK91</f>
        <v>0</v>
      </c>
      <c r="CN91" s="84" t="n">
        <f aca="false">BX91+CH91+(1-$F91)*CK91</f>
        <v>0</v>
      </c>
      <c r="CO91" s="84" t="n">
        <f aca="false">BY91+CM91</f>
        <v>0</v>
      </c>
      <c r="CP91" s="133" t="n">
        <f aca="false">CC91+$D91*Inputs!$F$13-$D91*$E91</f>
        <v>16807.79776</v>
      </c>
      <c r="CQ91" s="84" t="n">
        <f aca="false">CP91*(1+$I91)</f>
        <v>18152.4215808</v>
      </c>
      <c r="CR91" s="133" t="n">
        <f aca="false">CQ91*Inputs!$F$14</f>
        <v>0</v>
      </c>
      <c r="CS91" s="84" t="n">
        <f aca="false">CQ91-CR91</f>
        <v>18152.4215808</v>
      </c>
      <c r="CT91" s="133" t="n">
        <f aca="false">CF91+$D91*Inputs!$F$13</f>
        <v>16000</v>
      </c>
      <c r="CU91" s="84" t="n">
        <f aca="false">MIN(CR91,CT91)</f>
        <v>0</v>
      </c>
      <c r="CV91" s="84" t="n">
        <f aca="false">CT91-CU91</f>
        <v>16000</v>
      </c>
      <c r="CW91" s="84" t="n">
        <f aca="false">CI91+$G91*(CT91+CI91)</f>
        <v>3466.40384</v>
      </c>
      <c r="CX91" s="84" t="n">
        <f aca="false">MIN(CR91-CU91,CW91)</f>
        <v>0</v>
      </c>
      <c r="CY91" s="84" t="n">
        <f aca="false">CW91-CX91</f>
        <v>3466.40384</v>
      </c>
      <c r="CZ91" s="84" t="n">
        <f aca="false">IF($H91=1,MIN(CR91-CU91-CX91,MAX(0,$F91/(1-$F91)*(CN91+CX91)-CO91)),0)</f>
        <v>0</v>
      </c>
      <c r="DA91" s="84" t="n">
        <f aca="false">CR91-CU91-CX91-CZ91</f>
        <v>0</v>
      </c>
      <c r="DB91" s="84" t="n">
        <f aca="false">CU91+CX91+(1-$F91)*DA91</f>
        <v>0</v>
      </c>
      <c r="DC91" s="84" t="n">
        <f aca="false">CZ91+$F91*DA91</f>
        <v>0</v>
      </c>
      <c r="DD91" s="84" t="n">
        <f aca="false">CN91+CX91+(1-$F91)*DA91</f>
        <v>0</v>
      </c>
      <c r="DE91" s="84" t="n">
        <f aca="false">CO91+DC91</f>
        <v>0</v>
      </c>
      <c r="DF91" s="133" t="n">
        <f aca="false">CS91+$D91*Inputs!$G$13-$D91*$E91</f>
        <v>21882.4215808</v>
      </c>
      <c r="DG91" s="84" t="n">
        <f aca="false">DF91*(1+$I91)</f>
        <v>23633.015307264</v>
      </c>
      <c r="DH91" s="133" t="n">
        <f aca="false">DG91*Inputs!$G$14</f>
        <v>4726.6030614528</v>
      </c>
      <c r="DI91" s="84" t="n">
        <f aca="false">DG91-DH91</f>
        <v>18906.4122458112</v>
      </c>
      <c r="DJ91" s="133" t="n">
        <f aca="false">CV91+$D91*Inputs!$G$13</f>
        <v>20000</v>
      </c>
      <c r="DK91" s="84" t="n">
        <f aca="false">MIN(DH91,DJ91)</f>
        <v>4726.6030614528</v>
      </c>
      <c r="DL91" s="84" t="n">
        <f aca="false">DJ91-DK91</f>
        <v>15273.3969385472</v>
      </c>
      <c r="DM91" s="84" t="n">
        <f aca="false">CY91+$G91*(DJ91+CY91)</f>
        <v>5343.7161472</v>
      </c>
      <c r="DN91" s="84" t="n">
        <f aca="false">MIN(DH91-DK91,DM91)</f>
        <v>0</v>
      </c>
      <c r="DO91" s="84" t="n">
        <f aca="false">DM91-DN91</f>
        <v>5343.7161472</v>
      </c>
      <c r="DP91" s="84" t="n">
        <f aca="false">IF($H91=1,MIN(DH91-DK91-DN91,MAX(0,$F91/(1-$F91)*(DD91+DN91)-DE91)),0)</f>
        <v>0</v>
      </c>
      <c r="DQ91" s="84" t="n">
        <f aca="false">DH91-DK91-DN91-DP91</f>
        <v>0</v>
      </c>
      <c r="DR91" s="84" t="n">
        <f aca="false">DK91+DN91+(1-$F91)*DQ91</f>
        <v>4726.6030614528</v>
      </c>
      <c r="DS91" s="84" t="n">
        <f aca="false">DP91+$F91*DQ91</f>
        <v>0</v>
      </c>
      <c r="DT91" s="84" t="n">
        <f aca="false">DD91+DN91+(1-$F91)*DQ91</f>
        <v>0</v>
      </c>
      <c r="DU91" s="84" t="n">
        <f aca="false">DE91+DS91</f>
        <v>0</v>
      </c>
      <c r="DV91" s="133" t="n">
        <f aca="false">DI91+$D91*Inputs!$H$13-$D91*$E91</f>
        <v>18636.4122458112</v>
      </c>
      <c r="DW91" s="84" t="n">
        <f aca="false">DV91*(1+$I91)</f>
        <v>20127.3252254761</v>
      </c>
      <c r="DX91" s="133" t="n">
        <f aca="false">DW91*Inputs!$H$14</f>
        <v>4025.46504509522</v>
      </c>
      <c r="DY91" s="84" t="n">
        <f aca="false">DW91-DX91</f>
        <v>16101.8601803809</v>
      </c>
      <c r="DZ91" s="133" t="n">
        <f aca="false">DL91+$D91*Inputs!$H$13</f>
        <v>15273.3969385472</v>
      </c>
      <c r="EA91" s="84" t="n">
        <f aca="false">MIN(DX91,DZ91)</f>
        <v>4025.46504509522</v>
      </c>
      <c r="EB91" s="84" t="n">
        <f aca="false">DZ91-EA91</f>
        <v>11247.931893452</v>
      </c>
      <c r="EC91" s="84" t="n">
        <f aca="false">DO91+$G91*(DZ91+DO91)</f>
        <v>6993.08519405978</v>
      </c>
      <c r="ED91" s="84" t="n">
        <f aca="false">MIN(DX91-EA91,EC91)</f>
        <v>0</v>
      </c>
      <c r="EE91" s="84" t="n">
        <f aca="false">EC91-ED91</f>
        <v>6993.08519405978</v>
      </c>
      <c r="EF91" s="84" t="n">
        <f aca="false">IF($H91=1,MIN(DX91-EA91-ED91,MAX(0,$F91/(1-$F91)*(DT91+ED91)-DU91)),0)</f>
        <v>0</v>
      </c>
      <c r="EG91" s="84" t="n">
        <f aca="false">DX91-EA91-ED91-EF91</f>
        <v>0</v>
      </c>
      <c r="EH91" s="84" t="n">
        <f aca="false">EA91+ED91+(1-$F91)*EG91</f>
        <v>4025.46504509522</v>
      </c>
      <c r="EI91" s="84" t="n">
        <f aca="false">EF91+$F91*EG91</f>
        <v>0</v>
      </c>
      <c r="EJ91" s="84" t="n">
        <f aca="false">DT91+ED91+(1-$F91)*EG91</f>
        <v>0</v>
      </c>
      <c r="EK91" s="84" t="n">
        <f aca="false">DU91+EI91</f>
        <v>0</v>
      </c>
      <c r="EL91" s="133" t="n">
        <f aca="false">DY91+$D91*Inputs!$I$13-$D91*$E91</f>
        <v>15831.8601803809</v>
      </c>
      <c r="EM91" s="84" t="n">
        <f aca="false">EL91*(1+$I91)</f>
        <v>17098.4089948114</v>
      </c>
      <c r="EN91" s="133" t="n">
        <f aca="false">EM91*Inputs!$I$14</f>
        <v>3419.68179896227</v>
      </c>
      <c r="EO91" s="84" t="n">
        <f aca="false">EM91-EN91</f>
        <v>13678.7271958491</v>
      </c>
      <c r="EP91" s="133" t="n">
        <f aca="false">EB91+$D91*Inputs!$I$13</f>
        <v>11247.931893452</v>
      </c>
      <c r="EQ91" s="84" t="n">
        <f aca="false">MIN(EN91,EP91)</f>
        <v>3419.68179896227</v>
      </c>
      <c r="ER91" s="84" t="n">
        <f aca="false">EP91-EQ91</f>
        <v>7828.25009448971</v>
      </c>
      <c r="ES91" s="84" t="n">
        <f aca="false">EE91+$G91*(EP91+EE91)</f>
        <v>8452.36656106072</v>
      </c>
      <c r="ET91" s="84" t="n">
        <f aca="false">MIN(EN91-EQ91,ES91)</f>
        <v>0</v>
      </c>
      <c r="EU91" s="84" t="n">
        <f aca="false">ES91-ET91</f>
        <v>8452.36656106072</v>
      </c>
      <c r="EV91" s="84" t="n">
        <f aca="false">IF($H91=1,MIN(EN91-EQ91-ET91,MAX(0,$F91/(1-$F91)*(EJ91+ET91)-EK91)),0)</f>
        <v>0</v>
      </c>
      <c r="EW91" s="84" t="n">
        <f aca="false">EN91-EQ91-ET91-EV91</f>
        <v>0</v>
      </c>
      <c r="EX91" s="84" t="n">
        <f aca="false">EQ91+ET91+(1-$F91)*EW91</f>
        <v>3419.68179896227</v>
      </c>
      <c r="EY91" s="84" t="n">
        <f aca="false">EV91+$F91*EW91</f>
        <v>0</v>
      </c>
      <c r="EZ91" s="84" t="n">
        <f aca="false">EJ91+ET91+(1-$F91)*EW91</f>
        <v>0</v>
      </c>
      <c r="FA91" s="84" t="n">
        <f aca="false">EK91+EY91</f>
        <v>0</v>
      </c>
      <c r="FB91" s="133" t="n">
        <f aca="false">EO91+$D91*Inputs!$J$13-$D91*$E91</f>
        <v>13408.7271958491</v>
      </c>
      <c r="FC91" s="84" t="n">
        <f aca="false">FB91*(1+$I91)</f>
        <v>14481.425371517</v>
      </c>
      <c r="FD91" s="133" t="n">
        <f aca="false">FC91*Inputs!$J$14</f>
        <v>2896.2850743034</v>
      </c>
      <c r="FE91" s="84" t="n">
        <f aca="false">FC91-FD91</f>
        <v>11585.1402972136</v>
      </c>
      <c r="FF91" s="133" t="n">
        <f aca="false">ER91+$D91*Inputs!$J$13</f>
        <v>7828.25009448971</v>
      </c>
      <c r="FG91" s="84" t="n">
        <f aca="false">MIN(FD91,FF91)</f>
        <v>2896.2850743034</v>
      </c>
      <c r="FH91" s="84" t="n">
        <f aca="false">FF91-FG91</f>
        <v>4931.96502018631</v>
      </c>
      <c r="FI91" s="84" t="n">
        <f aca="false">EU91+$G91*(FF91+EU91)</f>
        <v>9754.81589350475</v>
      </c>
      <c r="FJ91" s="84" t="n">
        <f aca="false">MIN(FD91-FG91,FI91)</f>
        <v>0</v>
      </c>
      <c r="FK91" s="84" t="n">
        <f aca="false">FI91-FJ91</f>
        <v>9754.81589350475</v>
      </c>
      <c r="FL91" s="84" t="n">
        <f aca="false">IF($H91=1,MIN(FD91-FG91-FJ91,MAX(0,$F91/(1-$F91)*(EZ91+FJ91)-FA91)),0)</f>
        <v>0</v>
      </c>
      <c r="FM91" s="84" t="n">
        <f aca="false">FD91-FG91-FJ91-FL91</f>
        <v>0</v>
      </c>
      <c r="FN91" s="84" t="n">
        <f aca="false">FG91+FJ91+(1-$F91)*FM91</f>
        <v>2896.2850743034</v>
      </c>
      <c r="FO91" s="84" t="n">
        <f aca="false">FL91+$F91*FM91</f>
        <v>0</v>
      </c>
      <c r="FP91" s="84" t="n">
        <f aca="false">EZ91+FJ91+(1-$F91)*FM91</f>
        <v>0</v>
      </c>
      <c r="FQ91" s="84" t="n">
        <f aca="false">FA91+FO91</f>
        <v>0</v>
      </c>
      <c r="FR91" s="133" t="n">
        <f aca="false">FE91+$D91*Inputs!$K$13-$D91*$E91</f>
        <v>11315.1402972136</v>
      </c>
      <c r="FS91" s="84" t="n">
        <f aca="false">FR91*(1+$I91)</f>
        <v>12220.3515209907</v>
      </c>
      <c r="FT91" s="133" t="n">
        <f aca="false">FS91*Inputs!$K$14</f>
        <v>2444.07030419814</v>
      </c>
      <c r="FU91" s="84" t="n">
        <f aca="false">FS91-FT91</f>
        <v>9776.28121679256</v>
      </c>
      <c r="FV91" s="133" t="n">
        <f aca="false">FH91+$D91*Inputs!$K$13</f>
        <v>4931.96502018631</v>
      </c>
      <c r="FW91" s="84" t="n">
        <f aca="false">MIN(FT91,FV91)</f>
        <v>2444.07030419814</v>
      </c>
      <c r="FX91" s="84" t="n">
        <f aca="false">FV91-FW91</f>
        <v>2487.89471598817</v>
      </c>
      <c r="FY91" s="84" t="n">
        <f aca="false">FK91+$G91*(FV91+FK91)</f>
        <v>10929.7583666</v>
      </c>
      <c r="FZ91" s="84" t="n">
        <f aca="false">MIN(FT91-FW91,FY91)</f>
        <v>0</v>
      </c>
      <c r="GA91" s="84" t="n">
        <f aca="false">FY91-FZ91</f>
        <v>10929.7583666</v>
      </c>
      <c r="GB91" s="84" t="n">
        <f aca="false">IF($H91=1,MIN(FT91-FW91-FZ91,MAX(0,$F91/(1-$F91)*(FP91+FZ91)-FQ91)),0)</f>
        <v>0</v>
      </c>
      <c r="GC91" s="84" t="n">
        <f aca="false">FT91-FW91-FZ91-GB91</f>
        <v>0</v>
      </c>
      <c r="GD91" s="84" t="n">
        <f aca="false">FW91+FZ91+(1-$F91)*GC91</f>
        <v>2444.07030419814</v>
      </c>
      <c r="GE91" s="84" t="n">
        <f aca="false">GB91+$F91*GC91</f>
        <v>0</v>
      </c>
      <c r="GF91" s="84" t="n">
        <f aca="false">FP91+FZ91+(1-$F91)*GC91</f>
        <v>0</v>
      </c>
      <c r="GG91" s="84" t="n">
        <f aca="false">FQ91+GE91</f>
        <v>0</v>
      </c>
      <c r="GH91" s="133" t="n">
        <f aca="false">FU91+$D91*Inputs!$L$13-$D91*$E91</f>
        <v>9506.28121679256</v>
      </c>
      <c r="GI91" s="84" t="n">
        <f aca="false">GH91*(1+$I91)</f>
        <v>10266.783714136</v>
      </c>
      <c r="GJ91" s="133" t="n">
        <f aca="false">GI91*Inputs!$L$14</f>
        <v>10266.783714136</v>
      </c>
      <c r="GK91" s="84" t="n">
        <f aca="false">GI91-GJ91</f>
        <v>0</v>
      </c>
      <c r="GL91" s="133" t="n">
        <f aca="false">FX91+$D91*Inputs!$L$13</f>
        <v>2487.89471598817</v>
      </c>
      <c r="GM91" s="84" t="n">
        <f aca="false">MIN(GJ91,GL91)</f>
        <v>2487.89471598817</v>
      </c>
      <c r="GN91" s="84" t="n">
        <f aca="false">GL91-GM91</f>
        <v>0</v>
      </c>
      <c r="GO91" s="84" t="n">
        <f aca="false">GA91+$G91*(GL91+GA91)</f>
        <v>12003.1706132071</v>
      </c>
      <c r="GP91" s="84" t="n">
        <f aca="false">MIN(GJ91-GM91,GO91)</f>
        <v>7778.88899814779</v>
      </c>
      <c r="GQ91" s="84" t="n">
        <f aca="false">GO91-GP91</f>
        <v>4224.2816150593</v>
      </c>
      <c r="GR91" s="84" t="n">
        <f aca="false">IF($H91=1,MIN(GJ91-GM91-GP91,MAX(0,$F91/(1-$F91)*(GF91+GP91)-GG91)),0)</f>
        <v>0</v>
      </c>
      <c r="GS91" s="84" t="n">
        <f aca="false">GJ91-GM91-GP91-GR91</f>
        <v>0</v>
      </c>
      <c r="GT91" s="84" t="n">
        <f aca="false">GM91+GP91+(1-$F91)*GS91</f>
        <v>10266.783714136</v>
      </c>
      <c r="GU91" s="84" t="n">
        <f aca="false">GR91+$F91*GS91</f>
        <v>0</v>
      </c>
      <c r="GV91" s="84" t="n">
        <f aca="false">GF91+GP91+(1-$F91)*GS91</f>
        <v>7778.88899814779</v>
      </c>
      <c r="GW91" s="84" t="n">
        <f aca="false">GG91+GU91</f>
        <v>0</v>
      </c>
    </row>
    <row r="92" customFormat="false" ht="15" hidden="false" customHeight="false" outlineLevel="0" collapsed="false">
      <c r="A92" s="5" t="s">
        <v>639</v>
      </c>
      <c r="B92" s="5" t="s">
        <v>427</v>
      </c>
      <c r="C92" s="135" t="n">
        <v>9</v>
      </c>
      <c r="D92" s="47" t="n">
        <f aca="false">Inputs!$C$6</f>
        <v>20000</v>
      </c>
      <c r="E92" s="35" t="n">
        <f aca="false">Inputs!$C$19</f>
        <v>0.0135</v>
      </c>
      <c r="F92" s="36" t="n">
        <f aca="false">Inputs!$C$20</f>
        <v>0.2</v>
      </c>
      <c r="G92" s="36" t="n">
        <f aca="false">Inputs!$C$22</f>
        <v>0.08</v>
      </c>
      <c r="H92" s="27" t="n">
        <v>0</v>
      </c>
      <c r="I92" s="132" t="n">
        <f aca="false">Inputs!$C$38+$C92*Inputs!$C$39</f>
        <v>0.09</v>
      </c>
      <c r="J92" s="36" t="n">
        <f aca="false">Inputs!$C$9</f>
        <v>0.15</v>
      </c>
      <c r="K92" s="89" t="n">
        <f aca="false">IRR(W92:AG92,0.1)</f>
        <v>0.0680480587975426</v>
      </c>
      <c r="L92" s="45" t="n">
        <f aca="false">W92+NPV($J92,X92:AG92)</f>
        <v>-5342.21286936829</v>
      </c>
      <c r="M92" s="45" t="n">
        <f aca="false">SUM(BF92,BV92,CL92,DB92,DR92,EH92,EX92,FN92,GD92,GT92)</f>
        <v>29460.2988383725</v>
      </c>
      <c r="N92" s="43" t="n">
        <f aca="false">IF($D92*SUM(Inputs!$C$13:$L$13)=0,0,M92/($D92*SUM(Inputs!$C$13:$L$13)))</f>
        <v>1.47301494191862</v>
      </c>
      <c r="O92" s="42" t="n">
        <f aca="false">$D92*$E92*COLUMNS(Inputs!$C$13:$L$13)</f>
        <v>2700</v>
      </c>
      <c r="P92" s="45" t="n">
        <f aca="false">SUM(BG92,BW92,CM92,DC92,DS92,EI92,EY92,FO92,GE92,GU92)</f>
        <v>0</v>
      </c>
      <c r="Q92" s="42" t="n">
        <f aca="false">PV($J92,COLUMNS(Inputs!$C$13:$L$13),-$D92*$E92,0,1)</f>
        <v>1558.32765832774</v>
      </c>
      <c r="R92" s="45" t="n">
        <f aca="false">NPV($J92,BG92,BW92,CM92,DC92,DS92,EI92,EY92,FO92,GE92,GU92)</f>
        <v>0</v>
      </c>
      <c r="S92" s="45" t="n">
        <f aca="false">Q92+R92</f>
        <v>1558.32765832774</v>
      </c>
      <c r="T92" s="32" t="n">
        <f aca="false">IF(S92=0,0,Q92/S92)</f>
        <v>1</v>
      </c>
      <c r="U92" s="45" t="n">
        <f aca="false">ROUND(ABS(GK92)+ABS(SUM(AV92,BL92,CB92,CR92,DH92,DX92,EN92,FD92,FT92,GJ92)-M92-P92)+ABS(S92-(AH92+NPV($J92,AI92:AR92))),6)</f>
        <v>0</v>
      </c>
      <c r="W92" s="133" t="n">
        <f aca="false">-$D92*Inputs!$C$13</f>
        <v>-4000</v>
      </c>
      <c r="X92" s="133" t="n">
        <f aca="false">BF92-$D92*Inputs!$D$13</f>
        <v>-4000</v>
      </c>
      <c r="Y92" s="133" t="n">
        <f aca="false">BV92-$D92*Inputs!$E$13</f>
        <v>-4000</v>
      </c>
      <c r="Z92" s="133" t="n">
        <f aca="false">CL92-$D92*Inputs!$F$13</f>
        <v>-4000</v>
      </c>
      <c r="AA92" s="133" t="n">
        <f aca="false">DB92-$D92*Inputs!$G$13</f>
        <v>-4000</v>
      </c>
      <c r="AB92" s="133" t="n">
        <f aca="false">DR92-$D92*Inputs!$H$13</f>
        <v>4866.4075854154</v>
      </c>
      <c r="AC92" s="133" t="n">
        <f aca="false">EH92-$D92*Inputs!$I$13</f>
        <v>4184.64741448223</v>
      </c>
      <c r="AD92" s="133" t="n">
        <f aca="false">EX92-$D92*Inputs!$J$13</f>
        <v>3590.15254542851</v>
      </c>
      <c r="AE92" s="133" t="n">
        <f aca="false">FN92-$D92*Inputs!$K$13</f>
        <v>3071.75301961366</v>
      </c>
      <c r="AF92" s="133" t="n">
        <f aca="false">GD92-$D92*Inputs!$L$13</f>
        <v>2619.70863310311</v>
      </c>
      <c r="AG92" s="84" t="n">
        <f aca="false">GT92</f>
        <v>11127.6296403296</v>
      </c>
      <c r="AH92" s="84" t="n">
        <f aca="false">$D92*$E92</f>
        <v>270</v>
      </c>
      <c r="AI92" s="84" t="n">
        <f aca="false">BG92+$D92*$E92</f>
        <v>270</v>
      </c>
      <c r="AJ92" s="84" t="n">
        <f aca="false">BW92+$D92*$E92</f>
        <v>270</v>
      </c>
      <c r="AK92" s="84" t="n">
        <f aca="false">CM92+$D92*$E92</f>
        <v>270</v>
      </c>
      <c r="AL92" s="84" t="n">
        <f aca="false">DC92+$D92*$E92</f>
        <v>270</v>
      </c>
      <c r="AM92" s="84" t="n">
        <f aca="false">DS92+$D92*$E92</f>
        <v>270</v>
      </c>
      <c r="AN92" s="84" t="n">
        <f aca="false">EI92+$D92*$E92</f>
        <v>270</v>
      </c>
      <c r="AO92" s="84" t="n">
        <f aca="false">EY92+$D92*$E92</f>
        <v>270</v>
      </c>
      <c r="AP92" s="84" t="n">
        <f aca="false">FO92+$D92*$E92</f>
        <v>270</v>
      </c>
      <c r="AQ92" s="84" t="n">
        <f aca="false">GE92+$D92*$E92</f>
        <v>270</v>
      </c>
      <c r="AR92" s="84" t="n">
        <f aca="false">GU92</f>
        <v>0</v>
      </c>
      <c r="AT92" s="133" t="n">
        <f aca="false">$D92*Inputs!$C$13-$D92*$E92</f>
        <v>3730</v>
      </c>
      <c r="AU92" s="84" t="n">
        <f aca="false">AT92*(1+$I92)</f>
        <v>4065.7</v>
      </c>
      <c r="AV92" s="133" t="n">
        <f aca="false">AU92*Inputs!$C$14</f>
        <v>0</v>
      </c>
      <c r="AW92" s="84" t="n">
        <f aca="false">AU92-AV92</f>
        <v>4065.7</v>
      </c>
      <c r="AX92" s="133" t="n">
        <f aca="false">$D92*Inputs!$C$13</f>
        <v>4000</v>
      </c>
      <c r="AY92" s="84" t="n">
        <f aca="false">MIN(AV92,AX92)</f>
        <v>0</v>
      </c>
      <c r="AZ92" s="84" t="n">
        <f aca="false">AX92-AY92</f>
        <v>4000</v>
      </c>
      <c r="BA92" s="84" t="n">
        <f aca="false">$G92*AX92</f>
        <v>320</v>
      </c>
      <c r="BB92" s="84" t="n">
        <f aca="false">MIN(AV92-AY92,BA92)</f>
        <v>0</v>
      </c>
      <c r="BC92" s="84" t="n">
        <f aca="false">BA92-BB92</f>
        <v>320</v>
      </c>
      <c r="BD92" s="84" t="n">
        <f aca="false">IF($H92=1,MIN(AV92-AY92-BB92,MAX(0,$F92/(1-$F92)*BB92)),0)</f>
        <v>0</v>
      </c>
      <c r="BE92" s="84" t="n">
        <f aca="false">AV92-AY92-BB92-BD92</f>
        <v>0</v>
      </c>
      <c r="BF92" s="84" t="n">
        <f aca="false">AY92+BB92+(1-$F92)*BE92</f>
        <v>0</v>
      </c>
      <c r="BG92" s="84" t="n">
        <f aca="false">BD92+$F92*BE92</f>
        <v>0</v>
      </c>
      <c r="BH92" s="84" t="n">
        <f aca="false">BB92+(1-$F92)*BE92</f>
        <v>0</v>
      </c>
      <c r="BI92" s="84" t="n">
        <f aca="false">BG92</f>
        <v>0</v>
      </c>
      <c r="BJ92" s="133" t="n">
        <f aca="false">AW92+$D92*Inputs!$D$13-$D92*$E92</f>
        <v>7795.7</v>
      </c>
      <c r="BK92" s="84" t="n">
        <f aca="false">BJ92*(1+$I92)</f>
        <v>8497.313</v>
      </c>
      <c r="BL92" s="133" t="n">
        <f aca="false">BK92*Inputs!$D$14</f>
        <v>0</v>
      </c>
      <c r="BM92" s="84" t="n">
        <f aca="false">BK92-BL92</f>
        <v>8497.313</v>
      </c>
      <c r="BN92" s="133" t="n">
        <f aca="false">AZ92+$D92*Inputs!$D$13</f>
        <v>8000</v>
      </c>
      <c r="BO92" s="84" t="n">
        <f aca="false">MIN(BL92,BN92)</f>
        <v>0</v>
      </c>
      <c r="BP92" s="84" t="n">
        <f aca="false">BN92-BO92</f>
        <v>8000</v>
      </c>
      <c r="BQ92" s="84" t="n">
        <f aca="false">BC92+$G92*(BN92+BC92)</f>
        <v>985.6</v>
      </c>
      <c r="BR92" s="84" t="n">
        <f aca="false">MIN(BL92-BO92,BQ92)</f>
        <v>0</v>
      </c>
      <c r="BS92" s="84" t="n">
        <f aca="false">BQ92-BR92</f>
        <v>985.6</v>
      </c>
      <c r="BT92" s="84" t="n">
        <f aca="false">IF($H92=1,MIN(BL92-BO92-BR92,MAX(0,$F92/(1-$F92)*(BH92+BR92)-BI92)),0)</f>
        <v>0</v>
      </c>
      <c r="BU92" s="84" t="n">
        <f aca="false">BL92-BO92-BR92-BT92</f>
        <v>0</v>
      </c>
      <c r="BV92" s="84" t="n">
        <f aca="false">BO92+BR92+(1-$F92)*BU92</f>
        <v>0</v>
      </c>
      <c r="BW92" s="84" t="n">
        <f aca="false">BT92+$F92*BU92</f>
        <v>0</v>
      </c>
      <c r="BX92" s="84" t="n">
        <f aca="false">BH92+BR92+(1-$F92)*BU92</f>
        <v>0</v>
      </c>
      <c r="BY92" s="84" t="n">
        <f aca="false">BI92+BW92</f>
        <v>0</v>
      </c>
      <c r="BZ92" s="133" t="n">
        <f aca="false">BM92+$D92*Inputs!$E$13-$D92*$E92</f>
        <v>12227.313</v>
      </c>
      <c r="CA92" s="84" t="n">
        <f aca="false">BZ92*(1+$I92)</f>
        <v>13327.77117</v>
      </c>
      <c r="CB92" s="133" t="n">
        <f aca="false">CA92*Inputs!$E$14</f>
        <v>0</v>
      </c>
      <c r="CC92" s="84" t="n">
        <f aca="false">CA92-CB92</f>
        <v>13327.77117</v>
      </c>
      <c r="CD92" s="133" t="n">
        <f aca="false">BP92+$D92*Inputs!$E$13</f>
        <v>12000</v>
      </c>
      <c r="CE92" s="84" t="n">
        <f aca="false">MIN(CB92,CD92)</f>
        <v>0</v>
      </c>
      <c r="CF92" s="84" t="n">
        <f aca="false">CD92-CE92</f>
        <v>12000</v>
      </c>
      <c r="CG92" s="84" t="n">
        <f aca="false">BS92+$G92*(CD92+BS92)</f>
        <v>2024.448</v>
      </c>
      <c r="CH92" s="84" t="n">
        <f aca="false">MIN(CB92-CE92,CG92)</f>
        <v>0</v>
      </c>
      <c r="CI92" s="84" t="n">
        <f aca="false">CG92-CH92</f>
        <v>2024.448</v>
      </c>
      <c r="CJ92" s="84" t="n">
        <f aca="false">IF($H92=1,MIN(CB92-CE92-CH92,MAX(0,$F92/(1-$F92)*(BX92+CH92)-BY92)),0)</f>
        <v>0</v>
      </c>
      <c r="CK92" s="84" t="n">
        <f aca="false">CB92-CE92-CH92-CJ92</f>
        <v>0</v>
      </c>
      <c r="CL92" s="84" t="n">
        <f aca="false">CE92+CH92+(1-$F92)*CK92</f>
        <v>0</v>
      </c>
      <c r="CM92" s="84" t="n">
        <f aca="false">CJ92+$F92*CK92</f>
        <v>0</v>
      </c>
      <c r="CN92" s="84" t="n">
        <f aca="false">BX92+CH92+(1-$F92)*CK92</f>
        <v>0</v>
      </c>
      <c r="CO92" s="84" t="n">
        <f aca="false">BY92+CM92</f>
        <v>0</v>
      </c>
      <c r="CP92" s="133" t="n">
        <f aca="false">CC92+$D92*Inputs!$F$13-$D92*$E92</f>
        <v>17057.77117</v>
      </c>
      <c r="CQ92" s="84" t="n">
        <f aca="false">CP92*(1+$I92)</f>
        <v>18592.9705753</v>
      </c>
      <c r="CR92" s="133" t="n">
        <f aca="false">CQ92*Inputs!$F$14</f>
        <v>0</v>
      </c>
      <c r="CS92" s="84" t="n">
        <f aca="false">CQ92-CR92</f>
        <v>18592.9705753</v>
      </c>
      <c r="CT92" s="133" t="n">
        <f aca="false">CF92+$D92*Inputs!$F$13</f>
        <v>16000</v>
      </c>
      <c r="CU92" s="84" t="n">
        <f aca="false">MIN(CR92,CT92)</f>
        <v>0</v>
      </c>
      <c r="CV92" s="84" t="n">
        <f aca="false">CT92-CU92</f>
        <v>16000</v>
      </c>
      <c r="CW92" s="84" t="n">
        <f aca="false">CI92+$G92*(CT92+CI92)</f>
        <v>3466.40384</v>
      </c>
      <c r="CX92" s="84" t="n">
        <f aca="false">MIN(CR92-CU92,CW92)</f>
        <v>0</v>
      </c>
      <c r="CY92" s="84" t="n">
        <f aca="false">CW92-CX92</f>
        <v>3466.40384</v>
      </c>
      <c r="CZ92" s="84" t="n">
        <f aca="false">IF($H92=1,MIN(CR92-CU92-CX92,MAX(0,$F92/(1-$F92)*(CN92+CX92)-CO92)),0)</f>
        <v>0</v>
      </c>
      <c r="DA92" s="84" t="n">
        <f aca="false">CR92-CU92-CX92-CZ92</f>
        <v>0</v>
      </c>
      <c r="DB92" s="84" t="n">
        <f aca="false">CU92+CX92+(1-$F92)*DA92</f>
        <v>0</v>
      </c>
      <c r="DC92" s="84" t="n">
        <f aca="false">CZ92+$F92*DA92</f>
        <v>0</v>
      </c>
      <c r="DD92" s="84" t="n">
        <f aca="false">CN92+CX92+(1-$F92)*DA92</f>
        <v>0</v>
      </c>
      <c r="DE92" s="84" t="n">
        <f aca="false">CO92+DC92</f>
        <v>0</v>
      </c>
      <c r="DF92" s="133" t="n">
        <f aca="false">CS92+$D92*Inputs!$G$13-$D92*$E92</f>
        <v>22322.9705753</v>
      </c>
      <c r="DG92" s="84" t="n">
        <f aca="false">DF92*(1+$I92)</f>
        <v>24332.037927077</v>
      </c>
      <c r="DH92" s="133" t="n">
        <f aca="false">DG92*Inputs!$G$14</f>
        <v>4866.4075854154</v>
      </c>
      <c r="DI92" s="84" t="n">
        <f aca="false">DG92-DH92</f>
        <v>19465.6303416616</v>
      </c>
      <c r="DJ92" s="133" t="n">
        <f aca="false">CV92+$D92*Inputs!$G$13</f>
        <v>20000</v>
      </c>
      <c r="DK92" s="84" t="n">
        <f aca="false">MIN(DH92,DJ92)</f>
        <v>4866.4075854154</v>
      </c>
      <c r="DL92" s="84" t="n">
        <f aca="false">DJ92-DK92</f>
        <v>15133.5924145846</v>
      </c>
      <c r="DM92" s="84" t="n">
        <f aca="false">CY92+$G92*(DJ92+CY92)</f>
        <v>5343.7161472</v>
      </c>
      <c r="DN92" s="84" t="n">
        <f aca="false">MIN(DH92-DK92,DM92)</f>
        <v>0</v>
      </c>
      <c r="DO92" s="84" t="n">
        <f aca="false">DM92-DN92</f>
        <v>5343.7161472</v>
      </c>
      <c r="DP92" s="84" t="n">
        <f aca="false">IF($H92=1,MIN(DH92-DK92-DN92,MAX(0,$F92/(1-$F92)*(DD92+DN92)-DE92)),0)</f>
        <v>0</v>
      </c>
      <c r="DQ92" s="84" t="n">
        <f aca="false">DH92-DK92-DN92-DP92</f>
        <v>0</v>
      </c>
      <c r="DR92" s="84" t="n">
        <f aca="false">DK92+DN92+(1-$F92)*DQ92</f>
        <v>4866.4075854154</v>
      </c>
      <c r="DS92" s="84" t="n">
        <f aca="false">DP92+$F92*DQ92</f>
        <v>0</v>
      </c>
      <c r="DT92" s="84" t="n">
        <f aca="false">DD92+DN92+(1-$F92)*DQ92</f>
        <v>0</v>
      </c>
      <c r="DU92" s="84" t="n">
        <f aca="false">DE92+DS92</f>
        <v>0</v>
      </c>
      <c r="DV92" s="133" t="n">
        <f aca="false">DI92+$D92*Inputs!$H$13-$D92*$E92</f>
        <v>19195.6303416616</v>
      </c>
      <c r="DW92" s="84" t="n">
        <f aca="false">DV92*(1+$I92)</f>
        <v>20923.2370724112</v>
      </c>
      <c r="DX92" s="133" t="n">
        <f aca="false">DW92*Inputs!$H$14</f>
        <v>4184.64741448223</v>
      </c>
      <c r="DY92" s="84" t="n">
        <f aca="false">DW92-DX92</f>
        <v>16738.5896579289</v>
      </c>
      <c r="DZ92" s="133" t="n">
        <f aca="false">DL92+$D92*Inputs!$H$13</f>
        <v>15133.5924145846</v>
      </c>
      <c r="EA92" s="84" t="n">
        <f aca="false">MIN(DX92,DZ92)</f>
        <v>4184.64741448223</v>
      </c>
      <c r="EB92" s="84" t="n">
        <f aca="false">DZ92-EA92</f>
        <v>10948.9450001024</v>
      </c>
      <c r="EC92" s="84" t="n">
        <f aca="false">DO92+$G92*(DZ92+DO92)</f>
        <v>6981.90083214277</v>
      </c>
      <c r="ED92" s="84" t="n">
        <f aca="false">MIN(DX92-EA92,EC92)</f>
        <v>0</v>
      </c>
      <c r="EE92" s="84" t="n">
        <f aca="false">EC92-ED92</f>
        <v>6981.90083214277</v>
      </c>
      <c r="EF92" s="84" t="n">
        <f aca="false">IF($H92=1,MIN(DX92-EA92-ED92,MAX(0,$F92/(1-$F92)*(DT92+ED92)-DU92)),0)</f>
        <v>0</v>
      </c>
      <c r="EG92" s="84" t="n">
        <f aca="false">DX92-EA92-ED92-EF92</f>
        <v>0</v>
      </c>
      <c r="EH92" s="84" t="n">
        <f aca="false">EA92+ED92+(1-$F92)*EG92</f>
        <v>4184.64741448223</v>
      </c>
      <c r="EI92" s="84" t="n">
        <f aca="false">EF92+$F92*EG92</f>
        <v>0</v>
      </c>
      <c r="EJ92" s="84" t="n">
        <f aca="false">DT92+ED92+(1-$F92)*EG92</f>
        <v>0</v>
      </c>
      <c r="EK92" s="84" t="n">
        <f aca="false">DU92+EI92</f>
        <v>0</v>
      </c>
      <c r="EL92" s="133" t="n">
        <f aca="false">DY92+$D92*Inputs!$I$13-$D92*$E92</f>
        <v>16468.5896579289</v>
      </c>
      <c r="EM92" s="84" t="n">
        <f aca="false">EL92*(1+$I92)</f>
        <v>17950.7627271425</v>
      </c>
      <c r="EN92" s="133" t="n">
        <f aca="false">EM92*Inputs!$I$14</f>
        <v>3590.15254542851</v>
      </c>
      <c r="EO92" s="84" t="n">
        <f aca="false">EM92-EN92</f>
        <v>14360.610181714</v>
      </c>
      <c r="EP92" s="133" t="n">
        <f aca="false">EB92+$D92*Inputs!$I$13</f>
        <v>10948.9450001024</v>
      </c>
      <c r="EQ92" s="84" t="n">
        <f aca="false">MIN(EN92,EP92)</f>
        <v>3590.15254542851</v>
      </c>
      <c r="ER92" s="84" t="n">
        <f aca="false">EP92-EQ92</f>
        <v>7358.79245467386</v>
      </c>
      <c r="ES92" s="84" t="n">
        <f aca="false">EE92+$G92*(EP92+EE92)</f>
        <v>8416.36849872238</v>
      </c>
      <c r="ET92" s="84" t="n">
        <f aca="false">MIN(EN92-EQ92,ES92)</f>
        <v>0</v>
      </c>
      <c r="EU92" s="84" t="n">
        <f aca="false">ES92-ET92</f>
        <v>8416.36849872238</v>
      </c>
      <c r="EV92" s="84" t="n">
        <f aca="false">IF($H92=1,MIN(EN92-EQ92-ET92,MAX(0,$F92/(1-$F92)*(EJ92+ET92)-EK92)),0)</f>
        <v>0</v>
      </c>
      <c r="EW92" s="84" t="n">
        <f aca="false">EN92-EQ92-ET92-EV92</f>
        <v>0</v>
      </c>
      <c r="EX92" s="84" t="n">
        <f aca="false">EQ92+ET92+(1-$F92)*EW92</f>
        <v>3590.15254542851</v>
      </c>
      <c r="EY92" s="84" t="n">
        <f aca="false">EV92+$F92*EW92</f>
        <v>0</v>
      </c>
      <c r="EZ92" s="84" t="n">
        <f aca="false">EJ92+ET92+(1-$F92)*EW92</f>
        <v>0</v>
      </c>
      <c r="FA92" s="84" t="n">
        <f aca="false">EK92+EY92</f>
        <v>0</v>
      </c>
      <c r="FB92" s="133" t="n">
        <f aca="false">EO92+$D92*Inputs!$J$13-$D92*$E92</f>
        <v>14090.610181714</v>
      </c>
      <c r="FC92" s="84" t="n">
        <f aca="false">FB92*(1+$I92)</f>
        <v>15358.7650980683</v>
      </c>
      <c r="FD92" s="133" t="n">
        <f aca="false">FC92*Inputs!$J$14</f>
        <v>3071.75301961366</v>
      </c>
      <c r="FE92" s="84" t="n">
        <f aca="false">FC92-FD92</f>
        <v>12287.0120784546</v>
      </c>
      <c r="FF92" s="133" t="n">
        <f aca="false">ER92+$D92*Inputs!$J$13</f>
        <v>7358.79245467386</v>
      </c>
      <c r="FG92" s="84" t="n">
        <f aca="false">MIN(FD92,FF92)</f>
        <v>3071.75301961366</v>
      </c>
      <c r="FH92" s="84" t="n">
        <f aca="false">FF92-FG92</f>
        <v>4287.03943506021</v>
      </c>
      <c r="FI92" s="84" t="n">
        <f aca="false">EU92+$G92*(FF92+EU92)</f>
        <v>9678.38137499408</v>
      </c>
      <c r="FJ92" s="84" t="n">
        <f aca="false">MIN(FD92-FG92,FI92)</f>
        <v>0</v>
      </c>
      <c r="FK92" s="84" t="n">
        <f aca="false">FI92-FJ92</f>
        <v>9678.38137499408</v>
      </c>
      <c r="FL92" s="84" t="n">
        <f aca="false">IF($H92=1,MIN(FD92-FG92-FJ92,MAX(0,$F92/(1-$F92)*(EZ92+FJ92)-FA92)),0)</f>
        <v>0</v>
      </c>
      <c r="FM92" s="84" t="n">
        <f aca="false">FD92-FG92-FJ92-FL92</f>
        <v>0</v>
      </c>
      <c r="FN92" s="84" t="n">
        <f aca="false">FG92+FJ92+(1-$F92)*FM92</f>
        <v>3071.75301961366</v>
      </c>
      <c r="FO92" s="84" t="n">
        <f aca="false">FL92+$F92*FM92</f>
        <v>0</v>
      </c>
      <c r="FP92" s="84" t="n">
        <f aca="false">EZ92+FJ92+(1-$F92)*FM92</f>
        <v>0</v>
      </c>
      <c r="FQ92" s="84" t="n">
        <f aca="false">FA92+FO92</f>
        <v>0</v>
      </c>
      <c r="FR92" s="133" t="n">
        <f aca="false">FE92+$D92*Inputs!$K$13-$D92*$E92</f>
        <v>12017.0120784546</v>
      </c>
      <c r="FS92" s="84" t="n">
        <f aca="false">FR92*(1+$I92)</f>
        <v>13098.5431655155</v>
      </c>
      <c r="FT92" s="133" t="n">
        <f aca="false">FS92*Inputs!$K$14</f>
        <v>2619.70863310311</v>
      </c>
      <c r="FU92" s="84" t="n">
        <f aca="false">FS92-FT92</f>
        <v>10478.8345324124</v>
      </c>
      <c r="FV92" s="133" t="n">
        <f aca="false">FH92+$D92*Inputs!$K$13</f>
        <v>4287.03943506021</v>
      </c>
      <c r="FW92" s="84" t="n">
        <f aca="false">MIN(FT92,FV92)</f>
        <v>2619.70863310311</v>
      </c>
      <c r="FX92" s="84" t="n">
        <f aca="false">FV92-FW92</f>
        <v>1667.3308019571</v>
      </c>
      <c r="FY92" s="84" t="n">
        <f aca="false">FK92+$G92*(FV92+FK92)</f>
        <v>10795.6150397984</v>
      </c>
      <c r="FZ92" s="84" t="n">
        <f aca="false">MIN(FT92-FW92,FY92)</f>
        <v>0</v>
      </c>
      <c r="GA92" s="84" t="n">
        <f aca="false">FY92-FZ92</f>
        <v>10795.6150397984</v>
      </c>
      <c r="GB92" s="84" t="n">
        <f aca="false">IF($H92=1,MIN(FT92-FW92-FZ92,MAX(0,$F92/(1-$F92)*(FP92+FZ92)-FQ92)),0)</f>
        <v>0</v>
      </c>
      <c r="GC92" s="84" t="n">
        <f aca="false">FT92-FW92-FZ92-GB92</f>
        <v>0</v>
      </c>
      <c r="GD92" s="84" t="n">
        <f aca="false">FW92+FZ92+(1-$F92)*GC92</f>
        <v>2619.70863310311</v>
      </c>
      <c r="GE92" s="84" t="n">
        <f aca="false">GB92+$F92*GC92</f>
        <v>0</v>
      </c>
      <c r="GF92" s="84" t="n">
        <f aca="false">FP92+FZ92+(1-$F92)*GC92</f>
        <v>0</v>
      </c>
      <c r="GG92" s="84" t="n">
        <f aca="false">FQ92+GE92</f>
        <v>0</v>
      </c>
      <c r="GH92" s="133" t="n">
        <f aca="false">FU92+$D92*Inputs!$L$13-$D92*$E92</f>
        <v>10208.8345324124</v>
      </c>
      <c r="GI92" s="84" t="n">
        <f aca="false">GH92*(1+$I92)</f>
        <v>11127.6296403296</v>
      </c>
      <c r="GJ92" s="133" t="n">
        <f aca="false">GI92*Inputs!$L$14</f>
        <v>11127.6296403296</v>
      </c>
      <c r="GK92" s="84" t="n">
        <f aca="false">GI92-GJ92</f>
        <v>0</v>
      </c>
      <c r="GL92" s="133" t="n">
        <f aca="false">FX92+$D92*Inputs!$L$13</f>
        <v>1667.3308019571</v>
      </c>
      <c r="GM92" s="84" t="n">
        <f aca="false">MIN(GJ92,GL92)</f>
        <v>1667.3308019571</v>
      </c>
      <c r="GN92" s="84" t="n">
        <f aca="false">GL92-GM92</f>
        <v>0</v>
      </c>
      <c r="GO92" s="84" t="n">
        <f aca="false">GA92+$G92*(GL92+GA92)</f>
        <v>11792.6507071389</v>
      </c>
      <c r="GP92" s="84" t="n">
        <f aca="false">MIN(GJ92-GM92,GO92)</f>
        <v>9460.29883837246</v>
      </c>
      <c r="GQ92" s="84" t="n">
        <f aca="false">GO92-GP92</f>
        <v>2332.35186876641</v>
      </c>
      <c r="GR92" s="84" t="n">
        <f aca="false">IF($H92=1,MIN(GJ92-GM92-GP92,MAX(0,$F92/(1-$F92)*(GF92+GP92)-GG92)),0)</f>
        <v>0</v>
      </c>
      <c r="GS92" s="84" t="n">
        <f aca="false">GJ92-GM92-GP92-GR92</f>
        <v>0</v>
      </c>
      <c r="GT92" s="84" t="n">
        <f aca="false">GM92+GP92+(1-$F92)*GS92</f>
        <v>11127.6296403296</v>
      </c>
      <c r="GU92" s="84" t="n">
        <f aca="false">GR92+$F92*GS92</f>
        <v>0</v>
      </c>
      <c r="GV92" s="84" t="n">
        <f aca="false">GF92+GP92+(1-$F92)*GS92</f>
        <v>9460.29883837246</v>
      </c>
      <c r="GW92" s="84" t="n">
        <f aca="false">GG92+GU92</f>
        <v>0</v>
      </c>
    </row>
    <row r="93" customFormat="false" ht="15" hidden="false" customHeight="false" outlineLevel="0" collapsed="false">
      <c r="A93" s="5" t="s">
        <v>639</v>
      </c>
      <c r="B93" s="5" t="s">
        <v>427</v>
      </c>
      <c r="C93" s="135" t="n">
        <v>10</v>
      </c>
      <c r="D93" s="47" t="n">
        <f aca="false">Inputs!$C$6</f>
        <v>20000</v>
      </c>
      <c r="E93" s="35" t="n">
        <f aca="false">Inputs!$C$19</f>
        <v>0.0135</v>
      </c>
      <c r="F93" s="36" t="n">
        <f aca="false">Inputs!$C$20</f>
        <v>0.2</v>
      </c>
      <c r="G93" s="36" t="n">
        <f aca="false">Inputs!$C$22</f>
        <v>0.08</v>
      </c>
      <c r="H93" s="27" t="n">
        <v>0</v>
      </c>
      <c r="I93" s="132" t="n">
        <f aca="false">Inputs!$C$38+$C93*Inputs!$C$39</f>
        <v>0.1</v>
      </c>
      <c r="J93" s="36" t="n">
        <f aca="false">Inputs!$C$9</f>
        <v>0.15</v>
      </c>
      <c r="K93" s="89" t="n">
        <f aca="false">IRR(W93:AG93,0.1)</f>
        <v>0.0783354771301631</v>
      </c>
      <c r="L93" s="45" t="n">
        <f aca="false">W93+NPV($J93,X93:AG93)</f>
        <v>-4791.4100931443</v>
      </c>
      <c r="M93" s="45" t="n">
        <f aca="false">SUM(BF93,BV93,CL93,DB93,DR93,EH93,EX93,FN93,GD93,GT93)</f>
        <v>31240.1007159973</v>
      </c>
      <c r="N93" s="43" t="n">
        <f aca="false">IF($D93*SUM(Inputs!$C$13:$L$13)=0,0,M93/($D93*SUM(Inputs!$C$13:$L$13)))</f>
        <v>1.56200503579987</v>
      </c>
      <c r="O93" s="42" t="n">
        <f aca="false">$D93*$E93*COLUMNS(Inputs!$C$13:$L$13)</f>
        <v>2700</v>
      </c>
      <c r="P93" s="45" t="n">
        <f aca="false">SUM(BG93,BW93,CM93,DC93,DS93,EI93,EY93,FO93,GE93,GU93)</f>
        <v>0</v>
      </c>
      <c r="Q93" s="42" t="n">
        <f aca="false">PV($J93,COLUMNS(Inputs!$C$13:$L$13),-$D93*$E93,0,1)</f>
        <v>1558.32765832774</v>
      </c>
      <c r="R93" s="45" t="n">
        <f aca="false">NPV($J93,BG93,BW93,CM93,DC93,DS93,EI93,EY93,FO93,GE93,GU93)</f>
        <v>0</v>
      </c>
      <c r="S93" s="45" t="n">
        <f aca="false">Q93+R93</f>
        <v>1558.32765832774</v>
      </c>
      <c r="T93" s="32" t="n">
        <f aca="false">IF(S93=0,0,Q93/S93)</f>
        <v>1</v>
      </c>
      <c r="U93" s="45" t="n">
        <f aca="false">ROUND(ABS(GK93)+ABS(SUM(AV93,BL93,CB93,CR93,DH93,DX93,EN93,FD93,FT93,GJ93)-M93-P93)+ABS(S93-(AH93+NPV($J93,AI93:AR93))),6)</f>
        <v>0</v>
      </c>
      <c r="W93" s="133" t="n">
        <f aca="false">-$D93*Inputs!$C$13</f>
        <v>-4000</v>
      </c>
      <c r="X93" s="133" t="n">
        <f aca="false">BF93-$D93*Inputs!$D$13</f>
        <v>-4000</v>
      </c>
      <c r="Y93" s="133" t="n">
        <f aca="false">BV93-$D93*Inputs!$E$13</f>
        <v>-4000</v>
      </c>
      <c r="Z93" s="133" t="n">
        <f aca="false">CL93-$D93*Inputs!$F$13</f>
        <v>-4000</v>
      </c>
      <c r="AA93" s="133" t="n">
        <f aca="false">DB93-$D93*Inputs!$G$13</f>
        <v>-4000</v>
      </c>
      <c r="AB93" s="133" t="n">
        <f aca="false">DR93-$D93*Inputs!$H$13</f>
        <v>5009.84506</v>
      </c>
      <c r="AC93" s="133" t="n">
        <f aca="false">EH93-$D93*Inputs!$I$13</f>
        <v>4349.2636528</v>
      </c>
      <c r="AD93" s="133" t="n">
        <f aca="false">EX93-$D93*Inputs!$J$13</f>
        <v>3767.952014464</v>
      </c>
      <c r="AE93" s="133" t="n">
        <f aca="false">FN93-$D93*Inputs!$K$13</f>
        <v>3256.39777272832</v>
      </c>
      <c r="AF93" s="133" t="n">
        <f aca="false">GD93-$D93*Inputs!$L$13</f>
        <v>2806.23004000092</v>
      </c>
      <c r="AG93" s="84" t="n">
        <f aca="false">GT93</f>
        <v>12050.4121760041</v>
      </c>
      <c r="AH93" s="84" t="n">
        <f aca="false">$D93*$E93</f>
        <v>270</v>
      </c>
      <c r="AI93" s="84" t="n">
        <f aca="false">BG93+$D93*$E93</f>
        <v>270</v>
      </c>
      <c r="AJ93" s="84" t="n">
        <f aca="false">BW93+$D93*$E93</f>
        <v>270</v>
      </c>
      <c r="AK93" s="84" t="n">
        <f aca="false">CM93+$D93*$E93</f>
        <v>270</v>
      </c>
      <c r="AL93" s="84" t="n">
        <f aca="false">DC93+$D93*$E93</f>
        <v>270</v>
      </c>
      <c r="AM93" s="84" t="n">
        <f aca="false">DS93+$D93*$E93</f>
        <v>270</v>
      </c>
      <c r="AN93" s="84" t="n">
        <f aca="false">EI93+$D93*$E93</f>
        <v>270</v>
      </c>
      <c r="AO93" s="84" t="n">
        <f aca="false">EY93+$D93*$E93</f>
        <v>270</v>
      </c>
      <c r="AP93" s="84" t="n">
        <f aca="false">FO93+$D93*$E93</f>
        <v>270</v>
      </c>
      <c r="AQ93" s="84" t="n">
        <f aca="false">GE93+$D93*$E93</f>
        <v>270</v>
      </c>
      <c r="AR93" s="84" t="n">
        <f aca="false">GU93</f>
        <v>0</v>
      </c>
      <c r="AT93" s="133" t="n">
        <f aca="false">$D93*Inputs!$C$13-$D93*$E93</f>
        <v>3730</v>
      </c>
      <c r="AU93" s="84" t="n">
        <f aca="false">AT93*(1+$I93)</f>
        <v>4103</v>
      </c>
      <c r="AV93" s="133" t="n">
        <f aca="false">AU93*Inputs!$C$14</f>
        <v>0</v>
      </c>
      <c r="AW93" s="84" t="n">
        <f aca="false">AU93-AV93</f>
        <v>4103</v>
      </c>
      <c r="AX93" s="133" t="n">
        <f aca="false">$D93*Inputs!$C$13</f>
        <v>4000</v>
      </c>
      <c r="AY93" s="84" t="n">
        <f aca="false">MIN(AV93,AX93)</f>
        <v>0</v>
      </c>
      <c r="AZ93" s="84" t="n">
        <f aca="false">AX93-AY93</f>
        <v>4000</v>
      </c>
      <c r="BA93" s="84" t="n">
        <f aca="false">$G93*AX93</f>
        <v>320</v>
      </c>
      <c r="BB93" s="84" t="n">
        <f aca="false">MIN(AV93-AY93,BA93)</f>
        <v>0</v>
      </c>
      <c r="BC93" s="84" t="n">
        <f aca="false">BA93-BB93</f>
        <v>320</v>
      </c>
      <c r="BD93" s="84" t="n">
        <f aca="false">IF($H93=1,MIN(AV93-AY93-BB93,MAX(0,$F93/(1-$F93)*BB93)),0)</f>
        <v>0</v>
      </c>
      <c r="BE93" s="84" t="n">
        <f aca="false">AV93-AY93-BB93-BD93</f>
        <v>0</v>
      </c>
      <c r="BF93" s="84" t="n">
        <f aca="false">AY93+BB93+(1-$F93)*BE93</f>
        <v>0</v>
      </c>
      <c r="BG93" s="84" t="n">
        <f aca="false">BD93+$F93*BE93</f>
        <v>0</v>
      </c>
      <c r="BH93" s="84" t="n">
        <f aca="false">BB93+(1-$F93)*BE93</f>
        <v>0</v>
      </c>
      <c r="BI93" s="84" t="n">
        <f aca="false">BG93</f>
        <v>0</v>
      </c>
      <c r="BJ93" s="133" t="n">
        <f aca="false">AW93+$D93*Inputs!$D$13-$D93*$E93</f>
        <v>7833</v>
      </c>
      <c r="BK93" s="84" t="n">
        <f aca="false">BJ93*(1+$I93)</f>
        <v>8616.3</v>
      </c>
      <c r="BL93" s="133" t="n">
        <f aca="false">BK93*Inputs!$D$14</f>
        <v>0</v>
      </c>
      <c r="BM93" s="84" t="n">
        <f aca="false">BK93-BL93</f>
        <v>8616.3</v>
      </c>
      <c r="BN93" s="133" t="n">
        <f aca="false">AZ93+$D93*Inputs!$D$13</f>
        <v>8000</v>
      </c>
      <c r="BO93" s="84" t="n">
        <f aca="false">MIN(BL93,BN93)</f>
        <v>0</v>
      </c>
      <c r="BP93" s="84" t="n">
        <f aca="false">BN93-BO93</f>
        <v>8000</v>
      </c>
      <c r="BQ93" s="84" t="n">
        <f aca="false">BC93+$G93*(BN93+BC93)</f>
        <v>985.6</v>
      </c>
      <c r="BR93" s="84" t="n">
        <f aca="false">MIN(BL93-BO93,BQ93)</f>
        <v>0</v>
      </c>
      <c r="BS93" s="84" t="n">
        <f aca="false">BQ93-BR93</f>
        <v>985.6</v>
      </c>
      <c r="BT93" s="84" t="n">
        <f aca="false">IF($H93=1,MIN(BL93-BO93-BR93,MAX(0,$F93/(1-$F93)*(BH93+BR93)-BI93)),0)</f>
        <v>0</v>
      </c>
      <c r="BU93" s="84" t="n">
        <f aca="false">BL93-BO93-BR93-BT93</f>
        <v>0</v>
      </c>
      <c r="BV93" s="84" t="n">
        <f aca="false">BO93+BR93+(1-$F93)*BU93</f>
        <v>0</v>
      </c>
      <c r="BW93" s="84" t="n">
        <f aca="false">BT93+$F93*BU93</f>
        <v>0</v>
      </c>
      <c r="BX93" s="84" t="n">
        <f aca="false">BH93+BR93+(1-$F93)*BU93</f>
        <v>0</v>
      </c>
      <c r="BY93" s="84" t="n">
        <f aca="false">BI93+BW93</f>
        <v>0</v>
      </c>
      <c r="BZ93" s="133" t="n">
        <f aca="false">BM93+$D93*Inputs!$E$13-$D93*$E93</f>
        <v>12346.3</v>
      </c>
      <c r="CA93" s="84" t="n">
        <f aca="false">BZ93*(1+$I93)</f>
        <v>13580.93</v>
      </c>
      <c r="CB93" s="133" t="n">
        <f aca="false">CA93*Inputs!$E$14</f>
        <v>0</v>
      </c>
      <c r="CC93" s="84" t="n">
        <f aca="false">CA93-CB93</f>
        <v>13580.93</v>
      </c>
      <c r="CD93" s="133" t="n">
        <f aca="false">BP93+$D93*Inputs!$E$13</f>
        <v>12000</v>
      </c>
      <c r="CE93" s="84" t="n">
        <f aca="false">MIN(CB93,CD93)</f>
        <v>0</v>
      </c>
      <c r="CF93" s="84" t="n">
        <f aca="false">CD93-CE93</f>
        <v>12000</v>
      </c>
      <c r="CG93" s="84" t="n">
        <f aca="false">BS93+$G93*(CD93+BS93)</f>
        <v>2024.448</v>
      </c>
      <c r="CH93" s="84" t="n">
        <f aca="false">MIN(CB93-CE93,CG93)</f>
        <v>0</v>
      </c>
      <c r="CI93" s="84" t="n">
        <f aca="false">CG93-CH93</f>
        <v>2024.448</v>
      </c>
      <c r="CJ93" s="84" t="n">
        <f aca="false">IF($H93=1,MIN(CB93-CE93-CH93,MAX(0,$F93/(1-$F93)*(BX93+CH93)-BY93)),0)</f>
        <v>0</v>
      </c>
      <c r="CK93" s="84" t="n">
        <f aca="false">CB93-CE93-CH93-CJ93</f>
        <v>0</v>
      </c>
      <c r="CL93" s="84" t="n">
        <f aca="false">CE93+CH93+(1-$F93)*CK93</f>
        <v>0</v>
      </c>
      <c r="CM93" s="84" t="n">
        <f aca="false">CJ93+$F93*CK93</f>
        <v>0</v>
      </c>
      <c r="CN93" s="84" t="n">
        <f aca="false">BX93+CH93+(1-$F93)*CK93</f>
        <v>0</v>
      </c>
      <c r="CO93" s="84" t="n">
        <f aca="false">BY93+CM93</f>
        <v>0</v>
      </c>
      <c r="CP93" s="133" t="n">
        <f aca="false">CC93+$D93*Inputs!$F$13-$D93*$E93</f>
        <v>17310.93</v>
      </c>
      <c r="CQ93" s="84" t="n">
        <f aca="false">CP93*(1+$I93)</f>
        <v>19042.023</v>
      </c>
      <c r="CR93" s="133" t="n">
        <f aca="false">CQ93*Inputs!$F$14</f>
        <v>0</v>
      </c>
      <c r="CS93" s="84" t="n">
        <f aca="false">CQ93-CR93</f>
        <v>19042.023</v>
      </c>
      <c r="CT93" s="133" t="n">
        <f aca="false">CF93+$D93*Inputs!$F$13</f>
        <v>16000</v>
      </c>
      <c r="CU93" s="84" t="n">
        <f aca="false">MIN(CR93,CT93)</f>
        <v>0</v>
      </c>
      <c r="CV93" s="84" t="n">
        <f aca="false">CT93-CU93</f>
        <v>16000</v>
      </c>
      <c r="CW93" s="84" t="n">
        <f aca="false">CI93+$G93*(CT93+CI93)</f>
        <v>3466.40384</v>
      </c>
      <c r="CX93" s="84" t="n">
        <f aca="false">MIN(CR93-CU93,CW93)</f>
        <v>0</v>
      </c>
      <c r="CY93" s="84" t="n">
        <f aca="false">CW93-CX93</f>
        <v>3466.40384</v>
      </c>
      <c r="CZ93" s="84" t="n">
        <f aca="false">IF($H93=1,MIN(CR93-CU93-CX93,MAX(0,$F93/(1-$F93)*(CN93+CX93)-CO93)),0)</f>
        <v>0</v>
      </c>
      <c r="DA93" s="84" t="n">
        <f aca="false">CR93-CU93-CX93-CZ93</f>
        <v>0</v>
      </c>
      <c r="DB93" s="84" t="n">
        <f aca="false">CU93+CX93+(1-$F93)*DA93</f>
        <v>0</v>
      </c>
      <c r="DC93" s="84" t="n">
        <f aca="false">CZ93+$F93*DA93</f>
        <v>0</v>
      </c>
      <c r="DD93" s="84" t="n">
        <f aca="false">CN93+CX93+(1-$F93)*DA93</f>
        <v>0</v>
      </c>
      <c r="DE93" s="84" t="n">
        <f aca="false">CO93+DC93</f>
        <v>0</v>
      </c>
      <c r="DF93" s="133" t="n">
        <f aca="false">CS93+$D93*Inputs!$G$13-$D93*$E93</f>
        <v>22772.023</v>
      </c>
      <c r="DG93" s="84" t="n">
        <f aca="false">DF93*(1+$I93)</f>
        <v>25049.2253</v>
      </c>
      <c r="DH93" s="133" t="n">
        <f aca="false">DG93*Inputs!$G$14</f>
        <v>5009.84506</v>
      </c>
      <c r="DI93" s="84" t="n">
        <f aca="false">DG93-DH93</f>
        <v>20039.38024</v>
      </c>
      <c r="DJ93" s="133" t="n">
        <f aca="false">CV93+$D93*Inputs!$G$13</f>
        <v>20000</v>
      </c>
      <c r="DK93" s="84" t="n">
        <f aca="false">MIN(DH93,DJ93)</f>
        <v>5009.84506</v>
      </c>
      <c r="DL93" s="84" t="n">
        <f aca="false">DJ93-DK93</f>
        <v>14990.15494</v>
      </c>
      <c r="DM93" s="84" t="n">
        <f aca="false">CY93+$G93*(DJ93+CY93)</f>
        <v>5343.7161472</v>
      </c>
      <c r="DN93" s="84" t="n">
        <f aca="false">MIN(DH93-DK93,DM93)</f>
        <v>0</v>
      </c>
      <c r="DO93" s="84" t="n">
        <f aca="false">DM93-DN93</f>
        <v>5343.7161472</v>
      </c>
      <c r="DP93" s="84" t="n">
        <f aca="false">IF($H93=1,MIN(DH93-DK93-DN93,MAX(0,$F93/(1-$F93)*(DD93+DN93)-DE93)),0)</f>
        <v>0</v>
      </c>
      <c r="DQ93" s="84" t="n">
        <f aca="false">DH93-DK93-DN93-DP93</f>
        <v>0</v>
      </c>
      <c r="DR93" s="84" t="n">
        <f aca="false">DK93+DN93+(1-$F93)*DQ93</f>
        <v>5009.84506</v>
      </c>
      <c r="DS93" s="84" t="n">
        <f aca="false">DP93+$F93*DQ93</f>
        <v>0</v>
      </c>
      <c r="DT93" s="84" t="n">
        <f aca="false">DD93+DN93+(1-$F93)*DQ93</f>
        <v>0</v>
      </c>
      <c r="DU93" s="84" t="n">
        <f aca="false">DE93+DS93</f>
        <v>0</v>
      </c>
      <c r="DV93" s="133" t="n">
        <f aca="false">DI93+$D93*Inputs!$H$13-$D93*$E93</f>
        <v>19769.38024</v>
      </c>
      <c r="DW93" s="84" t="n">
        <f aca="false">DV93*(1+$I93)</f>
        <v>21746.318264</v>
      </c>
      <c r="DX93" s="133" t="n">
        <f aca="false">DW93*Inputs!$H$14</f>
        <v>4349.2636528</v>
      </c>
      <c r="DY93" s="84" t="n">
        <f aca="false">DW93-DX93</f>
        <v>17397.0546112</v>
      </c>
      <c r="DZ93" s="133" t="n">
        <f aca="false">DL93+$D93*Inputs!$H$13</f>
        <v>14990.15494</v>
      </c>
      <c r="EA93" s="84" t="n">
        <f aca="false">MIN(DX93,DZ93)</f>
        <v>4349.2636528</v>
      </c>
      <c r="EB93" s="84" t="n">
        <f aca="false">DZ93-EA93</f>
        <v>10640.8912872</v>
      </c>
      <c r="EC93" s="84" t="n">
        <f aca="false">DO93+$G93*(DZ93+DO93)</f>
        <v>6970.425834176</v>
      </c>
      <c r="ED93" s="84" t="n">
        <f aca="false">MIN(DX93-EA93,EC93)</f>
        <v>0</v>
      </c>
      <c r="EE93" s="84" t="n">
        <f aca="false">EC93-ED93</f>
        <v>6970.425834176</v>
      </c>
      <c r="EF93" s="84" t="n">
        <f aca="false">IF($H93=1,MIN(DX93-EA93-ED93,MAX(0,$F93/(1-$F93)*(DT93+ED93)-DU93)),0)</f>
        <v>0</v>
      </c>
      <c r="EG93" s="84" t="n">
        <f aca="false">DX93-EA93-ED93-EF93</f>
        <v>0</v>
      </c>
      <c r="EH93" s="84" t="n">
        <f aca="false">EA93+ED93+(1-$F93)*EG93</f>
        <v>4349.2636528</v>
      </c>
      <c r="EI93" s="84" t="n">
        <f aca="false">EF93+$F93*EG93</f>
        <v>0</v>
      </c>
      <c r="EJ93" s="84" t="n">
        <f aca="false">DT93+ED93+(1-$F93)*EG93</f>
        <v>0</v>
      </c>
      <c r="EK93" s="84" t="n">
        <f aca="false">DU93+EI93</f>
        <v>0</v>
      </c>
      <c r="EL93" s="133" t="n">
        <f aca="false">DY93+$D93*Inputs!$I$13-$D93*$E93</f>
        <v>17127.0546112</v>
      </c>
      <c r="EM93" s="84" t="n">
        <f aca="false">EL93*(1+$I93)</f>
        <v>18839.76007232</v>
      </c>
      <c r="EN93" s="133" t="n">
        <f aca="false">EM93*Inputs!$I$14</f>
        <v>3767.952014464</v>
      </c>
      <c r="EO93" s="84" t="n">
        <f aca="false">EM93-EN93</f>
        <v>15071.808057856</v>
      </c>
      <c r="EP93" s="133" t="n">
        <f aca="false">EB93+$D93*Inputs!$I$13</f>
        <v>10640.8912872</v>
      </c>
      <c r="EQ93" s="84" t="n">
        <f aca="false">MIN(EN93,EP93)</f>
        <v>3767.952014464</v>
      </c>
      <c r="ER93" s="84" t="n">
        <f aca="false">EP93-EQ93</f>
        <v>6872.939272736</v>
      </c>
      <c r="ES93" s="84" t="n">
        <f aca="false">EE93+$G93*(EP93+EE93)</f>
        <v>8379.33120388608</v>
      </c>
      <c r="ET93" s="84" t="n">
        <f aca="false">MIN(EN93-EQ93,ES93)</f>
        <v>0</v>
      </c>
      <c r="EU93" s="84" t="n">
        <f aca="false">ES93-ET93</f>
        <v>8379.33120388608</v>
      </c>
      <c r="EV93" s="84" t="n">
        <f aca="false">IF($H93=1,MIN(EN93-EQ93-ET93,MAX(0,$F93/(1-$F93)*(EJ93+ET93)-EK93)),0)</f>
        <v>0</v>
      </c>
      <c r="EW93" s="84" t="n">
        <f aca="false">EN93-EQ93-ET93-EV93</f>
        <v>0</v>
      </c>
      <c r="EX93" s="84" t="n">
        <f aca="false">EQ93+ET93+(1-$F93)*EW93</f>
        <v>3767.952014464</v>
      </c>
      <c r="EY93" s="84" t="n">
        <f aca="false">EV93+$F93*EW93</f>
        <v>0</v>
      </c>
      <c r="EZ93" s="84" t="n">
        <f aca="false">EJ93+ET93+(1-$F93)*EW93</f>
        <v>0</v>
      </c>
      <c r="FA93" s="84" t="n">
        <f aca="false">EK93+EY93</f>
        <v>0</v>
      </c>
      <c r="FB93" s="133" t="n">
        <f aca="false">EO93+$D93*Inputs!$J$13-$D93*$E93</f>
        <v>14801.808057856</v>
      </c>
      <c r="FC93" s="84" t="n">
        <f aca="false">FB93*(1+$I93)</f>
        <v>16281.9888636416</v>
      </c>
      <c r="FD93" s="133" t="n">
        <f aca="false">FC93*Inputs!$J$14</f>
        <v>3256.39777272832</v>
      </c>
      <c r="FE93" s="84" t="n">
        <f aca="false">FC93-FD93</f>
        <v>13025.5910909133</v>
      </c>
      <c r="FF93" s="133" t="n">
        <f aca="false">ER93+$D93*Inputs!$J$13</f>
        <v>6872.939272736</v>
      </c>
      <c r="FG93" s="84" t="n">
        <f aca="false">MIN(FD93,FF93)</f>
        <v>3256.39777272832</v>
      </c>
      <c r="FH93" s="84" t="n">
        <f aca="false">FF93-FG93</f>
        <v>3616.54150000768</v>
      </c>
      <c r="FI93" s="84" t="n">
        <f aca="false">EU93+$G93*(FF93+EU93)</f>
        <v>9599.51284201585</v>
      </c>
      <c r="FJ93" s="84" t="n">
        <f aca="false">MIN(FD93-FG93,FI93)</f>
        <v>0</v>
      </c>
      <c r="FK93" s="84" t="n">
        <f aca="false">FI93-FJ93</f>
        <v>9599.51284201585</v>
      </c>
      <c r="FL93" s="84" t="n">
        <f aca="false">IF($H93=1,MIN(FD93-FG93-FJ93,MAX(0,$F93/(1-$F93)*(EZ93+FJ93)-FA93)),0)</f>
        <v>0</v>
      </c>
      <c r="FM93" s="84" t="n">
        <f aca="false">FD93-FG93-FJ93-FL93</f>
        <v>0</v>
      </c>
      <c r="FN93" s="84" t="n">
        <f aca="false">FG93+FJ93+(1-$F93)*FM93</f>
        <v>3256.39777272832</v>
      </c>
      <c r="FO93" s="84" t="n">
        <f aca="false">FL93+$F93*FM93</f>
        <v>0</v>
      </c>
      <c r="FP93" s="84" t="n">
        <f aca="false">EZ93+FJ93+(1-$F93)*FM93</f>
        <v>0</v>
      </c>
      <c r="FQ93" s="84" t="n">
        <f aca="false">FA93+FO93</f>
        <v>0</v>
      </c>
      <c r="FR93" s="133" t="n">
        <f aca="false">FE93+$D93*Inputs!$K$13-$D93*$E93</f>
        <v>12755.5910909133</v>
      </c>
      <c r="FS93" s="84" t="n">
        <f aca="false">FR93*(1+$I93)</f>
        <v>14031.1502000046</v>
      </c>
      <c r="FT93" s="133" t="n">
        <f aca="false">FS93*Inputs!$K$14</f>
        <v>2806.23004000092</v>
      </c>
      <c r="FU93" s="84" t="n">
        <f aca="false">FS93-FT93</f>
        <v>11224.9201600037</v>
      </c>
      <c r="FV93" s="133" t="n">
        <f aca="false">FH93+$D93*Inputs!$K$13</f>
        <v>3616.54150000768</v>
      </c>
      <c r="FW93" s="84" t="n">
        <f aca="false">MIN(FT93,FV93)</f>
        <v>2806.23004000092</v>
      </c>
      <c r="FX93" s="84" t="n">
        <f aca="false">FV93-FW93</f>
        <v>810.311460006753</v>
      </c>
      <c r="FY93" s="84" t="n">
        <f aca="false">FK93+$G93*(FV93+FK93)</f>
        <v>10656.7971893777</v>
      </c>
      <c r="FZ93" s="84" t="n">
        <f aca="false">MIN(FT93-FW93,FY93)</f>
        <v>0</v>
      </c>
      <c r="GA93" s="84" t="n">
        <f aca="false">FY93-FZ93</f>
        <v>10656.7971893777</v>
      </c>
      <c r="GB93" s="84" t="n">
        <f aca="false">IF($H93=1,MIN(FT93-FW93-FZ93,MAX(0,$F93/(1-$F93)*(FP93+FZ93)-FQ93)),0)</f>
        <v>0</v>
      </c>
      <c r="GC93" s="84" t="n">
        <f aca="false">FT93-FW93-FZ93-GB93</f>
        <v>0</v>
      </c>
      <c r="GD93" s="84" t="n">
        <f aca="false">FW93+FZ93+(1-$F93)*GC93</f>
        <v>2806.23004000092</v>
      </c>
      <c r="GE93" s="84" t="n">
        <f aca="false">GB93+$F93*GC93</f>
        <v>0</v>
      </c>
      <c r="GF93" s="84" t="n">
        <f aca="false">FP93+FZ93+(1-$F93)*GC93</f>
        <v>0</v>
      </c>
      <c r="GG93" s="84" t="n">
        <f aca="false">FQ93+GE93</f>
        <v>0</v>
      </c>
      <c r="GH93" s="133" t="n">
        <f aca="false">FU93+$D93*Inputs!$L$13-$D93*$E93</f>
        <v>10954.9201600037</v>
      </c>
      <c r="GI93" s="84" t="n">
        <f aca="false">GH93*(1+$I93)</f>
        <v>12050.4121760041</v>
      </c>
      <c r="GJ93" s="133" t="n">
        <f aca="false">GI93*Inputs!$L$14</f>
        <v>12050.4121760041</v>
      </c>
      <c r="GK93" s="84" t="n">
        <f aca="false">GI93-GJ93</f>
        <v>0</v>
      </c>
      <c r="GL93" s="133" t="n">
        <f aca="false">FX93+$D93*Inputs!$L$13</f>
        <v>810.311460006753</v>
      </c>
      <c r="GM93" s="84" t="n">
        <f aca="false">MIN(GJ93,GL93)</f>
        <v>810.311460006753</v>
      </c>
      <c r="GN93" s="84" t="n">
        <f aca="false">GL93-GM93</f>
        <v>0</v>
      </c>
      <c r="GO93" s="84" t="n">
        <f aca="false">GA93+$G93*(GL93+GA93)</f>
        <v>11574.1658813285</v>
      </c>
      <c r="GP93" s="84" t="n">
        <f aca="false">MIN(GJ93-GM93,GO93)</f>
        <v>11240.1007159973</v>
      </c>
      <c r="GQ93" s="84" t="n">
        <f aca="false">GO93-GP93</f>
        <v>334.065165331174</v>
      </c>
      <c r="GR93" s="84" t="n">
        <f aca="false">IF($H93=1,MIN(GJ93-GM93-GP93,MAX(0,$F93/(1-$F93)*(GF93+GP93)-GG93)),0)</f>
        <v>0</v>
      </c>
      <c r="GS93" s="84" t="n">
        <f aca="false">GJ93-GM93-GP93-GR93</f>
        <v>0</v>
      </c>
      <c r="GT93" s="84" t="n">
        <f aca="false">GM93+GP93+(1-$F93)*GS93</f>
        <v>12050.4121760041</v>
      </c>
      <c r="GU93" s="84" t="n">
        <f aca="false">GR93+$F93*GS93</f>
        <v>0</v>
      </c>
      <c r="GV93" s="84" t="n">
        <f aca="false">GF93+GP93+(1-$F93)*GS93</f>
        <v>11240.1007159973</v>
      </c>
      <c r="GW93" s="84" t="n">
        <f aca="false">GG93+GU93</f>
        <v>0</v>
      </c>
    </row>
    <row r="94" customFormat="false" ht="15" hidden="false" customHeight="false" outlineLevel="0" collapsed="false">
      <c r="A94" s="5" t="s">
        <v>639</v>
      </c>
      <c r="B94" s="5" t="s">
        <v>427</v>
      </c>
      <c r="C94" s="135" t="n">
        <v>11</v>
      </c>
      <c r="D94" s="47" t="n">
        <f aca="false">Inputs!$C$6</f>
        <v>20000</v>
      </c>
      <c r="E94" s="35" t="n">
        <f aca="false">Inputs!$C$19</f>
        <v>0.0135</v>
      </c>
      <c r="F94" s="36" t="n">
        <f aca="false">Inputs!$C$20</f>
        <v>0.2</v>
      </c>
      <c r="G94" s="36" t="n">
        <f aca="false">Inputs!$C$22</f>
        <v>0.08</v>
      </c>
      <c r="H94" s="27" t="n">
        <v>0</v>
      </c>
      <c r="I94" s="132" t="n">
        <f aca="false">Inputs!$C$38+$C94*Inputs!$C$39</f>
        <v>0.11</v>
      </c>
      <c r="J94" s="36" t="n">
        <f aca="false">Inputs!$C$9</f>
        <v>0.15</v>
      </c>
      <c r="K94" s="89" t="n">
        <f aca="false">IRR(W94:AG94,0.1)</f>
        <v>0.086932781590116</v>
      </c>
      <c r="L94" s="45" t="n">
        <f aca="false">W94+NPV($J94,X94:AG94)</f>
        <v>-4298.6282069786</v>
      </c>
      <c r="M94" s="45" t="n">
        <f aca="false">SUM(BF94,BV94,CL94,DB94,DR94,EH94,EX94,FN94,GD94,GT94)</f>
        <v>32768.4642414481</v>
      </c>
      <c r="N94" s="43" t="n">
        <f aca="false">IF($D94*SUM(Inputs!$C$13:$L$13)=0,0,M94/($D94*SUM(Inputs!$C$13:$L$13)))</f>
        <v>1.63842321207241</v>
      </c>
      <c r="O94" s="42" t="n">
        <f aca="false">$D94*$E94*COLUMNS(Inputs!$C$13:$L$13)</f>
        <v>2700</v>
      </c>
      <c r="P94" s="45" t="n">
        <f aca="false">SUM(BG94,BW94,CM94,DC94,DS94,EI94,EY94,FO94,GE94,GU94)</f>
        <v>355.25673723354</v>
      </c>
      <c r="Q94" s="42" t="n">
        <f aca="false">PV($J94,COLUMNS(Inputs!$C$13:$L$13),-$D94*$E94,0,1)</f>
        <v>1558.32765832774</v>
      </c>
      <c r="R94" s="45" t="n">
        <f aca="false">NPV($J94,BG94,BW94,CM94,DC94,DS94,EI94,EY94,FO94,GE94,GU94)</f>
        <v>87.8140321908855</v>
      </c>
      <c r="S94" s="45" t="n">
        <f aca="false">Q94+R94</f>
        <v>1646.14169051862</v>
      </c>
      <c r="T94" s="32" t="n">
        <f aca="false">IF(S94=0,0,Q94/S94)</f>
        <v>0.946654633257469</v>
      </c>
      <c r="U94" s="45" t="n">
        <f aca="false">ROUND(ABS(GK94)+ABS(SUM(AV94,BL94,CB94,CR94,DH94,DX94,EN94,FD94,FT94,GJ94)-M94-P94)+ABS(S94-(AH94+NPV($J94,AI94:AR94))),6)</f>
        <v>0</v>
      </c>
      <c r="W94" s="133" t="n">
        <f aca="false">-$D94*Inputs!$C$13</f>
        <v>-4000</v>
      </c>
      <c r="X94" s="133" t="n">
        <f aca="false">BF94-$D94*Inputs!$D$13</f>
        <v>-4000</v>
      </c>
      <c r="Y94" s="133" t="n">
        <f aca="false">BV94-$D94*Inputs!$E$13</f>
        <v>-4000</v>
      </c>
      <c r="Z94" s="133" t="n">
        <f aca="false">CL94-$D94*Inputs!$F$13</f>
        <v>-4000</v>
      </c>
      <c r="AA94" s="133" t="n">
        <f aca="false">DB94-$D94*Inputs!$G$13</f>
        <v>-4000</v>
      </c>
      <c r="AB94" s="133" t="n">
        <f aca="false">DR94-$D94*Inputs!$H$13</f>
        <v>5156.9932355646</v>
      </c>
      <c r="AC94" s="133" t="n">
        <f aca="false">EH94-$D94*Inputs!$I$13</f>
        <v>4519.46999318137</v>
      </c>
      <c r="AD94" s="133" t="n">
        <f aca="false">EX94-$D94*Inputs!$J$13</f>
        <v>3953.34935394505</v>
      </c>
      <c r="AE94" s="133" t="n">
        <f aca="false">FN94-$D94*Inputs!$K$13</f>
        <v>3450.63422630321</v>
      </c>
      <c r="AF94" s="133" t="n">
        <f aca="false">GD94-$D94*Inputs!$L$13</f>
        <v>3004.22319295725</v>
      </c>
      <c r="AG94" s="84" t="n">
        <f aca="false">GT94</f>
        <v>12683.7942394966</v>
      </c>
      <c r="AH94" s="84" t="n">
        <f aca="false">$D94*$E94</f>
        <v>270</v>
      </c>
      <c r="AI94" s="84" t="n">
        <f aca="false">BG94+$D94*$E94</f>
        <v>270</v>
      </c>
      <c r="AJ94" s="84" t="n">
        <f aca="false">BW94+$D94*$E94</f>
        <v>270</v>
      </c>
      <c r="AK94" s="84" t="n">
        <f aca="false">CM94+$D94*$E94</f>
        <v>270</v>
      </c>
      <c r="AL94" s="84" t="n">
        <f aca="false">DC94+$D94*$E94</f>
        <v>270</v>
      </c>
      <c r="AM94" s="84" t="n">
        <f aca="false">DS94+$D94*$E94</f>
        <v>270</v>
      </c>
      <c r="AN94" s="84" t="n">
        <f aca="false">EI94+$D94*$E94</f>
        <v>270</v>
      </c>
      <c r="AO94" s="84" t="n">
        <f aca="false">EY94+$D94*$E94</f>
        <v>270</v>
      </c>
      <c r="AP94" s="84" t="n">
        <f aca="false">FO94+$D94*$E94</f>
        <v>270</v>
      </c>
      <c r="AQ94" s="84" t="n">
        <f aca="false">GE94+$D94*$E94</f>
        <v>270</v>
      </c>
      <c r="AR94" s="84" t="n">
        <f aca="false">GU94</f>
        <v>355.25673723354</v>
      </c>
      <c r="AT94" s="133" t="n">
        <f aca="false">$D94*Inputs!$C$13-$D94*$E94</f>
        <v>3730</v>
      </c>
      <c r="AU94" s="84" t="n">
        <f aca="false">AT94*(1+$I94)</f>
        <v>4140.3</v>
      </c>
      <c r="AV94" s="133" t="n">
        <f aca="false">AU94*Inputs!$C$14</f>
        <v>0</v>
      </c>
      <c r="AW94" s="84" t="n">
        <f aca="false">AU94-AV94</f>
        <v>4140.3</v>
      </c>
      <c r="AX94" s="133" t="n">
        <f aca="false">$D94*Inputs!$C$13</f>
        <v>4000</v>
      </c>
      <c r="AY94" s="84" t="n">
        <f aca="false">MIN(AV94,AX94)</f>
        <v>0</v>
      </c>
      <c r="AZ94" s="84" t="n">
        <f aca="false">AX94-AY94</f>
        <v>4000</v>
      </c>
      <c r="BA94" s="84" t="n">
        <f aca="false">$G94*AX94</f>
        <v>320</v>
      </c>
      <c r="BB94" s="84" t="n">
        <f aca="false">MIN(AV94-AY94,BA94)</f>
        <v>0</v>
      </c>
      <c r="BC94" s="84" t="n">
        <f aca="false">BA94-BB94</f>
        <v>320</v>
      </c>
      <c r="BD94" s="84" t="n">
        <f aca="false">IF($H94=1,MIN(AV94-AY94-BB94,MAX(0,$F94/(1-$F94)*BB94)),0)</f>
        <v>0</v>
      </c>
      <c r="BE94" s="84" t="n">
        <f aca="false">AV94-AY94-BB94-BD94</f>
        <v>0</v>
      </c>
      <c r="BF94" s="84" t="n">
        <f aca="false">AY94+BB94+(1-$F94)*BE94</f>
        <v>0</v>
      </c>
      <c r="BG94" s="84" t="n">
        <f aca="false">BD94+$F94*BE94</f>
        <v>0</v>
      </c>
      <c r="BH94" s="84" t="n">
        <f aca="false">BB94+(1-$F94)*BE94</f>
        <v>0</v>
      </c>
      <c r="BI94" s="84" t="n">
        <f aca="false">BG94</f>
        <v>0</v>
      </c>
      <c r="BJ94" s="133" t="n">
        <f aca="false">AW94+$D94*Inputs!$D$13-$D94*$E94</f>
        <v>7870.3</v>
      </c>
      <c r="BK94" s="84" t="n">
        <f aca="false">BJ94*(1+$I94)</f>
        <v>8736.033</v>
      </c>
      <c r="BL94" s="133" t="n">
        <f aca="false">BK94*Inputs!$D$14</f>
        <v>0</v>
      </c>
      <c r="BM94" s="84" t="n">
        <f aca="false">BK94-BL94</f>
        <v>8736.033</v>
      </c>
      <c r="BN94" s="133" t="n">
        <f aca="false">AZ94+$D94*Inputs!$D$13</f>
        <v>8000</v>
      </c>
      <c r="BO94" s="84" t="n">
        <f aca="false">MIN(BL94,BN94)</f>
        <v>0</v>
      </c>
      <c r="BP94" s="84" t="n">
        <f aca="false">BN94-BO94</f>
        <v>8000</v>
      </c>
      <c r="BQ94" s="84" t="n">
        <f aca="false">BC94+$G94*(BN94+BC94)</f>
        <v>985.6</v>
      </c>
      <c r="BR94" s="84" t="n">
        <f aca="false">MIN(BL94-BO94,BQ94)</f>
        <v>0</v>
      </c>
      <c r="BS94" s="84" t="n">
        <f aca="false">BQ94-BR94</f>
        <v>985.6</v>
      </c>
      <c r="BT94" s="84" t="n">
        <f aca="false">IF($H94=1,MIN(BL94-BO94-BR94,MAX(0,$F94/(1-$F94)*(BH94+BR94)-BI94)),0)</f>
        <v>0</v>
      </c>
      <c r="BU94" s="84" t="n">
        <f aca="false">BL94-BO94-BR94-BT94</f>
        <v>0</v>
      </c>
      <c r="BV94" s="84" t="n">
        <f aca="false">BO94+BR94+(1-$F94)*BU94</f>
        <v>0</v>
      </c>
      <c r="BW94" s="84" t="n">
        <f aca="false">BT94+$F94*BU94</f>
        <v>0</v>
      </c>
      <c r="BX94" s="84" t="n">
        <f aca="false">BH94+BR94+(1-$F94)*BU94</f>
        <v>0</v>
      </c>
      <c r="BY94" s="84" t="n">
        <f aca="false">BI94+BW94</f>
        <v>0</v>
      </c>
      <c r="BZ94" s="133" t="n">
        <f aca="false">BM94+$D94*Inputs!$E$13-$D94*$E94</f>
        <v>12466.033</v>
      </c>
      <c r="CA94" s="84" t="n">
        <f aca="false">BZ94*(1+$I94)</f>
        <v>13837.29663</v>
      </c>
      <c r="CB94" s="133" t="n">
        <f aca="false">CA94*Inputs!$E$14</f>
        <v>0</v>
      </c>
      <c r="CC94" s="84" t="n">
        <f aca="false">CA94-CB94</f>
        <v>13837.29663</v>
      </c>
      <c r="CD94" s="133" t="n">
        <f aca="false">BP94+$D94*Inputs!$E$13</f>
        <v>12000</v>
      </c>
      <c r="CE94" s="84" t="n">
        <f aca="false">MIN(CB94,CD94)</f>
        <v>0</v>
      </c>
      <c r="CF94" s="84" t="n">
        <f aca="false">CD94-CE94</f>
        <v>12000</v>
      </c>
      <c r="CG94" s="84" t="n">
        <f aca="false">BS94+$G94*(CD94+BS94)</f>
        <v>2024.448</v>
      </c>
      <c r="CH94" s="84" t="n">
        <f aca="false">MIN(CB94-CE94,CG94)</f>
        <v>0</v>
      </c>
      <c r="CI94" s="84" t="n">
        <f aca="false">CG94-CH94</f>
        <v>2024.448</v>
      </c>
      <c r="CJ94" s="84" t="n">
        <f aca="false">IF($H94=1,MIN(CB94-CE94-CH94,MAX(0,$F94/(1-$F94)*(BX94+CH94)-BY94)),0)</f>
        <v>0</v>
      </c>
      <c r="CK94" s="84" t="n">
        <f aca="false">CB94-CE94-CH94-CJ94</f>
        <v>0</v>
      </c>
      <c r="CL94" s="84" t="n">
        <f aca="false">CE94+CH94+(1-$F94)*CK94</f>
        <v>0</v>
      </c>
      <c r="CM94" s="84" t="n">
        <f aca="false">CJ94+$F94*CK94</f>
        <v>0</v>
      </c>
      <c r="CN94" s="84" t="n">
        <f aca="false">BX94+CH94+(1-$F94)*CK94</f>
        <v>0</v>
      </c>
      <c r="CO94" s="84" t="n">
        <f aca="false">BY94+CM94</f>
        <v>0</v>
      </c>
      <c r="CP94" s="133" t="n">
        <f aca="false">CC94+$D94*Inputs!$F$13-$D94*$E94</f>
        <v>17567.29663</v>
      </c>
      <c r="CQ94" s="84" t="n">
        <f aca="false">CP94*(1+$I94)</f>
        <v>19499.6992593</v>
      </c>
      <c r="CR94" s="133" t="n">
        <f aca="false">CQ94*Inputs!$F$14</f>
        <v>0</v>
      </c>
      <c r="CS94" s="84" t="n">
        <f aca="false">CQ94-CR94</f>
        <v>19499.6992593</v>
      </c>
      <c r="CT94" s="133" t="n">
        <f aca="false">CF94+$D94*Inputs!$F$13</f>
        <v>16000</v>
      </c>
      <c r="CU94" s="84" t="n">
        <f aca="false">MIN(CR94,CT94)</f>
        <v>0</v>
      </c>
      <c r="CV94" s="84" t="n">
        <f aca="false">CT94-CU94</f>
        <v>16000</v>
      </c>
      <c r="CW94" s="84" t="n">
        <f aca="false">CI94+$G94*(CT94+CI94)</f>
        <v>3466.40384</v>
      </c>
      <c r="CX94" s="84" t="n">
        <f aca="false">MIN(CR94-CU94,CW94)</f>
        <v>0</v>
      </c>
      <c r="CY94" s="84" t="n">
        <f aca="false">CW94-CX94</f>
        <v>3466.40384</v>
      </c>
      <c r="CZ94" s="84" t="n">
        <f aca="false">IF($H94=1,MIN(CR94-CU94-CX94,MAX(0,$F94/(1-$F94)*(CN94+CX94)-CO94)),0)</f>
        <v>0</v>
      </c>
      <c r="DA94" s="84" t="n">
        <f aca="false">CR94-CU94-CX94-CZ94</f>
        <v>0</v>
      </c>
      <c r="DB94" s="84" t="n">
        <f aca="false">CU94+CX94+(1-$F94)*DA94</f>
        <v>0</v>
      </c>
      <c r="DC94" s="84" t="n">
        <f aca="false">CZ94+$F94*DA94</f>
        <v>0</v>
      </c>
      <c r="DD94" s="84" t="n">
        <f aca="false">CN94+CX94+(1-$F94)*DA94</f>
        <v>0</v>
      </c>
      <c r="DE94" s="84" t="n">
        <f aca="false">CO94+DC94</f>
        <v>0</v>
      </c>
      <c r="DF94" s="133" t="n">
        <f aca="false">CS94+$D94*Inputs!$G$13-$D94*$E94</f>
        <v>23229.6992593</v>
      </c>
      <c r="DG94" s="84" t="n">
        <f aca="false">DF94*(1+$I94)</f>
        <v>25784.966177823</v>
      </c>
      <c r="DH94" s="133" t="n">
        <f aca="false">DG94*Inputs!$G$14</f>
        <v>5156.9932355646</v>
      </c>
      <c r="DI94" s="84" t="n">
        <f aca="false">DG94-DH94</f>
        <v>20627.9729422584</v>
      </c>
      <c r="DJ94" s="133" t="n">
        <f aca="false">CV94+$D94*Inputs!$G$13</f>
        <v>20000</v>
      </c>
      <c r="DK94" s="84" t="n">
        <f aca="false">MIN(DH94,DJ94)</f>
        <v>5156.9932355646</v>
      </c>
      <c r="DL94" s="84" t="n">
        <f aca="false">DJ94-DK94</f>
        <v>14843.0067644354</v>
      </c>
      <c r="DM94" s="84" t="n">
        <f aca="false">CY94+$G94*(DJ94+CY94)</f>
        <v>5343.7161472</v>
      </c>
      <c r="DN94" s="84" t="n">
        <f aca="false">MIN(DH94-DK94,DM94)</f>
        <v>0</v>
      </c>
      <c r="DO94" s="84" t="n">
        <f aca="false">DM94-DN94</f>
        <v>5343.7161472</v>
      </c>
      <c r="DP94" s="84" t="n">
        <f aca="false">IF($H94=1,MIN(DH94-DK94-DN94,MAX(0,$F94/(1-$F94)*(DD94+DN94)-DE94)),0)</f>
        <v>0</v>
      </c>
      <c r="DQ94" s="84" t="n">
        <f aca="false">DH94-DK94-DN94-DP94</f>
        <v>0</v>
      </c>
      <c r="DR94" s="84" t="n">
        <f aca="false">DK94+DN94+(1-$F94)*DQ94</f>
        <v>5156.9932355646</v>
      </c>
      <c r="DS94" s="84" t="n">
        <f aca="false">DP94+$F94*DQ94</f>
        <v>0</v>
      </c>
      <c r="DT94" s="84" t="n">
        <f aca="false">DD94+DN94+(1-$F94)*DQ94</f>
        <v>0</v>
      </c>
      <c r="DU94" s="84" t="n">
        <f aca="false">DE94+DS94</f>
        <v>0</v>
      </c>
      <c r="DV94" s="133" t="n">
        <f aca="false">DI94+$D94*Inputs!$H$13-$D94*$E94</f>
        <v>20357.9729422584</v>
      </c>
      <c r="DW94" s="84" t="n">
        <f aca="false">DV94*(1+$I94)</f>
        <v>22597.3499659068</v>
      </c>
      <c r="DX94" s="133" t="n">
        <f aca="false">DW94*Inputs!$H$14</f>
        <v>4519.46999318137</v>
      </c>
      <c r="DY94" s="84" t="n">
        <f aca="false">DW94-DX94</f>
        <v>18077.8799727255</v>
      </c>
      <c r="DZ94" s="133" t="n">
        <f aca="false">DL94+$D94*Inputs!$H$13</f>
        <v>14843.0067644354</v>
      </c>
      <c r="EA94" s="84" t="n">
        <f aca="false">MIN(DX94,DZ94)</f>
        <v>4519.46999318137</v>
      </c>
      <c r="EB94" s="84" t="n">
        <f aca="false">DZ94-EA94</f>
        <v>10323.536771254</v>
      </c>
      <c r="EC94" s="84" t="n">
        <f aca="false">DO94+$G94*(DZ94+DO94)</f>
        <v>6958.65398013083</v>
      </c>
      <c r="ED94" s="84" t="n">
        <f aca="false">MIN(DX94-EA94,EC94)</f>
        <v>0</v>
      </c>
      <c r="EE94" s="84" t="n">
        <f aca="false">EC94-ED94</f>
        <v>6958.65398013083</v>
      </c>
      <c r="EF94" s="84" t="n">
        <f aca="false">IF($H94=1,MIN(DX94-EA94-ED94,MAX(0,$F94/(1-$F94)*(DT94+ED94)-DU94)),0)</f>
        <v>0</v>
      </c>
      <c r="EG94" s="84" t="n">
        <f aca="false">DX94-EA94-ED94-EF94</f>
        <v>0</v>
      </c>
      <c r="EH94" s="84" t="n">
        <f aca="false">EA94+ED94+(1-$F94)*EG94</f>
        <v>4519.46999318137</v>
      </c>
      <c r="EI94" s="84" t="n">
        <f aca="false">EF94+$F94*EG94</f>
        <v>0</v>
      </c>
      <c r="EJ94" s="84" t="n">
        <f aca="false">DT94+ED94+(1-$F94)*EG94</f>
        <v>0</v>
      </c>
      <c r="EK94" s="84" t="n">
        <f aca="false">DU94+EI94</f>
        <v>0</v>
      </c>
      <c r="EL94" s="133" t="n">
        <f aca="false">DY94+$D94*Inputs!$I$13-$D94*$E94</f>
        <v>17807.8799727255</v>
      </c>
      <c r="EM94" s="84" t="n">
        <f aca="false">EL94*(1+$I94)</f>
        <v>19766.7467697253</v>
      </c>
      <c r="EN94" s="133" t="n">
        <f aca="false">EM94*Inputs!$I$14</f>
        <v>3953.34935394505</v>
      </c>
      <c r="EO94" s="84" t="n">
        <f aca="false">EM94-EN94</f>
        <v>15813.3974157802</v>
      </c>
      <c r="EP94" s="133" t="n">
        <f aca="false">EB94+$D94*Inputs!$I$13</f>
        <v>10323.536771254</v>
      </c>
      <c r="EQ94" s="84" t="n">
        <f aca="false">MIN(EN94,EP94)</f>
        <v>3953.34935394505</v>
      </c>
      <c r="ER94" s="84" t="n">
        <f aca="false">EP94-EQ94</f>
        <v>6370.18741730898</v>
      </c>
      <c r="ES94" s="84" t="n">
        <f aca="false">EE94+$G94*(EP94+EE94)</f>
        <v>8341.22924024162</v>
      </c>
      <c r="ET94" s="84" t="n">
        <f aca="false">MIN(EN94-EQ94,ES94)</f>
        <v>0</v>
      </c>
      <c r="EU94" s="84" t="n">
        <f aca="false">ES94-ET94</f>
        <v>8341.22924024162</v>
      </c>
      <c r="EV94" s="84" t="n">
        <f aca="false">IF($H94=1,MIN(EN94-EQ94-ET94,MAX(0,$F94/(1-$F94)*(EJ94+ET94)-EK94)),0)</f>
        <v>0</v>
      </c>
      <c r="EW94" s="84" t="n">
        <f aca="false">EN94-EQ94-ET94-EV94</f>
        <v>0</v>
      </c>
      <c r="EX94" s="84" t="n">
        <f aca="false">EQ94+ET94+(1-$F94)*EW94</f>
        <v>3953.34935394505</v>
      </c>
      <c r="EY94" s="84" t="n">
        <f aca="false">EV94+$F94*EW94</f>
        <v>0</v>
      </c>
      <c r="EZ94" s="84" t="n">
        <f aca="false">EJ94+ET94+(1-$F94)*EW94</f>
        <v>0</v>
      </c>
      <c r="FA94" s="84" t="n">
        <f aca="false">EK94+EY94</f>
        <v>0</v>
      </c>
      <c r="FB94" s="133" t="n">
        <f aca="false">EO94+$D94*Inputs!$J$13-$D94*$E94</f>
        <v>15543.3974157802</v>
      </c>
      <c r="FC94" s="84" t="n">
        <f aca="false">FB94*(1+$I94)</f>
        <v>17253.171131516</v>
      </c>
      <c r="FD94" s="133" t="n">
        <f aca="false">FC94*Inputs!$J$14</f>
        <v>3450.63422630321</v>
      </c>
      <c r="FE94" s="84" t="n">
        <f aca="false">FC94-FD94</f>
        <v>13802.5369052128</v>
      </c>
      <c r="FF94" s="133" t="n">
        <f aca="false">ER94+$D94*Inputs!$J$13</f>
        <v>6370.18741730898</v>
      </c>
      <c r="FG94" s="84" t="n">
        <f aca="false">MIN(FD94,FF94)</f>
        <v>3450.63422630321</v>
      </c>
      <c r="FH94" s="84" t="n">
        <f aca="false">FF94-FG94</f>
        <v>2919.55319100577</v>
      </c>
      <c r="FI94" s="84" t="n">
        <f aca="false">EU94+$G94*(FF94+EU94)</f>
        <v>9518.14257284567</v>
      </c>
      <c r="FJ94" s="84" t="n">
        <f aca="false">MIN(FD94-FG94,FI94)</f>
        <v>0</v>
      </c>
      <c r="FK94" s="84" t="n">
        <f aca="false">FI94-FJ94</f>
        <v>9518.14257284567</v>
      </c>
      <c r="FL94" s="84" t="n">
        <f aca="false">IF($H94=1,MIN(FD94-FG94-FJ94,MAX(0,$F94/(1-$F94)*(EZ94+FJ94)-FA94)),0)</f>
        <v>0</v>
      </c>
      <c r="FM94" s="84" t="n">
        <f aca="false">FD94-FG94-FJ94-FL94</f>
        <v>0</v>
      </c>
      <c r="FN94" s="84" t="n">
        <f aca="false">FG94+FJ94+(1-$F94)*FM94</f>
        <v>3450.63422630321</v>
      </c>
      <c r="FO94" s="84" t="n">
        <f aca="false">FL94+$F94*FM94</f>
        <v>0</v>
      </c>
      <c r="FP94" s="84" t="n">
        <f aca="false">EZ94+FJ94+(1-$F94)*FM94</f>
        <v>0</v>
      </c>
      <c r="FQ94" s="84" t="n">
        <f aca="false">FA94+FO94</f>
        <v>0</v>
      </c>
      <c r="FR94" s="133" t="n">
        <f aca="false">FE94+$D94*Inputs!$K$13-$D94*$E94</f>
        <v>13532.5369052128</v>
      </c>
      <c r="FS94" s="84" t="n">
        <f aca="false">FR94*(1+$I94)</f>
        <v>15021.1159647862</v>
      </c>
      <c r="FT94" s="133" t="n">
        <f aca="false">FS94*Inputs!$K$14</f>
        <v>3004.22319295725</v>
      </c>
      <c r="FU94" s="84" t="n">
        <f aca="false">FS94-FT94</f>
        <v>12016.892771829</v>
      </c>
      <c r="FV94" s="133" t="n">
        <f aca="false">FH94+$D94*Inputs!$K$13</f>
        <v>2919.55319100577</v>
      </c>
      <c r="FW94" s="84" t="n">
        <f aca="false">MIN(FT94,FV94)</f>
        <v>2919.55319100577</v>
      </c>
      <c r="FX94" s="84" t="n">
        <f aca="false">FV94-FW94</f>
        <v>0</v>
      </c>
      <c r="FY94" s="84" t="n">
        <f aca="false">FK94+$G94*(FV94+FK94)</f>
        <v>10513.1582339538</v>
      </c>
      <c r="FZ94" s="84" t="n">
        <f aca="false">MIN(FT94-FW94,FY94)</f>
        <v>84.670001951481</v>
      </c>
      <c r="GA94" s="84" t="n">
        <f aca="false">FY94-FZ94</f>
        <v>10428.4882320023</v>
      </c>
      <c r="GB94" s="84" t="n">
        <f aca="false">IF($H94=1,MIN(FT94-FW94-FZ94,MAX(0,$F94/(1-$F94)*(FP94+FZ94)-FQ94)),0)</f>
        <v>0</v>
      </c>
      <c r="GC94" s="84" t="n">
        <f aca="false">FT94-FW94-FZ94-GB94</f>
        <v>0</v>
      </c>
      <c r="GD94" s="84" t="n">
        <f aca="false">FW94+FZ94+(1-$F94)*GC94</f>
        <v>3004.22319295725</v>
      </c>
      <c r="GE94" s="84" t="n">
        <f aca="false">GB94+$F94*GC94</f>
        <v>0</v>
      </c>
      <c r="GF94" s="84" t="n">
        <f aca="false">FP94+FZ94+(1-$F94)*GC94</f>
        <v>84.670001951481</v>
      </c>
      <c r="GG94" s="84" t="n">
        <f aca="false">FQ94+GE94</f>
        <v>0</v>
      </c>
      <c r="GH94" s="133" t="n">
        <f aca="false">FU94+$D94*Inputs!$L$13-$D94*$E94</f>
        <v>11746.892771829</v>
      </c>
      <c r="GI94" s="84" t="n">
        <f aca="false">GH94*(1+$I94)</f>
        <v>13039.0509767302</v>
      </c>
      <c r="GJ94" s="133" t="n">
        <f aca="false">GI94*Inputs!$L$14</f>
        <v>13039.0509767302</v>
      </c>
      <c r="GK94" s="84" t="n">
        <f aca="false">GI94-GJ94</f>
        <v>0</v>
      </c>
      <c r="GL94" s="133" t="n">
        <f aca="false">FX94+$D94*Inputs!$L$13</f>
        <v>0</v>
      </c>
      <c r="GM94" s="84" t="n">
        <f aca="false">MIN(GJ94,GL94)</f>
        <v>0</v>
      </c>
      <c r="GN94" s="84" t="n">
        <f aca="false">GL94-GM94</f>
        <v>0</v>
      </c>
      <c r="GO94" s="84" t="n">
        <f aca="false">GA94+$G94*(GL94+GA94)</f>
        <v>11262.7672905625</v>
      </c>
      <c r="GP94" s="84" t="n">
        <f aca="false">MIN(GJ94-GM94,GO94)</f>
        <v>11262.7672905625</v>
      </c>
      <c r="GQ94" s="84" t="n">
        <f aca="false">GO94-GP94</f>
        <v>0</v>
      </c>
      <c r="GR94" s="84" t="n">
        <f aca="false">IF($H94=1,MIN(GJ94-GM94-GP94,MAX(0,$F94/(1-$F94)*(GF94+GP94)-GG94)),0)</f>
        <v>0</v>
      </c>
      <c r="GS94" s="84" t="n">
        <f aca="false">GJ94-GM94-GP94-GR94</f>
        <v>1776.2836861677</v>
      </c>
      <c r="GT94" s="84" t="n">
        <f aca="false">GM94+GP94+(1-$F94)*GS94</f>
        <v>12683.7942394966</v>
      </c>
      <c r="GU94" s="84" t="n">
        <f aca="false">GR94+$F94*GS94</f>
        <v>355.25673723354</v>
      </c>
      <c r="GV94" s="84" t="n">
        <f aca="false">GF94+GP94+(1-$F94)*GS94</f>
        <v>12768.4642414481</v>
      </c>
      <c r="GW94" s="84" t="n">
        <f aca="false">GG94+GU94</f>
        <v>355.25673723354</v>
      </c>
    </row>
    <row r="95" customFormat="false" ht="15" hidden="false" customHeight="false" outlineLevel="0" collapsed="false">
      <c r="A95" s="5" t="s">
        <v>639</v>
      </c>
      <c r="B95" s="5" t="s">
        <v>427</v>
      </c>
      <c r="C95" s="135" t="n">
        <v>12</v>
      </c>
      <c r="D95" s="47" t="n">
        <f aca="false">Inputs!$C$6</f>
        <v>20000</v>
      </c>
      <c r="E95" s="35" t="n">
        <f aca="false">Inputs!$C$19</f>
        <v>0.0135</v>
      </c>
      <c r="F95" s="36" t="n">
        <f aca="false">Inputs!$C$20</f>
        <v>0.2</v>
      </c>
      <c r="G95" s="36" t="n">
        <f aca="false">Inputs!$C$22</f>
        <v>0.08</v>
      </c>
      <c r="H95" s="27" t="n">
        <v>0</v>
      </c>
      <c r="I95" s="132" t="n">
        <f aca="false">Inputs!$C$38+$C95*Inputs!$C$39</f>
        <v>0.12</v>
      </c>
      <c r="J95" s="36" t="n">
        <f aca="false">Inputs!$C$9</f>
        <v>0.15</v>
      </c>
      <c r="K95" s="89" t="n">
        <f aca="false">IRR(W95:AG95,0.1)</f>
        <v>0.0953173698445663</v>
      </c>
      <c r="L95" s="45" t="n">
        <f aca="false">W95+NPV($J95,X95:AG95)</f>
        <v>-3796.85314846003</v>
      </c>
      <c r="M95" s="45" t="n">
        <f aca="false">SUM(BF95,BV95,CL95,DB95,DR95,EH95,EX95,FN95,GD95,GT95)</f>
        <v>34315.9233829855</v>
      </c>
      <c r="N95" s="43" t="n">
        <f aca="false">IF($D95*SUM(Inputs!$C$13:$L$13)=0,0,M95/($D95*SUM(Inputs!$C$13:$L$13)))</f>
        <v>1.71579616914928</v>
      </c>
      <c r="O95" s="42" t="n">
        <f aca="false">$D95*$E95*COLUMNS(Inputs!$C$13:$L$13)</f>
        <v>2700</v>
      </c>
      <c r="P95" s="45" t="n">
        <f aca="false">SUM(BG95,BW95,CM95,DC95,DS95,EI95,EY95,FO95,GE95,GU95)</f>
        <v>800.936519633547</v>
      </c>
      <c r="Q95" s="42" t="n">
        <f aca="false">PV($J95,COLUMNS(Inputs!$C$13:$L$13),-$D95*$E95,0,1)</f>
        <v>1558.32765832774</v>
      </c>
      <c r="R95" s="45" t="n">
        <f aca="false">NPV($J95,BG95,BW95,CM95,DC95,DS95,EI95,EY95,FO95,GE95,GU95)</f>
        <v>197.979258227888</v>
      </c>
      <c r="S95" s="45" t="n">
        <f aca="false">Q95+R95</f>
        <v>1756.30691655563</v>
      </c>
      <c r="T95" s="32" t="n">
        <f aca="false">IF(S95=0,0,Q95/S95)</f>
        <v>0.887275249922631</v>
      </c>
      <c r="U95" s="45" t="n">
        <f aca="false">ROUND(ABS(GK95)+ABS(SUM(AV95,BL95,CB95,CR95,DH95,DX95,EN95,FD95,FT95,GJ95)-M95-P95)+ABS(S95-(AH95+NPV($J95,AI95:AR95))),6)</f>
        <v>0</v>
      </c>
      <c r="W95" s="133" t="n">
        <f aca="false">-$D95*Inputs!$C$13</f>
        <v>-4000</v>
      </c>
      <c r="X95" s="133" t="n">
        <f aca="false">BF95-$D95*Inputs!$D$13</f>
        <v>-4000</v>
      </c>
      <c r="Y95" s="133" t="n">
        <f aca="false">BV95-$D95*Inputs!$E$13</f>
        <v>-4000</v>
      </c>
      <c r="Z95" s="133" t="n">
        <f aca="false">CL95-$D95*Inputs!$F$13</f>
        <v>-4000</v>
      </c>
      <c r="AA95" s="133" t="n">
        <f aca="false">DB95-$D95*Inputs!$G$13</f>
        <v>-4000</v>
      </c>
      <c r="AB95" s="133" t="n">
        <f aca="false">DR95-$D95*Inputs!$H$13</f>
        <v>5307.9310262272</v>
      </c>
      <c r="AC95" s="133" t="n">
        <f aca="false">EH95-$D95*Inputs!$I$13</f>
        <v>4695.42619949957</v>
      </c>
      <c r="AD95" s="133" t="n">
        <f aca="false">EX95-$D95*Inputs!$J$13</f>
        <v>4146.62187475162</v>
      </c>
      <c r="AE95" s="133" t="n">
        <f aca="false">FN95-$D95*Inputs!$K$13</f>
        <v>3654.89319977745</v>
      </c>
      <c r="AF95" s="133" t="n">
        <f aca="false">GD95-$D95*Inputs!$L$13</f>
        <v>3214.30430700059</v>
      </c>
      <c r="AG95" s="84" t="n">
        <f aca="false">GT95</f>
        <v>13296.7467757291</v>
      </c>
      <c r="AH95" s="84" t="n">
        <f aca="false">$D95*$E95</f>
        <v>270</v>
      </c>
      <c r="AI95" s="84" t="n">
        <f aca="false">BG95+$D95*$E95</f>
        <v>270</v>
      </c>
      <c r="AJ95" s="84" t="n">
        <f aca="false">BW95+$D95*$E95</f>
        <v>270</v>
      </c>
      <c r="AK95" s="84" t="n">
        <f aca="false">CM95+$D95*$E95</f>
        <v>270</v>
      </c>
      <c r="AL95" s="84" t="n">
        <f aca="false">DC95+$D95*$E95</f>
        <v>270</v>
      </c>
      <c r="AM95" s="84" t="n">
        <f aca="false">DS95+$D95*$E95</f>
        <v>270</v>
      </c>
      <c r="AN95" s="84" t="n">
        <f aca="false">EI95+$D95*$E95</f>
        <v>270</v>
      </c>
      <c r="AO95" s="84" t="n">
        <f aca="false">EY95+$D95*$E95</f>
        <v>270</v>
      </c>
      <c r="AP95" s="84" t="n">
        <f aca="false">FO95+$D95*$E95</f>
        <v>270</v>
      </c>
      <c r="AQ95" s="84" t="n">
        <f aca="false">GE95+$D95*$E95</f>
        <v>270</v>
      </c>
      <c r="AR95" s="84" t="n">
        <f aca="false">GU95</f>
        <v>800.936519633547</v>
      </c>
      <c r="AT95" s="133" t="n">
        <f aca="false">$D95*Inputs!$C$13-$D95*$E95</f>
        <v>3730</v>
      </c>
      <c r="AU95" s="84" t="n">
        <f aca="false">AT95*(1+$I95)</f>
        <v>4177.6</v>
      </c>
      <c r="AV95" s="133" t="n">
        <f aca="false">AU95*Inputs!$C$14</f>
        <v>0</v>
      </c>
      <c r="AW95" s="84" t="n">
        <f aca="false">AU95-AV95</f>
        <v>4177.6</v>
      </c>
      <c r="AX95" s="133" t="n">
        <f aca="false">$D95*Inputs!$C$13</f>
        <v>4000</v>
      </c>
      <c r="AY95" s="84" t="n">
        <f aca="false">MIN(AV95,AX95)</f>
        <v>0</v>
      </c>
      <c r="AZ95" s="84" t="n">
        <f aca="false">AX95-AY95</f>
        <v>4000</v>
      </c>
      <c r="BA95" s="84" t="n">
        <f aca="false">$G95*AX95</f>
        <v>320</v>
      </c>
      <c r="BB95" s="84" t="n">
        <f aca="false">MIN(AV95-AY95,BA95)</f>
        <v>0</v>
      </c>
      <c r="BC95" s="84" t="n">
        <f aca="false">BA95-BB95</f>
        <v>320</v>
      </c>
      <c r="BD95" s="84" t="n">
        <f aca="false">IF($H95=1,MIN(AV95-AY95-BB95,MAX(0,$F95/(1-$F95)*BB95)),0)</f>
        <v>0</v>
      </c>
      <c r="BE95" s="84" t="n">
        <f aca="false">AV95-AY95-BB95-BD95</f>
        <v>0</v>
      </c>
      <c r="BF95" s="84" t="n">
        <f aca="false">AY95+BB95+(1-$F95)*BE95</f>
        <v>0</v>
      </c>
      <c r="BG95" s="84" t="n">
        <f aca="false">BD95+$F95*BE95</f>
        <v>0</v>
      </c>
      <c r="BH95" s="84" t="n">
        <f aca="false">BB95+(1-$F95)*BE95</f>
        <v>0</v>
      </c>
      <c r="BI95" s="84" t="n">
        <f aca="false">BG95</f>
        <v>0</v>
      </c>
      <c r="BJ95" s="133" t="n">
        <f aca="false">AW95+$D95*Inputs!$D$13-$D95*$E95</f>
        <v>7907.6</v>
      </c>
      <c r="BK95" s="84" t="n">
        <f aca="false">BJ95*(1+$I95)</f>
        <v>8856.512</v>
      </c>
      <c r="BL95" s="133" t="n">
        <f aca="false">BK95*Inputs!$D$14</f>
        <v>0</v>
      </c>
      <c r="BM95" s="84" t="n">
        <f aca="false">BK95-BL95</f>
        <v>8856.512</v>
      </c>
      <c r="BN95" s="133" t="n">
        <f aca="false">AZ95+$D95*Inputs!$D$13</f>
        <v>8000</v>
      </c>
      <c r="BO95" s="84" t="n">
        <f aca="false">MIN(BL95,BN95)</f>
        <v>0</v>
      </c>
      <c r="BP95" s="84" t="n">
        <f aca="false">BN95-BO95</f>
        <v>8000</v>
      </c>
      <c r="BQ95" s="84" t="n">
        <f aca="false">BC95+$G95*(BN95+BC95)</f>
        <v>985.6</v>
      </c>
      <c r="BR95" s="84" t="n">
        <f aca="false">MIN(BL95-BO95,BQ95)</f>
        <v>0</v>
      </c>
      <c r="BS95" s="84" t="n">
        <f aca="false">BQ95-BR95</f>
        <v>985.6</v>
      </c>
      <c r="BT95" s="84" t="n">
        <f aca="false">IF($H95=1,MIN(BL95-BO95-BR95,MAX(0,$F95/(1-$F95)*(BH95+BR95)-BI95)),0)</f>
        <v>0</v>
      </c>
      <c r="BU95" s="84" t="n">
        <f aca="false">BL95-BO95-BR95-BT95</f>
        <v>0</v>
      </c>
      <c r="BV95" s="84" t="n">
        <f aca="false">BO95+BR95+(1-$F95)*BU95</f>
        <v>0</v>
      </c>
      <c r="BW95" s="84" t="n">
        <f aca="false">BT95+$F95*BU95</f>
        <v>0</v>
      </c>
      <c r="BX95" s="84" t="n">
        <f aca="false">BH95+BR95+(1-$F95)*BU95</f>
        <v>0</v>
      </c>
      <c r="BY95" s="84" t="n">
        <f aca="false">BI95+BW95</f>
        <v>0</v>
      </c>
      <c r="BZ95" s="133" t="n">
        <f aca="false">BM95+$D95*Inputs!$E$13-$D95*$E95</f>
        <v>12586.512</v>
      </c>
      <c r="CA95" s="84" t="n">
        <f aca="false">BZ95*(1+$I95)</f>
        <v>14096.89344</v>
      </c>
      <c r="CB95" s="133" t="n">
        <f aca="false">CA95*Inputs!$E$14</f>
        <v>0</v>
      </c>
      <c r="CC95" s="84" t="n">
        <f aca="false">CA95-CB95</f>
        <v>14096.89344</v>
      </c>
      <c r="CD95" s="133" t="n">
        <f aca="false">BP95+$D95*Inputs!$E$13</f>
        <v>12000</v>
      </c>
      <c r="CE95" s="84" t="n">
        <f aca="false">MIN(CB95,CD95)</f>
        <v>0</v>
      </c>
      <c r="CF95" s="84" t="n">
        <f aca="false">CD95-CE95</f>
        <v>12000</v>
      </c>
      <c r="CG95" s="84" t="n">
        <f aca="false">BS95+$G95*(CD95+BS95)</f>
        <v>2024.448</v>
      </c>
      <c r="CH95" s="84" t="n">
        <f aca="false">MIN(CB95-CE95,CG95)</f>
        <v>0</v>
      </c>
      <c r="CI95" s="84" t="n">
        <f aca="false">CG95-CH95</f>
        <v>2024.448</v>
      </c>
      <c r="CJ95" s="84" t="n">
        <f aca="false">IF($H95=1,MIN(CB95-CE95-CH95,MAX(0,$F95/(1-$F95)*(BX95+CH95)-BY95)),0)</f>
        <v>0</v>
      </c>
      <c r="CK95" s="84" t="n">
        <f aca="false">CB95-CE95-CH95-CJ95</f>
        <v>0</v>
      </c>
      <c r="CL95" s="84" t="n">
        <f aca="false">CE95+CH95+(1-$F95)*CK95</f>
        <v>0</v>
      </c>
      <c r="CM95" s="84" t="n">
        <f aca="false">CJ95+$F95*CK95</f>
        <v>0</v>
      </c>
      <c r="CN95" s="84" t="n">
        <f aca="false">BX95+CH95+(1-$F95)*CK95</f>
        <v>0</v>
      </c>
      <c r="CO95" s="84" t="n">
        <f aca="false">BY95+CM95</f>
        <v>0</v>
      </c>
      <c r="CP95" s="133" t="n">
        <f aca="false">CC95+$D95*Inputs!$F$13-$D95*$E95</f>
        <v>17826.89344</v>
      </c>
      <c r="CQ95" s="84" t="n">
        <f aca="false">CP95*(1+$I95)</f>
        <v>19966.1206528</v>
      </c>
      <c r="CR95" s="133" t="n">
        <f aca="false">CQ95*Inputs!$F$14</f>
        <v>0</v>
      </c>
      <c r="CS95" s="84" t="n">
        <f aca="false">CQ95-CR95</f>
        <v>19966.1206528</v>
      </c>
      <c r="CT95" s="133" t="n">
        <f aca="false">CF95+$D95*Inputs!$F$13</f>
        <v>16000</v>
      </c>
      <c r="CU95" s="84" t="n">
        <f aca="false">MIN(CR95,CT95)</f>
        <v>0</v>
      </c>
      <c r="CV95" s="84" t="n">
        <f aca="false">CT95-CU95</f>
        <v>16000</v>
      </c>
      <c r="CW95" s="84" t="n">
        <f aca="false">CI95+$G95*(CT95+CI95)</f>
        <v>3466.40384</v>
      </c>
      <c r="CX95" s="84" t="n">
        <f aca="false">MIN(CR95-CU95,CW95)</f>
        <v>0</v>
      </c>
      <c r="CY95" s="84" t="n">
        <f aca="false">CW95-CX95</f>
        <v>3466.40384</v>
      </c>
      <c r="CZ95" s="84" t="n">
        <f aca="false">IF($H95=1,MIN(CR95-CU95-CX95,MAX(0,$F95/(1-$F95)*(CN95+CX95)-CO95)),0)</f>
        <v>0</v>
      </c>
      <c r="DA95" s="84" t="n">
        <f aca="false">CR95-CU95-CX95-CZ95</f>
        <v>0</v>
      </c>
      <c r="DB95" s="84" t="n">
        <f aca="false">CU95+CX95+(1-$F95)*DA95</f>
        <v>0</v>
      </c>
      <c r="DC95" s="84" t="n">
        <f aca="false">CZ95+$F95*DA95</f>
        <v>0</v>
      </c>
      <c r="DD95" s="84" t="n">
        <f aca="false">CN95+CX95+(1-$F95)*DA95</f>
        <v>0</v>
      </c>
      <c r="DE95" s="84" t="n">
        <f aca="false">CO95+DC95</f>
        <v>0</v>
      </c>
      <c r="DF95" s="133" t="n">
        <f aca="false">CS95+$D95*Inputs!$G$13-$D95*$E95</f>
        <v>23696.1206528</v>
      </c>
      <c r="DG95" s="84" t="n">
        <f aca="false">DF95*(1+$I95)</f>
        <v>26539.655131136</v>
      </c>
      <c r="DH95" s="133" t="n">
        <f aca="false">DG95*Inputs!$G$14</f>
        <v>5307.9310262272</v>
      </c>
      <c r="DI95" s="84" t="n">
        <f aca="false">DG95-DH95</f>
        <v>21231.7241049088</v>
      </c>
      <c r="DJ95" s="133" t="n">
        <f aca="false">CV95+$D95*Inputs!$G$13</f>
        <v>20000</v>
      </c>
      <c r="DK95" s="84" t="n">
        <f aca="false">MIN(DH95,DJ95)</f>
        <v>5307.9310262272</v>
      </c>
      <c r="DL95" s="84" t="n">
        <f aca="false">DJ95-DK95</f>
        <v>14692.0689737728</v>
      </c>
      <c r="DM95" s="84" t="n">
        <f aca="false">CY95+$G95*(DJ95+CY95)</f>
        <v>5343.7161472</v>
      </c>
      <c r="DN95" s="84" t="n">
        <f aca="false">MIN(DH95-DK95,DM95)</f>
        <v>0</v>
      </c>
      <c r="DO95" s="84" t="n">
        <f aca="false">DM95-DN95</f>
        <v>5343.7161472</v>
      </c>
      <c r="DP95" s="84" t="n">
        <f aca="false">IF($H95=1,MIN(DH95-DK95-DN95,MAX(0,$F95/(1-$F95)*(DD95+DN95)-DE95)),0)</f>
        <v>0</v>
      </c>
      <c r="DQ95" s="84" t="n">
        <f aca="false">DH95-DK95-DN95-DP95</f>
        <v>0</v>
      </c>
      <c r="DR95" s="84" t="n">
        <f aca="false">DK95+DN95+(1-$F95)*DQ95</f>
        <v>5307.9310262272</v>
      </c>
      <c r="DS95" s="84" t="n">
        <f aca="false">DP95+$F95*DQ95</f>
        <v>0</v>
      </c>
      <c r="DT95" s="84" t="n">
        <f aca="false">DD95+DN95+(1-$F95)*DQ95</f>
        <v>0</v>
      </c>
      <c r="DU95" s="84" t="n">
        <f aca="false">DE95+DS95</f>
        <v>0</v>
      </c>
      <c r="DV95" s="133" t="n">
        <f aca="false">DI95+$D95*Inputs!$H$13-$D95*$E95</f>
        <v>20961.7241049088</v>
      </c>
      <c r="DW95" s="84" t="n">
        <f aca="false">DV95*(1+$I95)</f>
        <v>23477.1309974979</v>
      </c>
      <c r="DX95" s="133" t="n">
        <f aca="false">DW95*Inputs!$H$14</f>
        <v>4695.42619949957</v>
      </c>
      <c r="DY95" s="84" t="n">
        <f aca="false">DW95-DX95</f>
        <v>18781.7047979983</v>
      </c>
      <c r="DZ95" s="133" t="n">
        <f aca="false">DL95+$D95*Inputs!$H$13</f>
        <v>14692.0689737728</v>
      </c>
      <c r="EA95" s="84" t="n">
        <f aca="false">MIN(DX95,DZ95)</f>
        <v>4695.42619949957</v>
      </c>
      <c r="EB95" s="84" t="n">
        <f aca="false">DZ95-EA95</f>
        <v>9996.64277427323</v>
      </c>
      <c r="EC95" s="84" t="n">
        <f aca="false">DO95+$G95*(DZ95+DO95)</f>
        <v>6946.57895687782</v>
      </c>
      <c r="ED95" s="84" t="n">
        <f aca="false">MIN(DX95-EA95,EC95)</f>
        <v>0</v>
      </c>
      <c r="EE95" s="84" t="n">
        <f aca="false">EC95-ED95</f>
        <v>6946.57895687782</v>
      </c>
      <c r="EF95" s="84" t="n">
        <f aca="false">IF($H95=1,MIN(DX95-EA95-ED95,MAX(0,$F95/(1-$F95)*(DT95+ED95)-DU95)),0)</f>
        <v>0</v>
      </c>
      <c r="EG95" s="84" t="n">
        <f aca="false">DX95-EA95-ED95-EF95</f>
        <v>0</v>
      </c>
      <c r="EH95" s="84" t="n">
        <f aca="false">EA95+ED95+(1-$F95)*EG95</f>
        <v>4695.42619949957</v>
      </c>
      <c r="EI95" s="84" t="n">
        <f aca="false">EF95+$F95*EG95</f>
        <v>0</v>
      </c>
      <c r="EJ95" s="84" t="n">
        <f aca="false">DT95+ED95+(1-$F95)*EG95</f>
        <v>0</v>
      </c>
      <c r="EK95" s="84" t="n">
        <f aca="false">DU95+EI95</f>
        <v>0</v>
      </c>
      <c r="EL95" s="133" t="n">
        <f aca="false">DY95+$D95*Inputs!$I$13-$D95*$E95</f>
        <v>18511.7047979983</v>
      </c>
      <c r="EM95" s="84" t="n">
        <f aca="false">EL95*(1+$I95)</f>
        <v>20733.1093737581</v>
      </c>
      <c r="EN95" s="133" t="n">
        <f aca="false">EM95*Inputs!$I$14</f>
        <v>4146.62187475162</v>
      </c>
      <c r="EO95" s="84" t="n">
        <f aca="false">EM95-EN95</f>
        <v>16586.4874990065</v>
      </c>
      <c r="EP95" s="133" t="n">
        <f aca="false">EB95+$D95*Inputs!$I$13</f>
        <v>9996.64277427323</v>
      </c>
      <c r="EQ95" s="84" t="n">
        <f aca="false">MIN(EN95,EP95)</f>
        <v>4146.62187475162</v>
      </c>
      <c r="ER95" s="84" t="n">
        <f aca="false">EP95-EQ95</f>
        <v>5850.02089952161</v>
      </c>
      <c r="ES95" s="84" t="n">
        <f aca="false">EE95+$G95*(EP95+EE95)</f>
        <v>8302.03669536991</v>
      </c>
      <c r="ET95" s="84" t="n">
        <f aca="false">MIN(EN95-EQ95,ES95)</f>
        <v>0</v>
      </c>
      <c r="EU95" s="84" t="n">
        <f aca="false">ES95-ET95</f>
        <v>8302.03669536991</v>
      </c>
      <c r="EV95" s="84" t="n">
        <f aca="false">IF($H95=1,MIN(EN95-EQ95-ET95,MAX(0,$F95/(1-$F95)*(EJ95+ET95)-EK95)),0)</f>
        <v>0</v>
      </c>
      <c r="EW95" s="84" t="n">
        <f aca="false">EN95-EQ95-ET95-EV95</f>
        <v>0</v>
      </c>
      <c r="EX95" s="84" t="n">
        <f aca="false">EQ95+ET95+(1-$F95)*EW95</f>
        <v>4146.62187475162</v>
      </c>
      <c r="EY95" s="84" t="n">
        <f aca="false">EV95+$F95*EW95</f>
        <v>0</v>
      </c>
      <c r="EZ95" s="84" t="n">
        <f aca="false">EJ95+ET95+(1-$F95)*EW95</f>
        <v>0</v>
      </c>
      <c r="FA95" s="84" t="n">
        <f aca="false">EK95+EY95</f>
        <v>0</v>
      </c>
      <c r="FB95" s="133" t="n">
        <f aca="false">EO95+$D95*Inputs!$J$13-$D95*$E95</f>
        <v>16316.4874990065</v>
      </c>
      <c r="FC95" s="84" t="n">
        <f aca="false">FB95*(1+$I95)</f>
        <v>18274.4659988872</v>
      </c>
      <c r="FD95" s="133" t="n">
        <f aca="false">FC95*Inputs!$J$14</f>
        <v>3654.89319977745</v>
      </c>
      <c r="FE95" s="84" t="n">
        <f aca="false">FC95-FD95</f>
        <v>14619.5727991098</v>
      </c>
      <c r="FF95" s="133" t="n">
        <f aca="false">ER95+$D95*Inputs!$J$13</f>
        <v>5850.02089952161</v>
      </c>
      <c r="FG95" s="84" t="n">
        <f aca="false">MIN(FD95,FF95)</f>
        <v>3654.89319977745</v>
      </c>
      <c r="FH95" s="84" t="n">
        <f aca="false">FF95-FG95</f>
        <v>2195.12769974416</v>
      </c>
      <c r="FI95" s="84" t="n">
        <f aca="false">EU95+$G95*(FF95+EU95)</f>
        <v>9434.20130296123</v>
      </c>
      <c r="FJ95" s="84" t="n">
        <f aca="false">MIN(FD95-FG95,FI95)</f>
        <v>0</v>
      </c>
      <c r="FK95" s="84" t="n">
        <f aca="false">FI95-FJ95</f>
        <v>9434.20130296123</v>
      </c>
      <c r="FL95" s="84" t="n">
        <f aca="false">IF($H95=1,MIN(FD95-FG95-FJ95,MAX(0,$F95/(1-$F95)*(EZ95+FJ95)-FA95)),0)</f>
        <v>0</v>
      </c>
      <c r="FM95" s="84" t="n">
        <f aca="false">FD95-FG95-FJ95-FL95</f>
        <v>0</v>
      </c>
      <c r="FN95" s="84" t="n">
        <f aca="false">FG95+FJ95+(1-$F95)*FM95</f>
        <v>3654.89319977745</v>
      </c>
      <c r="FO95" s="84" t="n">
        <f aca="false">FL95+$F95*FM95</f>
        <v>0</v>
      </c>
      <c r="FP95" s="84" t="n">
        <f aca="false">EZ95+FJ95+(1-$F95)*FM95</f>
        <v>0</v>
      </c>
      <c r="FQ95" s="84" t="n">
        <f aca="false">FA95+FO95</f>
        <v>0</v>
      </c>
      <c r="FR95" s="133" t="n">
        <f aca="false">FE95+$D95*Inputs!$K$13-$D95*$E95</f>
        <v>14349.5727991098</v>
      </c>
      <c r="FS95" s="84" t="n">
        <f aca="false">FR95*(1+$I95)</f>
        <v>16071.521535003</v>
      </c>
      <c r="FT95" s="133" t="n">
        <f aca="false">FS95*Inputs!$K$14</f>
        <v>3214.30430700059</v>
      </c>
      <c r="FU95" s="84" t="n">
        <f aca="false">FS95-FT95</f>
        <v>12857.2172280024</v>
      </c>
      <c r="FV95" s="133" t="n">
        <f aca="false">FH95+$D95*Inputs!$K$13</f>
        <v>2195.12769974416</v>
      </c>
      <c r="FW95" s="84" t="n">
        <f aca="false">MIN(FT95,FV95)</f>
        <v>2195.12769974416</v>
      </c>
      <c r="FX95" s="84" t="n">
        <f aca="false">FV95-FW95</f>
        <v>0</v>
      </c>
      <c r="FY95" s="84" t="n">
        <f aca="false">FK95+$G95*(FV95+FK95)</f>
        <v>10364.5476231777</v>
      </c>
      <c r="FZ95" s="84" t="n">
        <f aca="false">MIN(FT95-FW95,FY95)</f>
        <v>1019.17660725643</v>
      </c>
      <c r="GA95" s="84" t="n">
        <f aca="false">FY95-FZ95</f>
        <v>9345.37101592123</v>
      </c>
      <c r="GB95" s="84" t="n">
        <f aca="false">IF($H95=1,MIN(FT95-FW95-FZ95,MAX(0,$F95/(1-$F95)*(FP95+FZ95)-FQ95)),0)</f>
        <v>0</v>
      </c>
      <c r="GC95" s="84" t="n">
        <f aca="false">FT95-FW95-FZ95-GB95</f>
        <v>0</v>
      </c>
      <c r="GD95" s="84" t="n">
        <f aca="false">FW95+FZ95+(1-$F95)*GC95</f>
        <v>3214.30430700059</v>
      </c>
      <c r="GE95" s="84" t="n">
        <f aca="false">GB95+$F95*GC95</f>
        <v>0</v>
      </c>
      <c r="GF95" s="84" t="n">
        <f aca="false">FP95+FZ95+(1-$F95)*GC95</f>
        <v>1019.17660725643</v>
      </c>
      <c r="GG95" s="84" t="n">
        <f aca="false">FQ95+GE95</f>
        <v>0</v>
      </c>
      <c r="GH95" s="133" t="n">
        <f aca="false">FU95+$D95*Inputs!$L$13-$D95*$E95</f>
        <v>12587.2172280024</v>
      </c>
      <c r="GI95" s="84" t="n">
        <f aca="false">GH95*(1+$I95)</f>
        <v>14097.6832953627</v>
      </c>
      <c r="GJ95" s="133" t="n">
        <f aca="false">GI95*Inputs!$L$14</f>
        <v>14097.6832953627</v>
      </c>
      <c r="GK95" s="84" t="n">
        <f aca="false">GI95-GJ95</f>
        <v>0</v>
      </c>
      <c r="GL95" s="133" t="n">
        <f aca="false">FX95+$D95*Inputs!$L$13</f>
        <v>0</v>
      </c>
      <c r="GM95" s="84" t="n">
        <f aca="false">MIN(GJ95,GL95)</f>
        <v>0</v>
      </c>
      <c r="GN95" s="84" t="n">
        <f aca="false">GL95-GM95</f>
        <v>0</v>
      </c>
      <c r="GO95" s="84" t="n">
        <f aca="false">GA95+$G95*(GL95+GA95)</f>
        <v>10093.0006971949</v>
      </c>
      <c r="GP95" s="84" t="n">
        <f aca="false">MIN(GJ95-GM95,GO95)</f>
        <v>10093.0006971949</v>
      </c>
      <c r="GQ95" s="84" t="n">
        <f aca="false">GO95-GP95</f>
        <v>0</v>
      </c>
      <c r="GR95" s="84" t="n">
        <f aca="false">IF($H95=1,MIN(GJ95-GM95-GP95,MAX(0,$F95/(1-$F95)*(GF95+GP95)-GG95)),0)</f>
        <v>0</v>
      </c>
      <c r="GS95" s="84" t="n">
        <f aca="false">GJ95-GM95-GP95-GR95</f>
        <v>4004.68259816774</v>
      </c>
      <c r="GT95" s="84" t="n">
        <f aca="false">GM95+GP95+(1-$F95)*GS95</f>
        <v>13296.7467757291</v>
      </c>
      <c r="GU95" s="84" t="n">
        <f aca="false">GR95+$F95*GS95</f>
        <v>800.936519633547</v>
      </c>
      <c r="GV95" s="84" t="n">
        <f aca="false">GF95+GP95+(1-$F95)*GS95</f>
        <v>14315.9233829855</v>
      </c>
      <c r="GW95" s="84" t="n">
        <f aca="false">GG95+GU95</f>
        <v>800.936519633547</v>
      </c>
    </row>
    <row r="96" customFormat="false" ht="15" hidden="false" customHeight="false" outlineLevel="0" collapsed="false">
      <c r="A96" s="5" t="s">
        <v>639</v>
      </c>
      <c r="B96" s="5" t="s">
        <v>427</v>
      </c>
      <c r="C96" s="135" t="n">
        <v>13</v>
      </c>
      <c r="D96" s="47" t="n">
        <f aca="false">Inputs!$C$6</f>
        <v>20000</v>
      </c>
      <c r="E96" s="35" t="n">
        <f aca="false">Inputs!$C$19</f>
        <v>0.0135</v>
      </c>
      <c r="F96" s="36" t="n">
        <f aca="false">Inputs!$C$20</f>
        <v>0.2</v>
      </c>
      <c r="G96" s="36" t="n">
        <f aca="false">Inputs!$C$22</f>
        <v>0.08</v>
      </c>
      <c r="H96" s="27" t="n">
        <v>0</v>
      </c>
      <c r="I96" s="132" t="n">
        <f aca="false">Inputs!$C$38+$C96*Inputs!$C$39</f>
        <v>0.13</v>
      </c>
      <c r="J96" s="36" t="n">
        <f aca="false">Inputs!$C$9</f>
        <v>0.15</v>
      </c>
      <c r="K96" s="89" t="n">
        <f aca="false">IRR(W96:AG96,0.1)</f>
        <v>0.103816851029861</v>
      </c>
      <c r="L96" s="45" t="n">
        <f aca="false">W96+NPV($J96,X96:AG96)</f>
        <v>-3268.2540059383</v>
      </c>
      <c r="M96" s="45" t="n">
        <f aca="false">SUM(BF96,BV96,CL96,DB96,DR96,EH96,EX96,FN96,GD96,GT96)</f>
        <v>35954.021017626</v>
      </c>
      <c r="N96" s="43" t="n">
        <f aca="false">IF($D96*SUM(Inputs!$C$13:$L$13)=0,0,M96/($D96*SUM(Inputs!$C$13:$L$13)))</f>
        <v>1.7977010508813</v>
      </c>
      <c r="O96" s="42" t="n">
        <f aca="false">$D96*$E96*COLUMNS(Inputs!$C$13:$L$13)</f>
        <v>2700</v>
      </c>
      <c r="P96" s="45" t="n">
        <f aca="false">SUM(BG96,BW96,CM96,DC96,DS96,EI96,EY96,FO96,GE96,GU96)</f>
        <v>1271.48294329234</v>
      </c>
      <c r="Q96" s="42" t="n">
        <f aca="false">PV($J96,COLUMNS(Inputs!$C$13:$L$13),-$D96*$E96,0,1)</f>
        <v>1558.32765832774</v>
      </c>
      <c r="R96" s="45" t="n">
        <f aca="false">NPV($J96,BG96,BW96,CM96,DC96,DS96,EI96,EY96,FO96,GE96,GU96)</f>
        <v>314.291137676683</v>
      </c>
      <c r="S96" s="45" t="n">
        <f aca="false">Q96+R96</f>
        <v>1872.61879600442</v>
      </c>
      <c r="T96" s="32" t="n">
        <f aca="false">IF(S96=0,0,Q96/S96)</f>
        <v>0.832164913463818</v>
      </c>
      <c r="U96" s="45" t="n">
        <f aca="false">ROUND(ABS(GK96)+ABS(SUM(AV96,BL96,CB96,CR96,DH96,DX96,EN96,FD96,FT96,GJ96)-M96-P96)+ABS(S96-(AH96+NPV($J96,AI96:AR96))),6)</f>
        <v>0</v>
      </c>
      <c r="W96" s="133" t="n">
        <f aca="false">-$D96*Inputs!$C$13</f>
        <v>-4000</v>
      </c>
      <c r="X96" s="133" t="n">
        <f aca="false">BF96-$D96*Inputs!$D$13</f>
        <v>-4000</v>
      </c>
      <c r="Y96" s="133" t="n">
        <f aca="false">BV96-$D96*Inputs!$E$13</f>
        <v>-4000</v>
      </c>
      <c r="Z96" s="133" t="n">
        <f aca="false">CL96-$D96*Inputs!$F$13</f>
        <v>-4000</v>
      </c>
      <c r="AA96" s="133" t="n">
        <f aca="false">DB96-$D96*Inputs!$G$13</f>
        <v>-4000</v>
      </c>
      <c r="AB96" s="133" t="n">
        <f aca="false">DR96-$D96*Inputs!$H$13</f>
        <v>5462.7385188178</v>
      </c>
      <c r="AC96" s="133" t="n">
        <f aca="false">EH96-$D96*Inputs!$I$13</f>
        <v>4877.29562101129</v>
      </c>
      <c r="AD96" s="133" t="n">
        <f aca="false">EX96-$D96*Inputs!$J$13</f>
        <v>4348.05524139421</v>
      </c>
      <c r="AE96" s="133" t="n">
        <f aca="false">FN96-$D96*Inputs!$K$13</f>
        <v>3869.62193822036</v>
      </c>
      <c r="AF96" s="133" t="n">
        <f aca="false">GD96-$D96*Inputs!$L$13</f>
        <v>3437.11823215121</v>
      </c>
      <c r="AG96" s="84" t="n">
        <f aca="false">GT96</f>
        <v>13959.1914660311</v>
      </c>
      <c r="AH96" s="84" t="n">
        <f aca="false">$D96*$E96</f>
        <v>270</v>
      </c>
      <c r="AI96" s="84" t="n">
        <f aca="false">BG96+$D96*$E96</f>
        <v>270</v>
      </c>
      <c r="AJ96" s="84" t="n">
        <f aca="false">BW96+$D96*$E96</f>
        <v>270</v>
      </c>
      <c r="AK96" s="84" t="n">
        <f aca="false">CM96+$D96*$E96</f>
        <v>270</v>
      </c>
      <c r="AL96" s="84" t="n">
        <f aca="false">DC96+$D96*$E96</f>
        <v>270</v>
      </c>
      <c r="AM96" s="84" t="n">
        <f aca="false">DS96+$D96*$E96</f>
        <v>270</v>
      </c>
      <c r="AN96" s="84" t="n">
        <f aca="false">EI96+$D96*$E96</f>
        <v>270</v>
      </c>
      <c r="AO96" s="84" t="n">
        <f aca="false">EY96+$D96*$E96</f>
        <v>270</v>
      </c>
      <c r="AP96" s="84" t="n">
        <f aca="false">FO96+$D96*$E96</f>
        <v>270</v>
      </c>
      <c r="AQ96" s="84" t="n">
        <f aca="false">GE96+$D96*$E96</f>
        <v>270</v>
      </c>
      <c r="AR96" s="84" t="n">
        <f aca="false">GU96</f>
        <v>1271.48294329234</v>
      </c>
      <c r="AT96" s="133" t="n">
        <f aca="false">$D96*Inputs!$C$13-$D96*$E96</f>
        <v>3730</v>
      </c>
      <c r="AU96" s="84" t="n">
        <f aca="false">AT96*(1+$I96)</f>
        <v>4214.9</v>
      </c>
      <c r="AV96" s="133" t="n">
        <f aca="false">AU96*Inputs!$C$14</f>
        <v>0</v>
      </c>
      <c r="AW96" s="84" t="n">
        <f aca="false">AU96-AV96</f>
        <v>4214.9</v>
      </c>
      <c r="AX96" s="133" t="n">
        <f aca="false">$D96*Inputs!$C$13</f>
        <v>4000</v>
      </c>
      <c r="AY96" s="84" t="n">
        <f aca="false">MIN(AV96,AX96)</f>
        <v>0</v>
      </c>
      <c r="AZ96" s="84" t="n">
        <f aca="false">AX96-AY96</f>
        <v>4000</v>
      </c>
      <c r="BA96" s="84" t="n">
        <f aca="false">$G96*AX96</f>
        <v>320</v>
      </c>
      <c r="BB96" s="84" t="n">
        <f aca="false">MIN(AV96-AY96,BA96)</f>
        <v>0</v>
      </c>
      <c r="BC96" s="84" t="n">
        <f aca="false">BA96-BB96</f>
        <v>320</v>
      </c>
      <c r="BD96" s="84" t="n">
        <f aca="false">IF($H96=1,MIN(AV96-AY96-BB96,MAX(0,$F96/(1-$F96)*BB96)),0)</f>
        <v>0</v>
      </c>
      <c r="BE96" s="84" t="n">
        <f aca="false">AV96-AY96-BB96-BD96</f>
        <v>0</v>
      </c>
      <c r="BF96" s="84" t="n">
        <f aca="false">AY96+BB96+(1-$F96)*BE96</f>
        <v>0</v>
      </c>
      <c r="BG96" s="84" t="n">
        <f aca="false">BD96+$F96*BE96</f>
        <v>0</v>
      </c>
      <c r="BH96" s="84" t="n">
        <f aca="false">BB96+(1-$F96)*BE96</f>
        <v>0</v>
      </c>
      <c r="BI96" s="84" t="n">
        <f aca="false">BG96</f>
        <v>0</v>
      </c>
      <c r="BJ96" s="133" t="n">
        <f aca="false">AW96+$D96*Inputs!$D$13-$D96*$E96</f>
        <v>7944.9</v>
      </c>
      <c r="BK96" s="84" t="n">
        <f aca="false">BJ96*(1+$I96)</f>
        <v>8977.737</v>
      </c>
      <c r="BL96" s="133" t="n">
        <f aca="false">BK96*Inputs!$D$14</f>
        <v>0</v>
      </c>
      <c r="BM96" s="84" t="n">
        <f aca="false">BK96-BL96</f>
        <v>8977.737</v>
      </c>
      <c r="BN96" s="133" t="n">
        <f aca="false">AZ96+$D96*Inputs!$D$13</f>
        <v>8000</v>
      </c>
      <c r="BO96" s="84" t="n">
        <f aca="false">MIN(BL96,BN96)</f>
        <v>0</v>
      </c>
      <c r="BP96" s="84" t="n">
        <f aca="false">BN96-BO96</f>
        <v>8000</v>
      </c>
      <c r="BQ96" s="84" t="n">
        <f aca="false">BC96+$G96*(BN96+BC96)</f>
        <v>985.6</v>
      </c>
      <c r="BR96" s="84" t="n">
        <f aca="false">MIN(BL96-BO96,BQ96)</f>
        <v>0</v>
      </c>
      <c r="BS96" s="84" t="n">
        <f aca="false">BQ96-BR96</f>
        <v>985.6</v>
      </c>
      <c r="BT96" s="84" t="n">
        <f aca="false">IF($H96=1,MIN(BL96-BO96-BR96,MAX(0,$F96/(1-$F96)*(BH96+BR96)-BI96)),0)</f>
        <v>0</v>
      </c>
      <c r="BU96" s="84" t="n">
        <f aca="false">BL96-BO96-BR96-BT96</f>
        <v>0</v>
      </c>
      <c r="BV96" s="84" t="n">
        <f aca="false">BO96+BR96+(1-$F96)*BU96</f>
        <v>0</v>
      </c>
      <c r="BW96" s="84" t="n">
        <f aca="false">BT96+$F96*BU96</f>
        <v>0</v>
      </c>
      <c r="BX96" s="84" t="n">
        <f aca="false">BH96+BR96+(1-$F96)*BU96</f>
        <v>0</v>
      </c>
      <c r="BY96" s="84" t="n">
        <f aca="false">BI96+BW96</f>
        <v>0</v>
      </c>
      <c r="BZ96" s="133" t="n">
        <f aca="false">BM96+$D96*Inputs!$E$13-$D96*$E96</f>
        <v>12707.737</v>
      </c>
      <c r="CA96" s="84" t="n">
        <f aca="false">BZ96*(1+$I96)</f>
        <v>14359.74281</v>
      </c>
      <c r="CB96" s="133" t="n">
        <f aca="false">CA96*Inputs!$E$14</f>
        <v>0</v>
      </c>
      <c r="CC96" s="84" t="n">
        <f aca="false">CA96-CB96</f>
        <v>14359.74281</v>
      </c>
      <c r="CD96" s="133" t="n">
        <f aca="false">BP96+$D96*Inputs!$E$13</f>
        <v>12000</v>
      </c>
      <c r="CE96" s="84" t="n">
        <f aca="false">MIN(CB96,CD96)</f>
        <v>0</v>
      </c>
      <c r="CF96" s="84" t="n">
        <f aca="false">CD96-CE96</f>
        <v>12000</v>
      </c>
      <c r="CG96" s="84" t="n">
        <f aca="false">BS96+$G96*(CD96+BS96)</f>
        <v>2024.448</v>
      </c>
      <c r="CH96" s="84" t="n">
        <f aca="false">MIN(CB96-CE96,CG96)</f>
        <v>0</v>
      </c>
      <c r="CI96" s="84" t="n">
        <f aca="false">CG96-CH96</f>
        <v>2024.448</v>
      </c>
      <c r="CJ96" s="84" t="n">
        <f aca="false">IF($H96=1,MIN(CB96-CE96-CH96,MAX(0,$F96/(1-$F96)*(BX96+CH96)-BY96)),0)</f>
        <v>0</v>
      </c>
      <c r="CK96" s="84" t="n">
        <f aca="false">CB96-CE96-CH96-CJ96</f>
        <v>0</v>
      </c>
      <c r="CL96" s="84" t="n">
        <f aca="false">CE96+CH96+(1-$F96)*CK96</f>
        <v>0</v>
      </c>
      <c r="CM96" s="84" t="n">
        <f aca="false">CJ96+$F96*CK96</f>
        <v>0</v>
      </c>
      <c r="CN96" s="84" t="n">
        <f aca="false">BX96+CH96+(1-$F96)*CK96</f>
        <v>0</v>
      </c>
      <c r="CO96" s="84" t="n">
        <f aca="false">BY96+CM96</f>
        <v>0</v>
      </c>
      <c r="CP96" s="133" t="n">
        <f aca="false">CC96+$D96*Inputs!$F$13-$D96*$E96</f>
        <v>18089.74281</v>
      </c>
      <c r="CQ96" s="84" t="n">
        <f aca="false">CP96*(1+$I96)</f>
        <v>20441.4093753</v>
      </c>
      <c r="CR96" s="133" t="n">
        <f aca="false">CQ96*Inputs!$F$14</f>
        <v>0</v>
      </c>
      <c r="CS96" s="84" t="n">
        <f aca="false">CQ96-CR96</f>
        <v>20441.4093753</v>
      </c>
      <c r="CT96" s="133" t="n">
        <f aca="false">CF96+$D96*Inputs!$F$13</f>
        <v>16000</v>
      </c>
      <c r="CU96" s="84" t="n">
        <f aca="false">MIN(CR96,CT96)</f>
        <v>0</v>
      </c>
      <c r="CV96" s="84" t="n">
        <f aca="false">CT96-CU96</f>
        <v>16000</v>
      </c>
      <c r="CW96" s="84" t="n">
        <f aca="false">CI96+$G96*(CT96+CI96)</f>
        <v>3466.40384</v>
      </c>
      <c r="CX96" s="84" t="n">
        <f aca="false">MIN(CR96-CU96,CW96)</f>
        <v>0</v>
      </c>
      <c r="CY96" s="84" t="n">
        <f aca="false">CW96-CX96</f>
        <v>3466.40384</v>
      </c>
      <c r="CZ96" s="84" t="n">
        <f aca="false">IF($H96=1,MIN(CR96-CU96-CX96,MAX(0,$F96/(1-$F96)*(CN96+CX96)-CO96)),0)</f>
        <v>0</v>
      </c>
      <c r="DA96" s="84" t="n">
        <f aca="false">CR96-CU96-CX96-CZ96</f>
        <v>0</v>
      </c>
      <c r="DB96" s="84" t="n">
        <f aca="false">CU96+CX96+(1-$F96)*DA96</f>
        <v>0</v>
      </c>
      <c r="DC96" s="84" t="n">
        <f aca="false">CZ96+$F96*DA96</f>
        <v>0</v>
      </c>
      <c r="DD96" s="84" t="n">
        <f aca="false">CN96+CX96+(1-$F96)*DA96</f>
        <v>0</v>
      </c>
      <c r="DE96" s="84" t="n">
        <f aca="false">CO96+DC96</f>
        <v>0</v>
      </c>
      <c r="DF96" s="133" t="n">
        <f aca="false">CS96+$D96*Inputs!$G$13-$D96*$E96</f>
        <v>24171.4093753</v>
      </c>
      <c r="DG96" s="84" t="n">
        <f aca="false">DF96*(1+$I96)</f>
        <v>27313.692594089</v>
      </c>
      <c r="DH96" s="133" t="n">
        <f aca="false">DG96*Inputs!$G$14</f>
        <v>5462.7385188178</v>
      </c>
      <c r="DI96" s="84" t="n">
        <f aca="false">DG96-DH96</f>
        <v>21850.9540752712</v>
      </c>
      <c r="DJ96" s="133" t="n">
        <f aca="false">CV96+$D96*Inputs!$G$13</f>
        <v>20000</v>
      </c>
      <c r="DK96" s="84" t="n">
        <f aca="false">MIN(DH96,DJ96)</f>
        <v>5462.7385188178</v>
      </c>
      <c r="DL96" s="84" t="n">
        <f aca="false">DJ96-DK96</f>
        <v>14537.2614811822</v>
      </c>
      <c r="DM96" s="84" t="n">
        <f aca="false">CY96+$G96*(DJ96+CY96)</f>
        <v>5343.7161472</v>
      </c>
      <c r="DN96" s="84" t="n">
        <f aca="false">MIN(DH96-DK96,DM96)</f>
        <v>0</v>
      </c>
      <c r="DO96" s="84" t="n">
        <f aca="false">DM96-DN96</f>
        <v>5343.7161472</v>
      </c>
      <c r="DP96" s="84" t="n">
        <f aca="false">IF($H96=1,MIN(DH96-DK96-DN96,MAX(0,$F96/(1-$F96)*(DD96+DN96)-DE96)),0)</f>
        <v>0</v>
      </c>
      <c r="DQ96" s="84" t="n">
        <f aca="false">DH96-DK96-DN96-DP96</f>
        <v>0</v>
      </c>
      <c r="DR96" s="84" t="n">
        <f aca="false">DK96+DN96+(1-$F96)*DQ96</f>
        <v>5462.7385188178</v>
      </c>
      <c r="DS96" s="84" t="n">
        <f aca="false">DP96+$F96*DQ96</f>
        <v>0</v>
      </c>
      <c r="DT96" s="84" t="n">
        <f aca="false">DD96+DN96+(1-$F96)*DQ96</f>
        <v>0</v>
      </c>
      <c r="DU96" s="84" t="n">
        <f aca="false">DE96+DS96</f>
        <v>0</v>
      </c>
      <c r="DV96" s="133" t="n">
        <f aca="false">DI96+$D96*Inputs!$H$13-$D96*$E96</f>
        <v>21580.9540752712</v>
      </c>
      <c r="DW96" s="84" t="n">
        <f aca="false">DV96*(1+$I96)</f>
        <v>24386.4781050565</v>
      </c>
      <c r="DX96" s="133" t="n">
        <f aca="false">DW96*Inputs!$H$14</f>
        <v>4877.29562101129</v>
      </c>
      <c r="DY96" s="84" t="n">
        <f aca="false">DW96-DX96</f>
        <v>19509.1824840452</v>
      </c>
      <c r="DZ96" s="133" t="n">
        <f aca="false">DL96+$D96*Inputs!$H$13</f>
        <v>14537.2614811822</v>
      </c>
      <c r="EA96" s="84" t="n">
        <f aca="false">MIN(DX96,DZ96)</f>
        <v>4877.29562101129</v>
      </c>
      <c r="EB96" s="84" t="n">
        <f aca="false">DZ96-EA96</f>
        <v>9659.96586017091</v>
      </c>
      <c r="EC96" s="84" t="n">
        <f aca="false">DO96+$G96*(DZ96+DO96)</f>
        <v>6934.19435747058</v>
      </c>
      <c r="ED96" s="84" t="n">
        <f aca="false">MIN(DX96-EA96,EC96)</f>
        <v>0</v>
      </c>
      <c r="EE96" s="84" t="n">
        <f aca="false">EC96-ED96</f>
        <v>6934.19435747058</v>
      </c>
      <c r="EF96" s="84" t="n">
        <f aca="false">IF($H96=1,MIN(DX96-EA96-ED96,MAX(0,$F96/(1-$F96)*(DT96+ED96)-DU96)),0)</f>
        <v>0</v>
      </c>
      <c r="EG96" s="84" t="n">
        <f aca="false">DX96-EA96-ED96-EF96</f>
        <v>0</v>
      </c>
      <c r="EH96" s="84" t="n">
        <f aca="false">EA96+ED96+(1-$F96)*EG96</f>
        <v>4877.29562101129</v>
      </c>
      <c r="EI96" s="84" t="n">
        <f aca="false">EF96+$F96*EG96</f>
        <v>0</v>
      </c>
      <c r="EJ96" s="84" t="n">
        <f aca="false">DT96+ED96+(1-$F96)*EG96</f>
        <v>0</v>
      </c>
      <c r="EK96" s="84" t="n">
        <f aca="false">DU96+EI96</f>
        <v>0</v>
      </c>
      <c r="EL96" s="133" t="n">
        <f aca="false">DY96+$D96*Inputs!$I$13-$D96*$E96</f>
        <v>19239.1824840452</v>
      </c>
      <c r="EM96" s="84" t="n">
        <f aca="false">EL96*(1+$I96)</f>
        <v>21740.276206971</v>
      </c>
      <c r="EN96" s="133" t="n">
        <f aca="false">EM96*Inputs!$I$14</f>
        <v>4348.05524139421</v>
      </c>
      <c r="EO96" s="84" t="n">
        <f aca="false">EM96-EN96</f>
        <v>17392.2209655768</v>
      </c>
      <c r="EP96" s="133" t="n">
        <f aca="false">EB96+$D96*Inputs!$I$13</f>
        <v>9659.96586017091</v>
      </c>
      <c r="EQ96" s="84" t="n">
        <f aca="false">MIN(EN96,EP96)</f>
        <v>4348.05524139421</v>
      </c>
      <c r="ER96" s="84" t="n">
        <f aca="false">EP96-EQ96</f>
        <v>5311.91061877671</v>
      </c>
      <c r="ES96" s="84" t="n">
        <f aca="false">EE96+$G96*(EP96+EE96)</f>
        <v>8261.7271748819</v>
      </c>
      <c r="ET96" s="84" t="n">
        <f aca="false">MIN(EN96-EQ96,ES96)</f>
        <v>0</v>
      </c>
      <c r="EU96" s="84" t="n">
        <f aca="false">ES96-ET96</f>
        <v>8261.7271748819</v>
      </c>
      <c r="EV96" s="84" t="n">
        <f aca="false">IF($H96=1,MIN(EN96-EQ96-ET96,MAX(0,$F96/(1-$F96)*(EJ96+ET96)-EK96)),0)</f>
        <v>0</v>
      </c>
      <c r="EW96" s="84" t="n">
        <f aca="false">EN96-EQ96-ET96-EV96</f>
        <v>0</v>
      </c>
      <c r="EX96" s="84" t="n">
        <f aca="false">EQ96+ET96+(1-$F96)*EW96</f>
        <v>4348.05524139421</v>
      </c>
      <c r="EY96" s="84" t="n">
        <f aca="false">EV96+$F96*EW96</f>
        <v>0</v>
      </c>
      <c r="EZ96" s="84" t="n">
        <f aca="false">EJ96+ET96+(1-$F96)*EW96</f>
        <v>0</v>
      </c>
      <c r="FA96" s="84" t="n">
        <f aca="false">EK96+EY96</f>
        <v>0</v>
      </c>
      <c r="FB96" s="133" t="n">
        <f aca="false">EO96+$D96*Inputs!$J$13-$D96*$E96</f>
        <v>17122.2209655768</v>
      </c>
      <c r="FC96" s="84" t="n">
        <f aca="false">FB96*(1+$I96)</f>
        <v>19348.1096911018</v>
      </c>
      <c r="FD96" s="133" t="n">
        <f aca="false">FC96*Inputs!$J$14</f>
        <v>3869.62193822036</v>
      </c>
      <c r="FE96" s="84" t="n">
        <f aca="false">FC96-FD96</f>
        <v>15478.4877528814</v>
      </c>
      <c r="FF96" s="133" t="n">
        <f aca="false">ER96+$D96*Inputs!$J$13</f>
        <v>5311.91061877671</v>
      </c>
      <c r="FG96" s="84" t="n">
        <f aca="false">MIN(FD96,FF96)</f>
        <v>3869.62193822036</v>
      </c>
      <c r="FH96" s="84" t="n">
        <f aca="false">FF96-FG96</f>
        <v>1442.28868055635</v>
      </c>
      <c r="FI96" s="84" t="n">
        <f aca="false">EU96+$G96*(FF96+EU96)</f>
        <v>9347.61819837459</v>
      </c>
      <c r="FJ96" s="84" t="n">
        <f aca="false">MIN(FD96-FG96,FI96)</f>
        <v>0</v>
      </c>
      <c r="FK96" s="84" t="n">
        <f aca="false">FI96-FJ96</f>
        <v>9347.61819837459</v>
      </c>
      <c r="FL96" s="84" t="n">
        <f aca="false">IF($H96=1,MIN(FD96-FG96-FJ96,MAX(0,$F96/(1-$F96)*(EZ96+FJ96)-FA96)),0)</f>
        <v>0</v>
      </c>
      <c r="FM96" s="84" t="n">
        <f aca="false">FD96-FG96-FJ96-FL96</f>
        <v>0</v>
      </c>
      <c r="FN96" s="84" t="n">
        <f aca="false">FG96+FJ96+(1-$F96)*FM96</f>
        <v>3869.62193822036</v>
      </c>
      <c r="FO96" s="84" t="n">
        <f aca="false">FL96+$F96*FM96</f>
        <v>0</v>
      </c>
      <c r="FP96" s="84" t="n">
        <f aca="false">EZ96+FJ96+(1-$F96)*FM96</f>
        <v>0</v>
      </c>
      <c r="FQ96" s="84" t="n">
        <f aca="false">FA96+FO96</f>
        <v>0</v>
      </c>
      <c r="FR96" s="133" t="n">
        <f aca="false">FE96+$D96*Inputs!$K$13-$D96*$E96</f>
        <v>15208.4877528814</v>
      </c>
      <c r="FS96" s="84" t="n">
        <f aca="false">FR96*(1+$I96)</f>
        <v>17185.591160756</v>
      </c>
      <c r="FT96" s="133" t="n">
        <f aca="false">FS96*Inputs!$K$14</f>
        <v>3437.11823215121</v>
      </c>
      <c r="FU96" s="84" t="n">
        <f aca="false">FS96-FT96</f>
        <v>13748.4729286048</v>
      </c>
      <c r="FV96" s="133" t="n">
        <f aca="false">FH96+$D96*Inputs!$K$13</f>
        <v>1442.28868055635</v>
      </c>
      <c r="FW96" s="84" t="n">
        <f aca="false">MIN(FT96,FV96)</f>
        <v>1442.28868055635</v>
      </c>
      <c r="FX96" s="84" t="n">
        <f aca="false">FV96-FW96</f>
        <v>0</v>
      </c>
      <c r="FY96" s="84" t="n">
        <f aca="false">FK96+$G96*(FV96+FK96)</f>
        <v>10210.8107486891</v>
      </c>
      <c r="FZ96" s="84" t="n">
        <f aca="false">MIN(FT96-FW96,FY96)</f>
        <v>1994.82955159486</v>
      </c>
      <c r="GA96" s="84" t="n">
        <f aca="false">FY96-FZ96</f>
        <v>8215.9811970942</v>
      </c>
      <c r="GB96" s="84" t="n">
        <f aca="false">IF($H96=1,MIN(FT96-FW96-FZ96,MAX(0,$F96/(1-$F96)*(FP96+FZ96)-FQ96)),0)</f>
        <v>0</v>
      </c>
      <c r="GC96" s="84" t="n">
        <f aca="false">FT96-FW96-FZ96-GB96</f>
        <v>0</v>
      </c>
      <c r="GD96" s="84" t="n">
        <f aca="false">FW96+FZ96+(1-$F96)*GC96</f>
        <v>3437.11823215121</v>
      </c>
      <c r="GE96" s="84" t="n">
        <f aca="false">GB96+$F96*GC96</f>
        <v>0</v>
      </c>
      <c r="GF96" s="84" t="n">
        <f aca="false">FP96+FZ96+(1-$F96)*GC96</f>
        <v>1994.82955159486</v>
      </c>
      <c r="GG96" s="84" t="n">
        <f aca="false">FQ96+GE96</f>
        <v>0</v>
      </c>
      <c r="GH96" s="133" t="n">
        <f aca="false">FU96+$D96*Inputs!$L$13-$D96*$E96</f>
        <v>13478.4729286048</v>
      </c>
      <c r="GI96" s="84" t="n">
        <f aca="false">GH96*(1+$I96)</f>
        <v>15230.6744093235</v>
      </c>
      <c r="GJ96" s="133" t="n">
        <f aca="false">GI96*Inputs!$L$14</f>
        <v>15230.6744093235</v>
      </c>
      <c r="GK96" s="84" t="n">
        <f aca="false">GI96-GJ96</f>
        <v>0</v>
      </c>
      <c r="GL96" s="133" t="n">
        <f aca="false">FX96+$D96*Inputs!$L$13</f>
        <v>0</v>
      </c>
      <c r="GM96" s="84" t="n">
        <f aca="false">MIN(GJ96,GL96)</f>
        <v>0</v>
      </c>
      <c r="GN96" s="84" t="n">
        <f aca="false">GL96-GM96</f>
        <v>0</v>
      </c>
      <c r="GO96" s="84" t="n">
        <f aca="false">GA96+$G96*(GL96+GA96)</f>
        <v>8873.25969286174</v>
      </c>
      <c r="GP96" s="84" t="n">
        <f aca="false">MIN(GJ96-GM96,GO96)</f>
        <v>8873.25969286174</v>
      </c>
      <c r="GQ96" s="84" t="n">
        <f aca="false">GO96-GP96</f>
        <v>0</v>
      </c>
      <c r="GR96" s="84" t="n">
        <f aca="false">IF($H96=1,MIN(GJ96-GM96-GP96,MAX(0,$F96/(1-$F96)*(GF96+GP96)-GG96)),0)</f>
        <v>0</v>
      </c>
      <c r="GS96" s="84" t="n">
        <f aca="false">GJ96-GM96-GP96-GR96</f>
        <v>6357.41471646172</v>
      </c>
      <c r="GT96" s="84" t="n">
        <f aca="false">GM96+GP96+(1-$F96)*GS96</f>
        <v>13959.1914660311</v>
      </c>
      <c r="GU96" s="84" t="n">
        <f aca="false">GR96+$F96*GS96</f>
        <v>1271.48294329234</v>
      </c>
      <c r="GV96" s="84" t="n">
        <f aca="false">GF96+GP96+(1-$F96)*GS96</f>
        <v>15954.021017626</v>
      </c>
      <c r="GW96" s="84" t="n">
        <f aca="false">GG96+GU96</f>
        <v>1271.48294329234</v>
      </c>
    </row>
    <row r="97" customFormat="false" ht="15" hidden="false" customHeight="false" outlineLevel="0" collapsed="false">
      <c r="A97" s="5" t="s">
        <v>639</v>
      </c>
      <c r="B97" s="5" t="s">
        <v>427</v>
      </c>
      <c r="C97" s="135" t="n">
        <v>14</v>
      </c>
      <c r="D97" s="47" t="n">
        <f aca="false">Inputs!$C$6</f>
        <v>20000</v>
      </c>
      <c r="E97" s="35" t="n">
        <f aca="false">Inputs!$C$19</f>
        <v>0.0135</v>
      </c>
      <c r="F97" s="36" t="n">
        <f aca="false">Inputs!$C$20</f>
        <v>0.2</v>
      </c>
      <c r="G97" s="36" t="n">
        <f aca="false">Inputs!$C$22</f>
        <v>0.08</v>
      </c>
      <c r="H97" s="27" t="n">
        <v>0</v>
      </c>
      <c r="I97" s="132" t="n">
        <f aca="false">Inputs!$C$38+$C97*Inputs!$C$39</f>
        <v>0.14</v>
      </c>
      <c r="J97" s="36" t="n">
        <f aca="false">Inputs!$C$9</f>
        <v>0.15</v>
      </c>
      <c r="K97" s="89" t="n">
        <f aca="false">IRR(W97:AG97,0.1)</f>
        <v>0.112424240714073</v>
      </c>
      <c r="L97" s="45" t="n">
        <f aca="false">W97+NPV($J97,X97:AG97)</f>
        <v>-2711.45184962085</v>
      </c>
      <c r="M97" s="45" t="n">
        <f aca="false">SUM(BF97,BV97,CL97,DB97,DR97,EH97,EX97,FN97,GD97,GT97)</f>
        <v>37687.7242803903</v>
      </c>
      <c r="N97" s="43" t="n">
        <f aca="false">IF($D97*SUM(Inputs!$C$13:$L$13)=0,0,M97/($D97*SUM(Inputs!$C$13:$L$13)))</f>
        <v>1.88438621401952</v>
      </c>
      <c r="O97" s="42" t="n">
        <f aca="false">$D97*$E97*COLUMNS(Inputs!$C$13:$L$13)</f>
        <v>2700</v>
      </c>
      <c r="P97" s="45" t="n">
        <f aca="false">SUM(BG97,BW97,CM97,DC97,DS97,EI97,EY97,FO97,GE97,GU97)</f>
        <v>1768.21428153618</v>
      </c>
      <c r="Q97" s="42" t="n">
        <f aca="false">PV($J97,COLUMNS(Inputs!$C$13:$L$13),-$D97*$E97,0,1)</f>
        <v>1558.32765832774</v>
      </c>
      <c r="R97" s="45" t="n">
        <f aca="false">NPV($J97,BG97,BW97,CM97,DC97,DS97,EI97,EY97,FO97,GE97,GU97)</f>
        <v>437.075527542006</v>
      </c>
      <c r="S97" s="45" t="n">
        <f aca="false">Q97+R97</f>
        <v>1995.40318586974</v>
      </c>
      <c r="T97" s="32" t="n">
        <f aca="false">IF(S97=0,0,Q97/S97)</f>
        <v>0.780958790365218</v>
      </c>
      <c r="U97" s="45" t="n">
        <f aca="false">ROUND(ABS(GK97)+ABS(SUM(AV97,BL97,CB97,CR97,DH97,DX97,EN97,FD97,FT97,GJ97)-M97-P97)+ABS(S97-(AH97+NPV($J97,AI97:AR97))),6)</f>
        <v>0</v>
      </c>
      <c r="W97" s="133" t="n">
        <f aca="false">-$D97*Inputs!$C$13</f>
        <v>-4000</v>
      </c>
      <c r="X97" s="133" t="n">
        <f aca="false">BF97-$D97*Inputs!$D$13</f>
        <v>-4000</v>
      </c>
      <c r="Y97" s="133" t="n">
        <f aca="false">BV97-$D97*Inputs!$E$13</f>
        <v>-4000</v>
      </c>
      <c r="Z97" s="133" t="n">
        <f aca="false">CL97-$D97*Inputs!$F$13</f>
        <v>-4000</v>
      </c>
      <c r="AA97" s="133" t="n">
        <f aca="false">DB97-$D97*Inputs!$G$13</f>
        <v>-4000</v>
      </c>
      <c r="AB97" s="133" t="n">
        <f aca="false">DR97-$D97*Inputs!$H$13</f>
        <v>5621.4969818304</v>
      </c>
      <c r="AC97" s="133" t="n">
        <f aca="false">EH97-$D97*Inputs!$I$13</f>
        <v>5065.24524742933</v>
      </c>
      <c r="AD97" s="133" t="n">
        <f aca="false">EX97-$D97*Inputs!$J$13</f>
        <v>4557.94366565555</v>
      </c>
      <c r="AE97" s="133" t="n">
        <f aca="false">FN97-$D97*Inputs!$K$13</f>
        <v>4095.28462307786</v>
      </c>
      <c r="AF97" s="133" t="n">
        <f aca="false">GD97-$D97*Inputs!$L$13</f>
        <v>3673.33957624701</v>
      </c>
      <c r="AG97" s="84" t="n">
        <f aca="false">GT97</f>
        <v>14674.4141861502</v>
      </c>
      <c r="AH97" s="84" t="n">
        <f aca="false">$D97*$E97</f>
        <v>270</v>
      </c>
      <c r="AI97" s="84" t="n">
        <f aca="false">BG97+$D97*$E97</f>
        <v>270</v>
      </c>
      <c r="AJ97" s="84" t="n">
        <f aca="false">BW97+$D97*$E97</f>
        <v>270</v>
      </c>
      <c r="AK97" s="84" t="n">
        <f aca="false">CM97+$D97*$E97</f>
        <v>270</v>
      </c>
      <c r="AL97" s="84" t="n">
        <f aca="false">DC97+$D97*$E97</f>
        <v>270</v>
      </c>
      <c r="AM97" s="84" t="n">
        <f aca="false">DS97+$D97*$E97</f>
        <v>270</v>
      </c>
      <c r="AN97" s="84" t="n">
        <f aca="false">EI97+$D97*$E97</f>
        <v>270</v>
      </c>
      <c r="AO97" s="84" t="n">
        <f aca="false">EY97+$D97*$E97</f>
        <v>270</v>
      </c>
      <c r="AP97" s="84" t="n">
        <f aca="false">FO97+$D97*$E97</f>
        <v>270</v>
      </c>
      <c r="AQ97" s="84" t="n">
        <f aca="false">GE97+$D97*$E97</f>
        <v>270</v>
      </c>
      <c r="AR97" s="84" t="n">
        <f aca="false">GU97</f>
        <v>1768.21428153618</v>
      </c>
      <c r="AT97" s="133" t="n">
        <f aca="false">$D97*Inputs!$C$13-$D97*$E97</f>
        <v>3730</v>
      </c>
      <c r="AU97" s="84" t="n">
        <f aca="false">AT97*(1+$I97)</f>
        <v>4252.2</v>
      </c>
      <c r="AV97" s="133" t="n">
        <f aca="false">AU97*Inputs!$C$14</f>
        <v>0</v>
      </c>
      <c r="AW97" s="84" t="n">
        <f aca="false">AU97-AV97</f>
        <v>4252.2</v>
      </c>
      <c r="AX97" s="133" t="n">
        <f aca="false">$D97*Inputs!$C$13</f>
        <v>4000</v>
      </c>
      <c r="AY97" s="84" t="n">
        <f aca="false">MIN(AV97,AX97)</f>
        <v>0</v>
      </c>
      <c r="AZ97" s="84" t="n">
        <f aca="false">AX97-AY97</f>
        <v>4000</v>
      </c>
      <c r="BA97" s="84" t="n">
        <f aca="false">$G97*AX97</f>
        <v>320</v>
      </c>
      <c r="BB97" s="84" t="n">
        <f aca="false">MIN(AV97-AY97,BA97)</f>
        <v>0</v>
      </c>
      <c r="BC97" s="84" t="n">
        <f aca="false">BA97-BB97</f>
        <v>320</v>
      </c>
      <c r="BD97" s="84" t="n">
        <f aca="false">IF($H97=1,MIN(AV97-AY97-BB97,MAX(0,$F97/(1-$F97)*BB97)),0)</f>
        <v>0</v>
      </c>
      <c r="BE97" s="84" t="n">
        <f aca="false">AV97-AY97-BB97-BD97</f>
        <v>0</v>
      </c>
      <c r="BF97" s="84" t="n">
        <f aca="false">AY97+BB97+(1-$F97)*BE97</f>
        <v>0</v>
      </c>
      <c r="BG97" s="84" t="n">
        <f aca="false">BD97+$F97*BE97</f>
        <v>0</v>
      </c>
      <c r="BH97" s="84" t="n">
        <f aca="false">BB97+(1-$F97)*BE97</f>
        <v>0</v>
      </c>
      <c r="BI97" s="84" t="n">
        <f aca="false">BG97</f>
        <v>0</v>
      </c>
      <c r="BJ97" s="133" t="n">
        <f aca="false">AW97+$D97*Inputs!$D$13-$D97*$E97</f>
        <v>7982.2</v>
      </c>
      <c r="BK97" s="84" t="n">
        <f aca="false">BJ97*(1+$I97)</f>
        <v>9099.708</v>
      </c>
      <c r="BL97" s="133" t="n">
        <f aca="false">BK97*Inputs!$D$14</f>
        <v>0</v>
      </c>
      <c r="BM97" s="84" t="n">
        <f aca="false">BK97-BL97</f>
        <v>9099.708</v>
      </c>
      <c r="BN97" s="133" t="n">
        <f aca="false">AZ97+$D97*Inputs!$D$13</f>
        <v>8000</v>
      </c>
      <c r="BO97" s="84" t="n">
        <f aca="false">MIN(BL97,BN97)</f>
        <v>0</v>
      </c>
      <c r="BP97" s="84" t="n">
        <f aca="false">BN97-BO97</f>
        <v>8000</v>
      </c>
      <c r="BQ97" s="84" t="n">
        <f aca="false">BC97+$G97*(BN97+BC97)</f>
        <v>985.6</v>
      </c>
      <c r="BR97" s="84" t="n">
        <f aca="false">MIN(BL97-BO97,BQ97)</f>
        <v>0</v>
      </c>
      <c r="BS97" s="84" t="n">
        <f aca="false">BQ97-BR97</f>
        <v>985.6</v>
      </c>
      <c r="BT97" s="84" t="n">
        <f aca="false">IF($H97=1,MIN(BL97-BO97-BR97,MAX(0,$F97/(1-$F97)*(BH97+BR97)-BI97)),0)</f>
        <v>0</v>
      </c>
      <c r="BU97" s="84" t="n">
        <f aca="false">BL97-BO97-BR97-BT97</f>
        <v>0</v>
      </c>
      <c r="BV97" s="84" t="n">
        <f aca="false">BO97+BR97+(1-$F97)*BU97</f>
        <v>0</v>
      </c>
      <c r="BW97" s="84" t="n">
        <f aca="false">BT97+$F97*BU97</f>
        <v>0</v>
      </c>
      <c r="BX97" s="84" t="n">
        <f aca="false">BH97+BR97+(1-$F97)*BU97</f>
        <v>0</v>
      </c>
      <c r="BY97" s="84" t="n">
        <f aca="false">BI97+BW97</f>
        <v>0</v>
      </c>
      <c r="BZ97" s="133" t="n">
        <f aca="false">BM97+$D97*Inputs!$E$13-$D97*$E97</f>
        <v>12829.708</v>
      </c>
      <c r="CA97" s="84" t="n">
        <f aca="false">BZ97*(1+$I97)</f>
        <v>14625.86712</v>
      </c>
      <c r="CB97" s="133" t="n">
        <f aca="false">CA97*Inputs!$E$14</f>
        <v>0</v>
      </c>
      <c r="CC97" s="84" t="n">
        <f aca="false">CA97-CB97</f>
        <v>14625.86712</v>
      </c>
      <c r="CD97" s="133" t="n">
        <f aca="false">BP97+$D97*Inputs!$E$13</f>
        <v>12000</v>
      </c>
      <c r="CE97" s="84" t="n">
        <f aca="false">MIN(CB97,CD97)</f>
        <v>0</v>
      </c>
      <c r="CF97" s="84" t="n">
        <f aca="false">CD97-CE97</f>
        <v>12000</v>
      </c>
      <c r="CG97" s="84" t="n">
        <f aca="false">BS97+$G97*(CD97+BS97)</f>
        <v>2024.448</v>
      </c>
      <c r="CH97" s="84" t="n">
        <f aca="false">MIN(CB97-CE97,CG97)</f>
        <v>0</v>
      </c>
      <c r="CI97" s="84" t="n">
        <f aca="false">CG97-CH97</f>
        <v>2024.448</v>
      </c>
      <c r="CJ97" s="84" t="n">
        <f aca="false">IF($H97=1,MIN(CB97-CE97-CH97,MAX(0,$F97/(1-$F97)*(BX97+CH97)-BY97)),0)</f>
        <v>0</v>
      </c>
      <c r="CK97" s="84" t="n">
        <f aca="false">CB97-CE97-CH97-CJ97</f>
        <v>0</v>
      </c>
      <c r="CL97" s="84" t="n">
        <f aca="false">CE97+CH97+(1-$F97)*CK97</f>
        <v>0</v>
      </c>
      <c r="CM97" s="84" t="n">
        <f aca="false">CJ97+$F97*CK97</f>
        <v>0</v>
      </c>
      <c r="CN97" s="84" t="n">
        <f aca="false">BX97+CH97+(1-$F97)*CK97</f>
        <v>0</v>
      </c>
      <c r="CO97" s="84" t="n">
        <f aca="false">BY97+CM97</f>
        <v>0</v>
      </c>
      <c r="CP97" s="133" t="n">
        <f aca="false">CC97+$D97*Inputs!$F$13-$D97*$E97</f>
        <v>18355.86712</v>
      </c>
      <c r="CQ97" s="84" t="n">
        <f aca="false">CP97*(1+$I97)</f>
        <v>20925.6885168</v>
      </c>
      <c r="CR97" s="133" t="n">
        <f aca="false">CQ97*Inputs!$F$14</f>
        <v>0</v>
      </c>
      <c r="CS97" s="84" t="n">
        <f aca="false">CQ97-CR97</f>
        <v>20925.6885168</v>
      </c>
      <c r="CT97" s="133" t="n">
        <f aca="false">CF97+$D97*Inputs!$F$13</f>
        <v>16000</v>
      </c>
      <c r="CU97" s="84" t="n">
        <f aca="false">MIN(CR97,CT97)</f>
        <v>0</v>
      </c>
      <c r="CV97" s="84" t="n">
        <f aca="false">CT97-CU97</f>
        <v>16000</v>
      </c>
      <c r="CW97" s="84" t="n">
        <f aca="false">CI97+$G97*(CT97+CI97)</f>
        <v>3466.40384</v>
      </c>
      <c r="CX97" s="84" t="n">
        <f aca="false">MIN(CR97-CU97,CW97)</f>
        <v>0</v>
      </c>
      <c r="CY97" s="84" t="n">
        <f aca="false">CW97-CX97</f>
        <v>3466.40384</v>
      </c>
      <c r="CZ97" s="84" t="n">
        <f aca="false">IF($H97=1,MIN(CR97-CU97-CX97,MAX(0,$F97/(1-$F97)*(CN97+CX97)-CO97)),0)</f>
        <v>0</v>
      </c>
      <c r="DA97" s="84" t="n">
        <f aca="false">CR97-CU97-CX97-CZ97</f>
        <v>0</v>
      </c>
      <c r="DB97" s="84" t="n">
        <f aca="false">CU97+CX97+(1-$F97)*DA97</f>
        <v>0</v>
      </c>
      <c r="DC97" s="84" t="n">
        <f aca="false">CZ97+$F97*DA97</f>
        <v>0</v>
      </c>
      <c r="DD97" s="84" t="n">
        <f aca="false">CN97+CX97+(1-$F97)*DA97</f>
        <v>0</v>
      </c>
      <c r="DE97" s="84" t="n">
        <f aca="false">CO97+DC97</f>
        <v>0</v>
      </c>
      <c r="DF97" s="133" t="n">
        <f aca="false">CS97+$D97*Inputs!$G$13-$D97*$E97</f>
        <v>24655.6885168</v>
      </c>
      <c r="DG97" s="84" t="n">
        <f aca="false">DF97*(1+$I97)</f>
        <v>28107.484909152</v>
      </c>
      <c r="DH97" s="133" t="n">
        <f aca="false">DG97*Inputs!$G$14</f>
        <v>5621.4969818304</v>
      </c>
      <c r="DI97" s="84" t="n">
        <f aca="false">DG97-DH97</f>
        <v>22485.9879273216</v>
      </c>
      <c r="DJ97" s="133" t="n">
        <f aca="false">CV97+$D97*Inputs!$G$13</f>
        <v>20000</v>
      </c>
      <c r="DK97" s="84" t="n">
        <f aca="false">MIN(DH97,DJ97)</f>
        <v>5621.4969818304</v>
      </c>
      <c r="DL97" s="84" t="n">
        <f aca="false">DJ97-DK97</f>
        <v>14378.5030181696</v>
      </c>
      <c r="DM97" s="84" t="n">
        <f aca="false">CY97+$G97*(DJ97+CY97)</f>
        <v>5343.7161472</v>
      </c>
      <c r="DN97" s="84" t="n">
        <f aca="false">MIN(DH97-DK97,DM97)</f>
        <v>0</v>
      </c>
      <c r="DO97" s="84" t="n">
        <f aca="false">DM97-DN97</f>
        <v>5343.7161472</v>
      </c>
      <c r="DP97" s="84" t="n">
        <f aca="false">IF($H97=1,MIN(DH97-DK97-DN97,MAX(0,$F97/(1-$F97)*(DD97+DN97)-DE97)),0)</f>
        <v>0</v>
      </c>
      <c r="DQ97" s="84" t="n">
        <f aca="false">DH97-DK97-DN97-DP97</f>
        <v>0</v>
      </c>
      <c r="DR97" s="84" t="n">
        <f aca="false">DK97+DN97+(1-$F97)*DQ97</f>
        <v>5621.4969818304</v>
      </c>
      <c r="DS97" s="84" t="n">
        <f aca="false">DP97+$F97*DQ97</f>
        <v>0</v>
      </c>
      <c r="DT97" s="84" t="n">
        <f aca="false">DD97+DN97+(1-$F97)*DQ97</f>
        <v>0</v>
      </c>
      <c r="DU97" s="84" t="n">
        <f aca="false">DE97+DS97</f>
        <v>0</v>
      </c>
      <c r="DV97" s="133" t="n">
        <f aca="false">DI97+$D97*Inputs!$H$13-$D97*$E97</f>
        <v>22215.9879273216</v>
      </c>
      <c r="DW97" s="84" t="n">
        <f aca="false">DV97*(1+$I97)</f>
        <v>25326.2262371466</v>
      </c>
      <c r="DX97" s="133" t="n">
        <f aca="false">DW97*Inputs!$H$14</f>
        <v>5065.24524742933</v>
      </c>
      <c r="DY97" s="84" t="n">
        <f aca="false">DW97-DX97</f>
        <v>20260.9809897173</v>
      </c>
      <c r="DZ97" s="133" t="n">
        <f aca="false">DL97+$D97*Inputs!$H$13</f>
        <v>14378.5030181696</v>
      </c>
      <c r="EA97" s="84" t="n">
        <f aca="false">MIN(DX97,DZ97)</f>
        <v>5065.24524742933</v>
      </c>
      <c r="EB97" s="84" t="n">
        <f aca="false">DZ97-EA97</f>
        <v>9313.25777074027</v>
      </c>
      <c r="EC97" s="84" t="n">
        <f aca="false">DO97+$G97*(DZ97+DO97)</f>
        <v>6921.49368042957</v>
      </c>
      <c r="ED97" s="84" t="n">
        <f aca="false">MIN(DX97-EA97,EC97)</f>
        <v>0</v>
      </c>
      <c r="EE97" s="84" t="n">
        <f aca="false">EC97-ED97</f>
        <v>6921.49368042957</v>
      </c>
      <c r="EF97" s="84" t="n">
        <f aca="false">IF($H97=1,MIN(DX97-EA97-ED97,MAX(0,$F97/(1-$F97)*(DT97+ED97)-DU97)),0)</f>
        <v>0</v>
      </c>
      <c r="EG97" s="84" t="n">
        <f aca="false">DX97-EA97-ED97-EF97</f>
        <v>0</v>
      </c>
      <c r="EH97" s="84" t="n">
        <f aca="false">EA97+ED97+(1-$F97)*EG97</f>
        <v>5065.24524742933</v>
      </c>
      <c r="EI97" s="84" t="n">
        <f aca="false">EF97+$F97*EG97</f>
        <v>0</v>
      </c>
      <c r="EJ97" s="84" t="n">
        <f aca="false">DT97+ED97+(1-$F97)*EG97</f>
        <v>0</v>
      </c>
      <c r="EK97" s="84" t="n">
        <f aca="false">DU97+EI97</f>
        <v>0</v>
      </c>
      <c r="EL97" s="133" t="n">
        <f aca="false">DY97+$D97*Inputs!$I$13-$D97*$E97</f>
        <v>19990.9809897173</v>
      </c>
      <c r="EM97" s="84" t="n">
        <f aca="false">EL97*(1+$I97)</f>
        <v>22789.7183282777</v>
      </c>
      <c r="EN97" s="133" t="n">
        <f aca="false">EM97*Inputs!$I$14</f>
        <v>4557.94366565555</v>
      </c>
      <c r="EO97" s="84" t="n">
        <f aca="false">EM97-EN97</f>
        <v>18231.7746626222</v>
      </c>
      <c r="EP97" s="133" t="n">
        <f aca="false">EB97+$D97*Inputs!$I$13</f>
        <v>9313.25777074027</v>
      </c>
      <c r="EQ97" s="84" t="n">
        <f aca="false">MIN(EN97,EP97)</f>
        <v>4557.94366565555</v>
      </c>
      <c r="ER97" s="84" t="n">
        <f aca="false">EP97-EQ97</f>
        <v>4755.31410508472</v>
      </c>
      <c r="ES97" s="84" t="n">
        <f aca="false">EE97+$G97*(EP97+EE97)</f>
        <v>8220.27379652316</v>
      </c>
      <c r="ET97" s="84" t="n">
        <f aca="false">MIN(EN97-EQ97,ES97)</f>
        <v>0</v>
      </c>
      <c r="EU97" s="84" t="n">
        <f aca="false">ES97-ET97</f>
        <v>8220.27379652316</v>
      </c>
      <c r="EV97" s="84" t="n">
        <f aca="false">IF($H97=1,MIN(EN97-EQ97-ET97,MAX(0,$F97/(1-$F97)*(EJ97+ET97)-EK97)),0)</f>
        <v>0</v>
      </c>
      <c r="EW97" s="84" t="n">
        <f aca="false">EN97-EQ97-ET97-EV97</f>
        <v>0</v>
      </c>
      <c r="EX97" s="84" t="n">
        <f aca="false">EQ97+ET97+(1-$F97)*EW97</f>
        <v>4557.94366565555</v>
      </c>
      <c r="EY97" s="84" t="n">
        <f aca="false">EV97+$F97*EW97</f>
        <v>0</v>
      </c>
      <c r="EZ97" s="84" t="n">
        <f aca="false">EJ97+ET97+(1-$F97)*EW97</f>
        <v>0</v>
      </c>
      <c r="FA97" s="84" t="n">
        <f aca="false">EK97+EY97</f>
        <v>0</v>
      </c>
      <c r="FB97" s="133" t="n">
        <f aca="false">EO97+$D97*Inputs!$J$13-$D97*$E97</f>
        <v>17961.7746626222</v>
      </c>
      <c r="FC97" s="84" t="n">
        <f aca="false">FB97*(1+$I97)</f>
        <v>20476.4231153893</v>
      </c>
      <c r="FD97" s="133" t="n">
        <f aca="false">FC97*Inputs!$J$14</f>
        <v>4095.28462307786</v>
      </c>
      <c r="FE97" s="84" t="n">
        <f aca="false">FC97-FD97</f>
        <v>16381.1384923114</v>
      </c>
      <c r="FF97" s="133" t="n">
        <f aca="false">ER97+$D97*Inputs!$J$13</f>
        <v>4755.31410508472</v>
      </c>
      <c r="FG97" s="84" t="n">
        <f aca="false">MIN(FD97,FF97)</f>
        <v>4095.28462307786</v>
      </c>
      <c r="FH97" s="84" t="n">
        <f aca="false">FF97-FG97</f>
        <v>660.029482006864</v>
      </c>
      <c r="FI97" s="84" t="n">
        <f aca="false">EU97+$G97*(FF97+EU97)</f>
        <v>9258.32082865179</v>
      </c>
      <c r="FJ97" s="84" t="n">
        <f aca="false">MIN(FD97-FG97,FI97)</f>
        <v>0</v>
      </c>
      <c r="FK97" s="84" t="n">
        <f aca="false">FI97-FJ97</f>
        <v>9258.32082865179</v>
      </c>
      <c r="FL97" s="84" t="n">
        <f aca="false">IF($H97=1,MIN(FD97-FG97-FJ97,MAX(0,$F97/(1-$F97)*(EZ97+FJ97)-FA97)),0)</f>
        <v>0</v>
      </c>
      <c r="FM97" s="84" t="n">
        <f aca="false">FD97-FG97-FJ97-FL97</f>
        <v>0</v>
      </c>
      <c r="FN97" s="84" t="n">
        <f aca="false">FG97+FJ97+(1-$F97)*FM97</f>
        <v>4095.28462307786</v>
      </c>
      <c r="FO97" s="84" t="n">
        <f aca="false">FL97+$F97*FM97</f>
        <v>0</v>
      </c>
      <c r="FP97" s="84" t="n">
        <f aca="false">EZ97+FJ97+(1-$F97)*FM97</f>
        <v>0</v>
      </c>
      <c r="FQ97" s="84" t="n">
        <f aca="false">FA97+FO97</f>
        <v>0</v>
      </c>
      <c r="FR97" s="133" t="n">
        <f aca="false">FE97+$D97*Inputs!$K$13-$D97*$E97</f>
        <v>16111.1384923114</v>
      </c>
      <c r="FS97" s="84" t="n">
        <f aca="false">FR97*(1+$I97)</f>
        <v>18366.697881235</v>
      </c>
      <c r="FT97" s="133" t="n">
        <f aca="false">FS97*Inputs!$K$14</f>
        <v>3673.33957624701</v>
      </c>
      <c r="FU97" s="84" t="n">
        <f aca="false">FS97-FT97</f>
        <v>14693.358304988</v>
      </c>
      <c r="FV97" s="133" t="n">
        <f aca="false">FH97+$D97*Inputs!$K$13</f>
        <v>660.029482006864</v>
      </c>
      <c r="FW97" s="84" t="n">
        <f aca="false">MIN(FT97,FV97)</f>
        <v>660.029482006864</v>
      </c>
      <c r="FX97" s="84" t="n">
        <f aca="false">FV97-FW97</f>
        <v>0</v>
      </c>
      <c r="FY97" s="84" t="n">
        <f aca="false">FK97+$G97*(FV97+FK97)</f>
        <v>10051.7888535045</v>
      </c>
      <c r="FZ97" s="84" t="n">
        <f aca="false">MIN(FT97-FW97,FY97)</f>
        <v>3013.31009424014</v>
      </c>
      <c r="GA97" s="84" t="n">
        <f aca="false">FY97-FZ97</f>
        <v>7038.47875926433</v>
      </c>
      <c r="GB97" s="84" t="n">
        <f aca="false">IF($H97=1,MIN(FT97-FW97-FZ97,MAX(0,$F97/(1-$F97)*(FP97+FZ97)-FQ97)),0)</f>
        <v>0</v>
      </c>
      <c r="GC97" s="84" t="n">
        <f aca="false">FT97-FW97-FZ97-GB97</f>
        <v>0</v>
      </c>
      <c r="GD97" s="84" t="n">
        <f aca="false">FW97+FZ97+(1-$F97)*GC97</f>
        <v>3673.33957624701</v>
      </c>
      <c r="GE97" s="84" t="n">
        <f aca="false">GB97+$F97*GC97</f>
        <v>0</v>
      </c>
      <c r="GF97" s="84" t="n">
        <f aca="false">FP97+FZ97+(1-$F97)*GC97</f>
        <v>3013.31009424014</v>
      </c>
      <c r="GG97" s="84" t="n">
        <f aca="false">FQ97+GE97</f>
        <v>0</v>
      </c>
      <c r="GH97" s="133" t="n">
        <f aca="false">FU97+$D97*Inputs!$L$13-$D97*$E97</f>
        <v>14423.358304988</v>
      </c>
      <c r="GI97" s="84" t="n">
        <f aca="false">GH97*(1+$I97)</f>
        <v>16442.6284676864</v>
      </c>
      <c r="GJ97" s="133" t="n">
        <f aca="false">GI97*Inputs!$L$14</f>
        <v>16442.6284676864</v>
      </c>
      <c r="GK97" s="84" t="n">
        <f aca="false">GI97-GJ97</f>
        <v>0</v>
      </c>
      <c r="GL97" s="133" t="n">
        <f aca="false">FX97+$D97*Inputs!$L$13</f>
        <v>0</v>
      </c>
      <c r="GM97" s="84" t="n">
        <f aca="false">MIN(GJ97,GL97)</f>
        <v>0</v>
      </c>
      <c r="GN97" s="84" t="n">
        <f aca="false">GL97-GM97</f>
        <v>0</v>
      </c>
      <c r="GO97" s="84" t="n">
        <f aca="false">GA97+$G97*(GL97+GA97)</f>
        <v>7601.55706000548</v>
      </c>
      <c r="GP97" s="84" t="n">
        <f aca="false">MIN(GJ97-GM97,GO97)</f>
        <v>7601.55706000548</v>
      </c>
      <c r="GQ97" s="84" t="n">
        <f aca="false">GO97-GP97</f>
        <v>0</v>
      </c>
      <c r="GR97" s="84" t="n">
        <f aca="false">IF($H97=1,MIN(GJ97-GM97-GP97,MAX(0,$F97/(1-$F97)*(GF97+GP97)-GG97)),0)</f>
        <v>0</v>
      </c>
      <c r="GS97" s="84" t="n">
        <f aca="false">GJ97-GM97-GP97-GR97</f>
        <v>8841.07140768088</v>
      </c>
      <c r="GT97" s="84" t="n">
        <f aca="false">GM97+GP97+(1-$F97)*GS97</f>
        <v>14674.4141861502</v>
      </c>
      <c r="GU97" s="84" t="n">
        <f aca="false">GR97+$F97*GS97</f>
        <v>1768.21428153618</v>
      </c>
      <c r="GV97" s="84" t="n">
        <f aca="false">GF97+GP97+(1-$F97)*GS97</f>
        <v>17687.7242803903</v>
      </c>
      <c r="GW97" s="84" t="n">
        <f aca="false">GG97+GU97</f>
        <v>1768.21428153618</v>
      </c>
    </row>
    <row r="98" customFormat="false" ht="15" hidden="false" customHeight="false" outlineLevel="0" collapsed="false">
      <c r="A98" s="5" t="s">
        <v>639</v>
      </c>
      <c r="B98" s="5" t="s">
        <v>427</v>
      </c>
      <c r="C98" s="135" t="n">
        <v>15</v>
      </c>
      <c r="D98" s="47" t="n">
        <f aca="false">Inputs!$C$6</f>
        <v>20000</v>
      </c>
      <c r="E98" s="35" t="n">
        <f aca="false">Inputs!$C$19</f>
        <v>0.0135</v>
      </c>
      <c r="F98" s="36" t="n">
        <f aca="false">Inputs!$C$20</f>
        <v>0.2</v>
      </c>
      <c r="G98" s="36" t="n">
        <f aca="false">Inputs!$C$22</f>
        <v>0.08</v>
      </c>
      <c r="H98" s="27" t="n">
        <v>0</v>
      </c>
      <c r="I98" s="132" t="n">
        <f aca="false">Inputs!$C$38+$C98*Inputs!$C$39</f>
        <v>0.15</v>
      </c>
      <c r="J98" s="36" t="n">
        <f aca="false">Inputs!$C$9</f>
        <v>0.15</v>
      </c>
      <c r="K98" s="89" t="n">
        <f aca="false">IRR(W98:AG98,0.1)</f>
        <v>0.121132776934093</v>
      </c>
      <c r="L98" s="45" t="n">
        <f aca="false">W98+NPV($J98,X98:AG98)</f>
        <v>-2125.00184695825</v>
      </c>
      <c r="M98" s="45" t="n">
        <f aca="false">SUM(BF98,BV98,CL98,DB98,DR98,EH98,EX98,FN98,GD98,GT98)</f>
        <v>39522.2481247282</v>
      </c>
      <c r="N98" s="43" t="n">
        <f aca="false">IF($D98*SUM(Inputs!$C$13:$L$13)=0,0,M98/($D98*SUM(Inputs!$C$13:$L$13)))</f>
        <v>1.97611240623641</v>
      </c>
      <c r="O98" s="42" t="n">
        <f aca="false">$D98*$E98*COLUMNS(Inputs!$C$13:$L$13)</f>
        <v>2700</v>
      </c>
      <c r="P98" s="45" t="n">
        <f aca="false">SUM(BG98,BW98,CM98,DC98,DS98,EI98,EY98,FO98,GE98,GU98)</f>
        <v>2292.51314744016</v>
      </c>
      <c r="Q98" s="42" t="n">
        <f aca="false">PV($J98,COLUMNS(Inputs!$C$13:$L$13),-$D98*$E98,0,1)</f>
        <v>1558.32765832774</v>
      </c>
      <c r="R98" s="45" t="n">
        <f aca="false">NPV($J98,BG98,BW98,CM98,DC98,DS98,EI98,EY98,FO98,GE98,GU98)</f>
        <v>566.674188630511</v>
      </c>
      <c r="S98" s="45" t="n">
        <f aca="false">Q98+R98</f>
        <v>2125.00184695825</v>
      </c>
      <c r="T98" s="32" t="n">
        <f aca="false">IF(S98=0,0,Q98/S98)</f>
        <v>0.73333002536367</v>
      </c>
      <c r="U98" s="45" t="n">
        <f aca="false">ROUND(ABS(GK98)+ABS(SUM(AV98,BL98,CB98,CR98,DH98,DX98,EN98,FD98,FT98,GJ98)-M98-P98)+ABS(S98-(AH98+NPV($J98,AI98:AR98))),6)</f>
        <v>0</v>
      </c>
      <c r="W98" s="133" t="n">
        <f aca="false">-$D98*Inputs!$C$13</f>
        <v>-4000</v>
      </c>
      <c r="X98" s="133" t="n">
        <f aca="false">BF98-$D98*Inputs!$D$13</f>
        <v>-4000</v>
      </c>
      <c r="Y98" s="133" t="n">
        <f aca="false">BV98-$D98*Inputs!$E$13</f>
        <v>-4000</v>
      </c>
      <c r="Z98" s="133" t="n">
        <f aca="false">CL98-$D98*Inputs!$F$13</f>
        <v>-4000</v>
      </c>
      <c r="AA98" s="133" t="n">
        <f aca="false">DB98-$D98*Inputs!$G$13</f>
        <v>-4000</v>
      </c>
      <c r="AB98" s="133" t="n">
        <f aca="false">DR98-$D98*Inputs!$H$13</f>
        <v>5784.288874375</v>
      </c>
      <c r="AC98" s="133" t="n">
        <f aca="false">EH98-$D98*Inputs!$I$13</f>
        <v>5259.445764425</v>
      </c>
      <c r="AD98" s="133" t="n">
        <f aca="false">EX98-$D98*Inputs!$J$13</f>
        <v>4776.590103271</v>
      </c>
      <c r="AE98" s="133" t="n">
        <f aca="false">FN98-$D98*Inputs!$K$13</f>
        <v>4332.36289500932</v>
      </c>
      <c r="AF98" s="133" t="n">
        <f aca="false">GD98-$D98*Inputs!$L$13</f>
        <v>3923.67386340857</v>
      </c>
      <c r="AG98" s="84" t="n">
        <f aca="false">GT98</f>
        <v>15445.8866242393</v>
      </c>
      <c r="AH98" s="84" t="n">
        <f aca="false">$D98*$E98</f>
        <v>270</v>
      </c>
      <c r="AI98" s="84" t="n">
        <f aca="false">BG98+$D98*$E98</f>
        <v>270</v>
      </c>
      <c r="AJ98" s="84" t="n">
        <f aca="false">BW98+$D98*$E98</f>
        <v>270</v>
      </c>
      <c r="AK98" s="84" t="n">
        <f aca="false">CM98+$D98*$E98</f>
        <v>270</v>
      </c>
      <c r="AL98" s="84" t="n">
        <f aca="false">DC98+$D98*$E98</f>
        <v>270</v>
      </c>
      <c r="AM98" s="84" t="n">
        <f aca="false">DS98+$D98*$E98</f>
        <v>270</v>
      </c>
      <c r="AN98" s="84" t="n">
        <f aca="false">EI98+$D98*$E98</f>
        <v>270</v>
      </c>
      <c r="AO98" s="84" t="n">
        <f aca="false">EY98+$D98*$E98</f>
        <v>270</v>
      </c>
      <c r="AP98" s="84" t="n">
        <f aca="false">FO98+$D98*$E98</f>
        <v>270</v>
      </c>
      <c r="AQ98" s="84" t="n">
        <f aca="false">GE98+$D98*$E98</f>
        <v>270</v>
      </c>
      <c r="AR98" s="84" t="n">
        <f aca="false">GU98</f>
        <v>2292.51314744016</v>
      </c>
      <c r="AT98" s="133" t="n">
        <f aca="false">$D98*Inputs!$C$13-$D98*$E98</f>
        <v>3730</v>
      </c>
      <c r="AU98" s="84" t="n">
        <f aca="false">AT98*(1+$I98)</f>
        <v>4289.5</v>
      </c>
      <c r="AV98" s="133" t="n">
        <f aca="false">AU98*Inputs!$C$14</f>
        <v>0</v>
      </c>
      <c r="AW98" s="84" t="n">
        <f aca="false">AU98-AV98</f>
        <v>4289.5</v>
      </c>
      <c r="AX98" s="133" t="n">
        <f aca="false">$D98*Inputs!$C$13</f>
        <v>4000</v>
      </c>
      <c r="AY98" s="84" t="n">
        <f aca="false">MIN(AV98,AX98)</f>
        <v>0</v>
      </c>
      <c r="AZ98" s="84" t="n">
        <f aca="false">AX98-AY98</f>
        <v>4000</v>
      </c>
      <c r="BA98" s="84" t="n">
        <f aca="false">$G98*AX98</f>
        <v>320</v>
      </c>
      <c r="BB98" s="84" t="n">
        <f aca="false">MIN(AV98-AY98,BA98)</f>
        <v>0</v>
      </c>
      <c r="BC98" s="84" t="n">
        <f aca="false">BA98-BB98</f>
        <v>320</v>
      </c>
      <c r="BD98" s="84" t="n">
        <f aca="false">IF($H98=1,MIN(AV98-AY98-BB98,MAX(0,$F98/(1-$F98)*BB98)),0)</f>
        <v>0</v>
      </c>
      <c r="BE98" s="84" t="n">
        <f aca="false">AV98-AY98-BB98-BD98</f>
        <v>0</v>
      </c>
      <c r="BF98" s="84" t="n">
        <f aca="false">AY98+BB98+(1-$F98)*BE98</f>
        <v>0</v>
      </c>
      <c r="BG98" s="84" t="n">
        <f aca="false">BD98+$F98*BE98</f>
        <v>0</v>
      </c>
      <c r="BH98" s="84" t="n">
        <f aca="false">BB98+(1-$F98)*BE98</f>
        <v>0</v>
      </c>
      <c r="BI98" s="84" t="n">
        <f aca="false">BG98</f>
        <v>0</v>
      </c>
      <c r="BJ98" s="133" t="n">
        <f aca="false">AW98+$D98*Inputs!$D$13-$D98*$E98</f>
        <v>8019.5</v>
      </c>
      <c r="BK98" s="84" t="n">
        <f aca="false">BJ98*(1+$I98)</f>
        <v>9222.425</v>
      </c>
      <c r="BL98" s="133" t="n">
        <f aca="false">BK98*Inputs!$D$14</f>
        <v>0</v>
      </c>
      <c r="BM98" s="84" t="n">
        <f aca="false">BK98-BL98</f>
        <v>9222.425</v>
      </c>
      <c r="BN98" s="133" t="n">
        <f aca="false">AZ98+$D98*Inputs!$D$13</f>
        <v>8000</v>
      </c>
      <c r="BO98" s="84" t="n">
        <f aca="false">MIN(BL98,BN98)</f>
        <v>0</v>
      </c>
      <c r="BP98" s="84" t="n">
        <f aca="false">BN98-BO98</f>
        <v>8000</v>
      </c>
      <c r="BQ98" s="84" t="n">
        <f aca="false">BC98+$G98*(BN98+BC98)</f>
        <v>985.6</v>
      </c>
      <c r="BR98" s="84" t="n">
        <f aca="false">MIN(BL98-BO98,BQ98)</f>
        <v>0</v>
      </c>
      <c r="BS98" s="84" t="n">
        <f aca="false">BQ98-BR98</f>
        <v>985.6</v>
      </c>
      <c r="BT98" s="84" t="n">
        <f aca="false">IF($H98=1,MIN(BL98-BO98-BR98,MAX(0,$F98/(1-$F98)*(BH98+BR98)-BI98)),0)</f>
        <v>0</v>
      </c>
      <c r="BU98" s="84" t="n">
        <f aca="false">BL98-BO98-BR98-BT98</f>
        <v>0</v>
      </c>
      <c r="BV98" s="84" t="n">
        <f aca="false">BO98+BR98+(1-$F98)*BU98</f>
        <v>0</v>
      </c>
      <c r="BW98" s="84" t="n">
        <f aca="false">BT98+$F98*BU98</f>
        <v>0</v>
      </c>
      <c r="BX98" s="84" t="n">
        <f aca="false">BH98+BR98+(1-$F98)*BU98</f>
        <v>0</v>
      </c>
      <c r="BY98" s="84" t="n">
        <f aca="false">BI98+BW98</f>
        <v>0</v>
      </c>
      <c r="BZ98" s="133" t="n">
        <f aca="false">BM98+$D98*Inputs!$E$13-$D98*$E98</f>
        <v>12952.425</v>
      </c>
      <c r="CA98" s="84" t="n">
        <f aca="false">BZ98*(1+$I98)</f>
        <v>14895.28875</v>
      </c>
      <c r="CB98" s="133" t="n">
        <f aca="false">CA98*Inputs!$E$14</f>
        <v>0</v>
      </c>
      <c r="CC98" s="84" t="n">
        <f aca="false">CA98-CB98</f>
        <v>14895.28875</v>
      </c>
      <c r="CD98" s="133" t="n">
        <f aca="false">BP98+$D98*Inputs!$E$13</f>
        <v>12000</v>
      </c>
      <c r="CE98" s="84" t="n">
        <f aca="false">MIN(CB98,CD98)</f>
        <v>0</v>
      </c>
      <c r="CF98" s="84" t="n">
        <f aca="false">CD98-CE98</f>
        <v>12000</v>
      </c>
      <c r="CG98" s="84" t="n">
        <f aca="false">BS98+$G98*(CD98+BS98)</f>
        <v>2024.448</v>
      </c>
      <c r="CH98" s="84" t="n">
        <f aca="false">MIN(CB98-CE98,CG98)</f>
        <v>0</v>
      </c>
      <c r="CI98" s="84" t="n">
        <f aca="false">CG98-CH98</f>
        <v>2024.448</v>
      </c>
      <c r="CJ98" s="84" t="n">
        <f aca="false">IF($H98=1,MIN(CB98-CE98-CH98,MAX(0,$F98/(1-$F98)*(BX98+CH98)-BY98)),0)</f>
        <v>0</v>
      </c>
      <c r="CK98" s="84" t="n">
        <f aca="false">CB98-CE98-CH98-CJ98</f>
        <v>0</v>
      </c>
      <c r="CL98" s="84" t="n">
        <f aca="false">CE98+CH98+(1-$F98)*CK98</f>
        <v>0</v>
      </c>
      <c r="CM98" s="84" t="n">
        <f aca="false">CJ98+$F98*CK98</f>
        <v>0</v>
      </c>
      <c r="CN98" s="84" t="n">
        <f aca="false">BX98+CH98+(1-$F98)*CK98</f>
        <v>0</v>
      </c>
      <c r="CO98" s="84" t="n">
        <f aca="false">BY98+CM98</f>
        <v>0</v>
      </c>
      <c r="CP98" s="133" t="n">
        <f aca="false">CC98+$D98*Inputs!$F$13-$D98*$E98</f>
        <v>18625.28875</v>
      </c>
      <c r="CQ98" s="84" t="n">
        <f aca="false">CP98*(1+$I98)</f>
        <v>21419.0820625</v>
      </c>
      <c r="CR98" s="133" t="n">
        <f aca="false">CQ98*Inputs!$F$14</f>
        <v>0</v>
      </c>
      <c r="CS98" s="84" t="n">
        <f aca="false">CQ98-CR98</f>
        <v>21419.0820625</v>
      </c>
      <c r="CT98" s="133" t="n">
        <f aca="false">CF98+$D98*Inputs!$F$13</f>
        <v>16000</v>
      </c>
      <c r="CU98" s="84" t="n">
        <f aca="false">MIN(CR98,CT98)</f>
        <v>0</v>
      </c>
      <c r="CV98" s="84" t="n">
        <f aca="false">CT98-CU98</f>
        <v>16000</v>
      </c>
      <c r="CW98" s="84" t="n">
        <f aca="false">CI98+$G98*(CT98+CI98)</f>
        <v>3466.40384</v>
      </c>
      <c r="CX98" s="84" t="n">
        <f aca="false">MIN(CR98-CU98,CW98)</f>
        <v>0</v>
      </c>
      <c r="CY98" s="84" t="n">
        <f aca="false">CW98-CX98</f>
        <v>3466.40384</v>
      </c>
      <c r="CZ98" s="84" t="n">
        <f aca="false">IF($H98=1,MIN(CR98-CU98-CX98,MAX(0,$F98/(1-$F98)*(CN98+CX98)-CO98)),0)</f>
        <v>0</v>
      </c>
      <c r="DA98" s="84" t="n">
        <f aca="false">CR98-CU98-CX98-CZ98</f>
        <v>0</v>
      </c>
      <c r="DB98" s="84" t="n">
        <f aca="false">CU98+CX98+(1-$F98)*DA98</f>
        <v>0</v>
      </c>
      <c r="DC98" s="84" t="n">
        <f aca="false">CZ98+$F98*DA98</f>
        <v>0</v>
      </c>
      <c r="DD98" s="84" t="n">
        <f aca="false">CN98+CX98+(1-$F98)*DA98</f>
        <v>0</v>
      </c>
      <c r="DE98" s="84" t="n">
        <f aca="false">CO98+DC98</f>
        <v>0</v>
      </c>
      <c r="DF98" s="133" t="n">
        <f aca="false">CS98+$D98*Inputs!$G$13-$D98*$E98</f>
        <v>25149.0820625</v>
      </c>
      <c r="DG98" s="84" t="n">
        <f aca="false">DF98*(1+$I98)</f>
        <v>28921.444371875</v>
      </c>
      <c r="DH98" s="133" t="n">
        <f aca="false">DG98*Inputs!$G$14</f>
        <v>5784.288874375</v>
      </c>
      <c r="DI98" s="84" t="n">
        <f aca="false">DG98-DH98</f>
        <v>23137.1554975</v>
      </c>
      <c r="DJ98" s="133" t="n">
        <f aca="false">CV98+$D98*Inputs!$G$13</f>
        <v>20000</v>
      </c>
      <c r="DK98" s="84" t="n">
        <f aca="false">MIN(DH98,DJ98)</f>
        <v>5784.288874375</v>
      </c>
      <c r="DL98" s="84" t="n">
        <f aca="false">DJ98-DK98</f>
        <v>14215.711125625</v>
      </c>
      <c r="DM98" s="84" t="n">
        <f aca="false">CY98+$G98*(DJ98+CY98)</f>
        <v>5343.7161472</v>
      </c>
      <c r="DN98" s="84" t="n">
        <f aca="false">MIN(DH98-DK98,DM98)</f>
        <v>0</v>
      </c>
      <c r="DO98" s="84" t="n">
        <f aca="false">DM98-DN98</f>
        <v>5343.7161472</v>
      </c>
      <c r="DP98" s="84" t="n">
        <f aca="false">IF($H98=1,MIN(DH98-DK98-DN98,MAX(0,$F98/(1-$F98)*(DD98+DN98)-DE98)),0)</f>
        <v>0</v>
      </c>
      <c r="DQ98" s="84" t="n">
        <f aca="false">DH98-DK98-DN98-DP98</f>
        <v>0</v>
      </c>
      <c r="DR98" s="84" t="n">
        <f aca="false">DK98+DN98+(1-$F98)*DQ98</f>
        <v>5784.288874375</v>
      </c>
      <c r="DS98" s="84" t="n">
        <f aca="false">DP98+$F98*DQ98</f>
        <v>0</v>
      </c>
      <c r="DT98" s="84" t="n">
        <f aca="false">DD98+DN98+(1-$F98)*DQ98</f>
        <v>0</v>
      </c>
      <c r="DU98" s="84" t="n">
        <f aca="false">DE98+DS98</f>
        <v>0</v>
      </c>
      <c r="DV98" s="133" t="n">
        <f aca="false">DI98+$D98*Inputs!$H$13-$D98*$E98</f>
        <v>22867.1554975</v>
      </c>
      <c r="DW98" s="84" t="n">
        <f aca="false">DV98*(1+$I98)</f>
        <v>26297.228822125</v>
      </c>
      <c r="DX98" s="133" t="n">
        <f aca="false">DW98*Inputs!$H$14</f>
        <v>5259.445764425</v>
      </c>
      <c r="DY98" s="84" t="n">
        <f aca="false">DW98-DX98</f>
        <v>21037.7830577</v>
      </c>
      <c r="DZ98" s="133" t="n">
        <f aca="false">DL98+$D98*Inputs!$H$13</f>
        <v>14215.711125625</v>
      </c>
      <c r="EA98" s="84" t="n">
        <f aca="false">MIN(DX98,DZ98)</f>
        <v>5259.445764425</v>
      </c>
      <c r="EB98" s="84" t="n">
        <f aca="false">DZ98-EA98</f>
        <v>8956.2653612</v>
      </c>
      <c r="EC98" s="84" t="n">
        <f aca="false">DO98+$G98*(DZ98+DO98)</f>
        <v>6908.470329026</v>
      </c>
      <c r="ED98" s="84" t="n">
        <f aca="false">MIN(DX98-EA98,EC98)</f>
        <v>0</v>
      </c>
      <c r="EE98" s="84" t="n">
        <f aca="false">EC98-ED98</f>
        <v>6908.470329026</v>
      </c>
      <c r="EF98" s="84" t="n">
        <f aca="false">IF($H98=1,MIN(DX98-EA98-ED98,MAX(0,$F98/(1-$F98)*(DT98+ED98)-DU98)),0)</f>
        <v>0</v>
      </c>
      <c r="EG98" s="84" t="n">
        <f aca="false">DX98-EA98-ED98-EF98</f>
        <v>0</v>
      </c>
      <c r="EH98" s="84" t="n">
        <f aca="false">EA98+ED98+(1-$F98)*EG98</f>
        <v>5259.445764425</v>
      </c>
      <c r="EI98" s="84" t="n">
        <f aca="false">EF98+$F98*EG98</f>
        <v>0</v>
      </c>
      <c r="EJ98" s="84" t="n">
        <f aca="false">DT98+ED98+(1-$F98)*EG98</f>
        <v>0</v>
      </c>
      <c r="EK98" s="84" t="n">
        <f aca="false">DU98+EI98</f>
        <v>0</v>
      </c>
      <c r="EL98" s="133" t="n">
        <f aca="false">DY98+$D98*Inputs!$I$13-$D98*$E98</f>
        <v>20767.7830577</v>
      </c>
      <c r="EM98" s="84" t="n">
        <f aca="false">EL98*(1+$I98)</f>
        <v>23882.950516355</v>
      </c>
      <c r="EN98" s="133" t="n">
        <f aca="false">EM98*Inputs!$I$14</f>
        <v>4776.590103271</v>
      </c>
      <c r="EO98" s="84" t="n">
        <f aca="false">EM98-EN98</f>
        <v>19106.360413084</v>
      </c>
      <c r="EP98" s="133" t="n">
        <f aca="false">EB98+$D98*Inputs!$I$13</f>
        <v>8956.2653612</v>
      </c>
      <c r="EQ98" s="84" t="n">
        <f aca="false">MIN(EN98,EP98)</f>
        <v>4776.590103271</v>
      </c>
      <c r="ER98" s="84" t="n">
        <f aca="false">EP98-EQ98</f>
        <v>4179.675257929</v>
      </c>
      <c r="ES98" s="84" t="n">
        <f aca="false">EE98+$G98*(EP98+EE98)</f>
        <v>8177.64918424408</v>
      </c>
      <c r="ET98" s="84" t="n">
        <f aca="false">MIN(EN98-EQ98,ES98)</f>
        <v>0</v>
      </c>
      <c r="EU98" s="84" t="n">
        <f aca="false">ES98-ET98</f>
        <v>8177.64918424408</v>
      </c>
      <c r="EV98" s="84" t="n">
        <f aca="false">IF($H98=1,MIN(EN98-EQ98-ET98,MAX(0,$F98/(1-$F98)*(EJ98+ET98)-EK98)),0)</f>
        <v>0</v>
      </c>
      <c r="EW98" s="84" t="n">
        <f aca="false">EN98-EQ98-ET98-EV98</f>
        <v>0</v>
      </c>
      <c r="EX98" s="84" t="n">
        <f aca="false">EQ98+ET98+(1-$F98)*EW98</f>
        <v>4776.590103271</v>
      </c>
      <c r="EY98" s="84" t="n">
        <f aca="false">EV98+$F98*EW98</f>
        <v>0</v>
      </c>
      <c r="EZ98" s="84" t="n">
        <f aca="false">EJ98+ET98+(1-$F98)*EW98</f>
        <v>0</v>
      </c>
      <c r="FA98" s="84" t="n">
        <f aca="false">EK98+EY98</f>
        <v>0</v>
      </c>
      <c r="FB98" s="133" t="n">
        <f aca="false">EO98+$D98*Inputs!$J$13-$D98*$E98</f>
        <v>18836.360413084</v>
      </c>
      <c r="FC98" s="84" t="n">
        <f aca="false">FB98*(1+$I98)</f>
        <v>21661.8144750466</v>
      </c>
      <c r="FD98" s="133" t="n">
        <f aca="false">FC98*Inputs!$J$14</f>
        <v>4332.36289500932</v>
      </c>
      <c r="FE98" s="84" t="n">
        <f aca="false">FC98-FD98</f>
        <v>17329.4515800373</v>
      </c>
      <c r="FF98" s="133" t="n">
        <f aca="false">ER98+$D98*Inputs!$J$13</f>
        <v>4179.675257929</v>
      </c>
      <c r="FG98" s="84" t="n">
        <f aca="false">MIN(FD98,FF98)</f>
        <v>4179.675257929</v>
      </c>
      <c r="FH98" s="84" t="n">
        <f aca="false">FF98-FG98</f>
        <v>0</v>
      </c>
      <c r="FI98" s="84" t="n">
        <f aca="false">EU98+$G98*(FF98+EU98)</f>
        <v>9166.23513961793</v>
      </c>
      <c r="FJ98" s="84" t="n">
        <f aca="false">MIN(FD98-FG98,FI98)</f>
        <v>152.687637080315</v>
      </c>
      <c r="FK98" s="84" t="n">
        <f aca="false">FI98-FJ98</f>
        <v>9013.54750253761</v>
      </c>
      <c r="FL98" s="84" t="n">
        <f aca="false">IF($H98=1,MIN(FD98-FG98-FJ98,MAX(0,$F98/(1-$F98)*(EZ98+FJ98)-FA98)),0)</f>
        <v>0</v>
      </c>
      <c r="FM98" s="84" t="n">
        <f aca="false">FD98-FG98-FJ98-FL98</f>
        <v>0</v>
      </c>
      <c r="FN98" s="84" t="n">
        <f aca="false">FG98+FJ98+(1-$F98)*FM98</f>
        <v>4332.36289500932</v>
      </c>
      <c r="FO98" s="84" t="n">
        <f aca="false">FL98+$F98*FM98</f>
        <v>0</v>
      </c>
      <c r="FP98" s="84" t="n">
        <f aca="false">EZ98+FJ98+(1-$F98)*FM98</f>
        <v>152.687637080315</v>
      </c>
      <c r="FQ98" s="84" t="n">
        <f aca="false">FA98+FO98</f>
        <v>0</v>
      </c>
      <c r="FR98" s="133" t="n">
        <f aca="false">FE98+$D98*Inputs!$K$13-$D98*$E98</f>
        <v>17059.4515800373</v>
      </c>
      <c r="FS98" s="84" t="n">
        <f aca="false">FR98*(1+$I98)</f>
        <v>19618.3693170429</v>
      </c>
      <c r="FT98" s="133" t="n">
        <f aca="false">FS98*Inputs!$K$14</f>
        <v>3923.67386340857</v>
      </c>
      <c r="FU98" s="84" t="n">
        <f aca="false">FS98-FT98</f>
        <v>15694.6954536343</v>
      </c>
      <c r="FV98" s="133" t="n">
        <f aca="false">FH98+$D98*Inputs!$K$13</f>
        <v>0</v>
      </c>
      <c r="FW98" s="84" t="n">
        <f aca="false">MIN(FT98,FV98)</f>
        <v>0</v>
      </c>
      <c r="FX98" s="84" t="n">
        <f aca="false">FV98-FW98</f>
        <v>0</v>
      </c>
      <c r="FY98" s="84" t="n">
        <f aca="false">FK98+$G98*(FV98+FK98)</f>
        <v>9734.63130274062</v>
      </c>
      <c r="FZ98" s="84" t="n">
        <f aca="false">MIN(FT98-FW98,FY98)</f>
        <v>3923.67386340857</v>
      </c>
      <c r="GA98" s="84" t="n">
        <f aca="false">FY98-FZ98</f>
        <v>5810.95743933205</v>
      </c>
      <c r="GB98" s="84" t="n">
        <f aca="false">IF($H98=1,MIN(FT98-FW98-FZ98,MAX(0,$F98/(1-$F98)*(FP98+FZ98)-FQ98)),0)</f>
        <v>0</v>
      </c>
      <c r="GC98" s="84" t="n">
        <f aca="false">FT98-FW98-FZ98-GB98</f>
        <v>0</v>
      </c>
      <c r="GD98" s="84" t="n">
        <f aca="false">FW98+FZ98+(1-$F98)*GC98</f>
        <v>3923.67386340857</v>
      </c>
      <c r="GE98" s="84" t="n">
        <f aca="false">GB98+$F98*GC98</f>
        <v>0</v>
      </c>
      <c r="GF98" s="84" t="n">
        <f aca="false">FP98+FZ98+(1-$F98)*GC98</f>
        <v>4076.36150048889</v>
      </c>
      <c r="GG98" s="84" t="n">
        <f aca="false">FQ98+GE98</f>
        <v>0</v>
      </c>
      <c r="GH98" s="133" t="n">
        <f aca="false">FU98+$D98*Inputs!$L$13-$D98*$E98</f>
        <v>15424.6954536343</v>
      </c>
      <c r="GI98" s="84" t="n">
        <f aca="false">GH98*(1+$I98)</f>
        <v>17738.3997716794</v>
      </c>
      <c r="GJ98" s="133" t="n">
        <f aca="false">GI98*Inputs!$L$14</f>
        <v>17738.3997716794</v>
      </c>
      <c r="GK98" s="84" t="n">
        <f aca="false">GI98-GJ98</f>
        <v>0</v>
      </c>
      <c r="GL98" s="133" t="n">
        <f aca="false">FX98+$D98*Inputs!$L$13</f>
        <v>0</v>
      </c>
      <c r="GM98" s="84" t="n">
        <f aca="false">MIN(GJ98,GL98)</f>
        <v>0</v>
      </c>
      <c r="GN98" s="84" t="n">
        <f aca="false">GL98-GM98</f>
        <v>0</v>
      </c>
      <c r="GO98" s="84" t="n">
        <f aca="false">GA98+$G98*(GL98+GA98)</f>
        <v>6275.83403447861</v>
      </c>
      <c r="GP98" s="84" t="n">
        <f aca="false">MIN(GJ98-GM98,GO98)</f>
        <v>6275.83403447861</v>
      </c>
      <c r="GQ98" s="84" t="n">
        <f aca="false">GO98-GP98</f>
        <v>0</v>
      </c>
      <c r="GR98" s="84" t="n">
        <f aca="false">IF($H98=1,MIN(GJ98-GM98-GP98,MAX(0,$F98/(1-$F98)*(GF98+GP98)-GG98)),0)</f>
        <v>0</v>
      </c>
      <c r="GS98" s="84" t="n">
        <f aca="false">GJ98-GM98-GP98-GR98</f>
        <v>11462.5657372008</v>
      </c>
      <c r="GT98" s="84" t="n">
        <f aca="false">GM98+GP98+(1-$F98)*GS98</f>
        <v>15445.8866242393</v>
      </c>
      <c r="GU98" s="84" t="n">
        <f aca="false">GR98+$F98*GS98</f>
        <v>2292.51314744016</v>
      </c>
      <c r="GV98" s="84" t="n">
        <f aca="false">GF98+GP98+(1-$F98)*GS98</f>
        <v>19522.2481247282</v>
      </c>
      <c r="GW98" s="84" t="n">
        <f aca="false">GG98+GU98</f>
        <v>2292.51314744016</v>
      </c>
    </row>
    <row r="99" customFormat="false" ht="15" hidden="false" customHeight="false" outlineLevel="0" collapsed="false">
      <c r="A99" s="5" t="s">
        <v>639</v>
      </c>
      <c r="B99" s="5" t="s">
        <v>427</v>
      </c>
      <c r="C99" s="135" t="n">
        <v>16</v>
      </c>
      <c r="D99" s="47" t="n">
        <f aca="false">Inputs!$C$6</f>
        <v>20000</v>
      </c>
      <c r="E99" s="35" t="n">
        <f aca="false">Inputs!$C$19</f>
        <v>0.0135</v>
      </c>
      <c r="F99" s="36" t="n">
        <f aca="false">Inputs!$C$20</f>
        <v>0.2</v>
      </c>
      <c r="G99" s="36" t="n">
        <f aca="false">Inputs!$C$22</f>
        <v>0.08</v>
      </c>
      <c r="H99" s="27" t="n">
        <v>0</v>
      </c>
      <c r="I99" s="132" t="n">
        <f aca="false">Inputs!$C$38+$C99*Inputs!$C$39</f>
        <v>0.16</v>
      </c>
      <c r="J99" s="36" t="n">
        <f aca="false">Inputs!$C$9</f>
        <v>0.15</v>
      </c>
      <c r="K99" s="89" t="n">
        <f aca="false">IRR(W99:AG99,0.1)</f>
        <v>0.129935944234053</v>
      </c>
      <c r="L99" s="45" t="n">
        <f aca="false">W99+NPV($J99,X99:AG99)</f>
        <v>-1507.39043665694</v>
      </c>
      <c r="M99" s="45" t="n">
        <f aca="false">SUM(BF99,BV99,CL99,DB99,DR99,EH99,EX99,FN99,GD99,GT99)</f>
        <v>41463.0662484037</v>
      </c>
      <c r="N99" s="43" t="n">
        <f aca="false">IF($D99*SUM(Inputs!$C$13:$L$13)=0,0,M99/($D99*SUM(Inputs!$C$13:$L$13)))</f>
        <v>2.07315331242018</v>
      </c>
      <c r="O99" s="42" t="n">
        <f aca="false">$D99*$E99*COLUMNS(Inputs!$C$13:$L$13)</f>
        <v>2700</v>
      </c>
      <c r="P99" s="45" t="n">
        <f aca="false">SUM(BG99,BW99,CM99,DC99,DS99,EI99,EY99,FO99,GE99,GU99)</f>
        <v>2845.82929052005</v>
      </c>
      <c r="Q99" s="42" t="n">
        <f aca="false">PV($J99,COLUMNS(Inputs!$C$13:$L$13),-$D99*$E99,0,1)</f>
        <v>1558.32765832774</v>
      </c>
      <c r="R99" s="45" t="n">
        <f aca="false">NPV($J99,BG99,BW99,CM99,DC99,DS99,EI99,EY99,FO99,GE99,GU99)</f>
        <v>703.445476850196</v>
      </c>
      <c r="S99" s="45" t="n">
        <f aca="false">Q99+R99</f>
        <v>2261.77313517793</v>
      </c>
      <c r="T99" s="32" t="n">
        <f aca="false">IF(S99=0,0,Q99/S99)</f>
        <v>0.688984953482147</v>
      </c>
      <c r="U99" s="45" t="n">
        <f aca="false">ROUND(ABS(GK99)+ABS(SUM(AV99,BL99,CB99,CR99,DH99,DX99,EN99,FD99,FT99,GJ99)-M99-P99)+ABS(S99-(AH99+NPV($J99,AI99:AR99))),6)</f>
        <v>0</v>
      </c>
      <c r="W99" s="133" t="n">
        <f aca="false">-$D99*Inputs!$C$13</f>
        <v>-4000</v>
      </c>
      <c r="X99" s="133" t="n">
        <f aca="false">BF99-$D99*Inputs!$D$13</f>
        <v>-4000</v>
      </c>
      <c r="Y99" s="133" t="n">
        <f aca="false">BV99-$D99*Inputs!$E$13</f>
        <v>-4000</v>
      </c>
      <c r="Z99" s="133" t="n">
        <f aca="false">CL99-$D99*Inputs!$F$13</f>
        <v>-4000</v>
      </c>
      <c r="AA99" s="133" t="n">
        <f aca="false">DB99-$D99*Inputs!$G$13</f>
        <v>-4000</v>
      </c>
      <c r="AB99" s="133" t="n">
        <f aca="false">DR99-$D99*Inputs!$H$13</f>
        <v>5951.1978551296</v>
      </c>
      <c r="AC99" s="133" t="n">
        <f aca="false">EH99-$D99*Inputs!$I$13</f>
        <v>5460.07160956027</v>
      </c>
      <c r="AD99" s="133" t="n">
        <f aca="false">EX99-$D99*Inputs!$J$13</f>
        <v>5004.30645367193</v>
      </c>
      <c r="AE99" s="133" t="n">
        <f aca="false">FN99-$D99*Inputs!$K$13</f>
        <v>4581.35638900755</v>
      </c>
      <c r="AF99" s="133" t="n">
        <f aca="false">GD99-$D99*Inputs!$L$13</f>
        <v>4188.85872899901</v>
      </c>
      <c r="AG99" s="84" t="n">
        <f aca="false">GT99</f>
        <v>16277.2752120353</v>
      </c>
      <c r="AH99" s="84" t="n">
        <f aca="false">$D99*$E99</f>
        <v>270</v>
      </c>
      <c r="AI99" s="84" t="n">
        <f aca="false">BG99+$D99*$E99</f>
        <v>270</v>
      </c>
      <c r="AJ99" s="84" t="n">
        <f aca="false">BW99+$D99*$E99</f>
        <v>270</v>
      </c>
      <c r="AK99" s="84" t="n">
        <f aca="false">CM99+$D99*$E99</f>
        <v>270</v>
      </c>
      <c r="AL99" s="84" t="n">
        <f aca="false">DC99+$D99*$E99</f>
        <v>270</v>
      </c>
      <c r="AM99" s="84" t="n">
        <f aca="false">DS99+$D99*$E99</f>
        <v>270</v>
      </c>
      <c r="AN99" s="84" t="n">
        <f aca="false">EI99+$D99*$E99</f>
        <v>270</v>
      </c>
      <c r="AO99" s="84" t="n">
        <f aca="false">EY99+$D99*$E99</f>
        <v>270</v>
      </c>
      <c r="AP99" s="84" t="n">
        <f aca="false">FO99+$D99*$E99</f>
        <v>270</v>
      </c>
      <c r="AQ99" s="84" t="n">
        <f aca="false">GE99+$D99*$E99</f>
        <v>270</v>
      </c>
      <c r="AR99" s="84" t="n">
        <f aca="false">GU99</f>
        <v>2845.82929052005</v>
      </c>
      <c r="AT99" s="133" t="n">
        <f aca="false">$D99*Inputs!$C$13-$D99*$E99</f>
        <v>3730</v>
      </c>
      <c r="AU99" s="84" t="n">
        <f aca="false">AT99*(1+$I99)</f>
        <v>4326.8</v>
      </c>
      <c r="AV99" s="133" t="n">
        <f aca="false">AU99*Inputs!$C$14</f>
        <v>0</v>
      </c>
      <c r="AW99" s="84" t="n">
        <f aca="false">AU99-AV99</f>
        <v>4326.8</v>
      </c>
      <c r="AX99" s="133" t="n">
        <f aca="false">$D99*Inputs!$C$13</f>
        <v>4000</v>
      </c>
      <c r="AY99" s="84" t="n">
        <f aca="false">MIN(AV99,AX99)</f>
        <v>0</v>
      </c>
      <c r="AZ99" s="84" t="n">
        <f aca="false">AX99-AY99</f>
        <v>4000</v>
      </c>
      <c r="BA99" s="84" t="n">
        <f aca="false">$G99*AX99</f>
        <v>320</v>
      </c>
      <c r="BB99" s="84" t="n">
        <f aca="false">MIN(AV99-AY99,BA99)</f>
        <v>0</v>
      </c>
      <c r="BC99" s="84" t="n">
        <f aca="false">BA99-BB99</f>
        <v>320</v>
      </c>
      <c r="BD99" s="84" t="n">
        <f aca="false">IF($H99=1,MIN(AV99-AY99-BB99,MAX(0,$F99/(1-$F99)*BB99)),0)</f>
        <v>0</v>
      </c>
      <c r="BE99" s="84" t="n">
        <f aca="false">AV99-AY99-BB99-BD99</f>
        <v>0</v>
      </c>
      <c r="BF99" s="84" t="n">
        <f aca="false">AY99+BB99+(1-$F99)*BE99</f>
        <v>0</v>
      </c>
      <c r="BG99" s="84" t="n">
        <f aca="false">BD99+$F99*BE99</f>
        <v>0</v>
      </c>
      <c r="BH99" s="84" t="n">
        <f aca="false">BB99+(1-$F99)*BE99</f>
        <v>0</v>
      </c>
      <c r="BI99" s="84" t="n">
        <f aca="false">BG99</f>
        <v>0</v>
      </c>
      <c r="BJ99" s="133" t="n">
        <f aca="false">AW99+$D99*Inputs!$D$13-$D99*$E99</f>
        <v>8056.8</v>
      </c>
      <c r="BK99" s="84" t="n">
        <f aca="false">BJ99*(1+$I99)</f>
        <v>9345.888</v>
      </c>
      <c r="BL99" s="133" t="n">
        <f aca="false">BK99*Inputs!$D$14</f>
        <v>0</v>
      </c>
      <c r="BM99" s="84" t="n">
        <f aca="false">BK99-BL99</f>
        <v>9345.888</v>
      </c>
      <c r="BN99" s="133" t="n">
        <f aca="false">AZ99+$D99*Inputs!$D$13</f>
        <v>8000</v>
      </c>
      <c r="BO99" s="84" t="n">
        <f aca="false">MIN(BL99,BN99)</f>
        <v>0</v>
      </c>
      <c r="BP99" s="84" t="n">
        <f aca="false">BN99-BO99</f>
        <v>8000</v>
      </c>
      <c r="BQ99" s="84" t="n">
        <f aca="false">BC99+$G99*(BN99+BC99)</f>
        <v>985.6</v>
      </c>
      <c r="BR99" s="84" t="n">
        <f aca="false">MIN(BL99-BO99,BQ99)</f>
        <v>0</v>
      </c>
      <c r="BS99" s="84" t="n">
        <f aca="false">BQ99-BR99</f>
        <v>985.6</v>
      </c>
      <c r="BT99" s="84" t="n">
        <f aca="false">IF($H99=1,MIN(BL99-BO99-BR99,MAX(0,$F99/(1-$F99)*(BH99+BR99)-BI99)),0)</f>
        <v>0</v>
      </c>
      <c r="BU99" s="84" t="n">
        <f aca="false">BL99-BO99-BR99-BT99</f>
        <v>0</v>
      </c>
      <c r="BV99" s="84" t="n">
        <f aca="false">BO99+BR99+(1-$F99)*BU99</f>
        <v>0</v>
      </c>
      <c r="BW99" s="84" t="n">
        <f aca="false">BT99+$F99*BU99</f>
        <v>0</v>
      </c>
      <c r="BX99" s="84" t="n">
        <f aca="false">BH99+BR99+(1-$F99)*BU99</f>
        <v>0</v>
      </c>
      <c r="BY99" s="84" t="n">
        <f aca="false">BI99+BW99</f>
        <v>0</v>
      </c>
      <c r="BZ99" s="133" t="n">
        <f aca="false">BM99+$D99*Inputs!$E$13-$D99*$E99</f>
        <v>13075.888</v>
      </c>
      <c r="CA99" s="84" t="n">
        <f aca="false">BZ99*(1+$I99)</f>
        <v>15168.03008</v>
      </c>
      <c r="CB99" s="133" t="n">
        <f aca="false">CA99*Inputs!$E$14</f>
        <v>0</v>
      </c>
      <c r="CC99" s="84" t="n">
        <f aca="false">CA99-CB99</f>
        <v>15168.03008</v>
      </c>
      <c r="CD99" s="133" t="n">
        <f aca="false">BP99+$D99*Inputs!$E$13</f>
        <v>12000</v>
      </c>
      <c r="CE99" s="84" t="n">
        <f aca="false">MIN(CB99,CD99)</f>
        <v>0</v>
      </c>
      <c r="CF99" s="84" t="n">
        <f aca="false">CD99-CE99</f>
        <v>12000</v>
      </c>
      <c r="CG99" s="84" t="n">
        <f aca="false">BS99+$G99*(CD99+BS99)</f>
        <v>2024.448</v>
      </c>
      <c r="CH99" s="84" t="n">
        <f aca="false">MIN(CB99-CE99,CG99)</f>
        <v>0</v>
      </c>
      <c r="CI99" s="84" t="n">
        <f aca="false">CG99-CH99</f>
        <v>2024.448</v>
      </c>
      <c r="CJ99" s="84" t="n">
        <f aca="false">IF($H99=1,MIN(CB99-CE99-CH99,MAX(0,$F99/(1-$F99)*(BX99+CH99)-BY99)),0)</f>
        <v>0</v>
      </c>
      <c r="CK99" s="84" t="n">
        <f aca="false">CB99-CE99-CH99-CJ99</f>
        <v>0</v>
      </c>
      <c r="CL99" s="84" t="n">
        <f aca="false">CE99+CH99+(1-$F99)*CK99</f>
        <v>0</v>
      </c>
      <c r="CM99" s="84" t="n">
        <f aca="false">CJ99+$F99*CK99</f>
        <v>0</v>
      </c>
      <c r="CN99" s="84" t="n">
        <f aca="false">BX99+CH99+(1-$F99)*CK99</f>
        <v>0</v>
      </c>
      <c r="CO99" s="84" t="n">
        <f aca="false">BY99+CM99</f>
        <v>0</v>
      </c>
      <c r="CP99" s="133" t="n">
        <f aca="false">CC99+$D99*Inputs!$F$13-$D99*$E99</f>
        <v>18898.03008</v>
      </c>
      <c r="CQ99" s="84" t="n">
        <f aca="false">CP99*(1+$I99)</f>
        <v>21921.7148928</v>
      </c>
      <c r="CR99" s="133" t="n">
        <f aca="false">CQ99*Inputs!$F$14</f>
        <v>0</v>
      </c>
      <c r="CS99" s="84" t="n">
        <f aca="false">CQ99-CR99</f>
        <v>21921.7148928</v>
      </c>
      <c r="CT99" s="133" t="n">
        <f aca="false">CF99+$D99*Inputs!$F$13</f>
        <v>16000</v>
      </c>
      <c r="CU99" s="84" t="n">
        <f aca="false">MIN(CR99,CT99)</f>
        <v>0</v>
      </c>
      <c r="CV99" s="84" t="n">
        <f aca="false">CT99-CU99</f>
        <v>16000</v>
      </c>
      <c r="CW99" s="84" t="n">
        <f aca="false">CI99+$G99*(CT99+CI99)</f>
        <v>3466.40384</v>
      </c>
      <c r="CX99" s="84" t="n">
        <f aca="false">MIN(CR99-CU99,CW99)</f>
        <v>0</v>
      </c>
      <c r="CY99" s="84" t="n">
        <f aca="false">CW99-CX99</f>
        <v>3466.40384</v>
      </c>
      <c r="CZ99" s="84" t="n">
        <f aca="false">IF($H99=1,MIN(CR99-CU99-CX99,MAX(0,$F99/(1-$F99)*(CN99+CX99)-CO99)),0)</f>
        <v>0</v>
      </c>
      <c r="DA99" s="84" t="n">
        <f aca="false">CR99-CU99-CX99-CZ99</f>
        <v>0</v>
      </c>
      <c r="DB99" s="84" t="n">
        <f aca="false">CU99+CX99+(1-$F99)*DA99</f>
        <v>0</v>
      </c>
      <c r="DC99" s="84" t="n">
        <f aca="false">CZ99+$F99*DA99</f>
        <v>0</v>
      </c>
      <c r="DD99" s="84" t="n">
        <f aca="false">CN99+CX99+(1-$F99)*DA99</f>
        <v>0</v>
      </c>
      <c r="DE99" s="84" t="n">
        <f aca="false">CO99+DC99</f>
        <v>0</v>
      </c>
      <c r="DF99" s="133" t="n">
        <f aca="false">CS99+$D99*Inputs!$G$13-$D99*$E99</f>
        <v>25651.7148928</v>
      </c>
      <c r="DG99" s="84" t="n">
        <f aca="false">DF99*(1+$I99)</f>
        <v>29755.989275648</v>
      </c>
      <c r="DH99" s="133" t="n">
        <f aca="false">DG99*Inputs!$G$14</f>
        <v>5951.1978551296</v>
      </c>
      <c r="DI99" s="84" t="n">
        <f aca="false">DG99-DH99</f>
        <v>23804.7914205184</v>
      </c>
      <c r="DJ99" s="133" t="n">
        <f aca="false">CV99+$D99*Inputs!$G$13</f>
        <v>20000</v>
      </c>
      <c r="DK99" s="84" t="n">
        <f aca="false">MIN(DH99,DJ99)</f>
        <v>5951.1978551296</v>
      </c>
      <c r="DL99" s="84" t="n">
        <f aca="false">DJ99-DK99</f>
        <v>14048.8021448704</v>
      </c>
      <c r="DM99" s="84" t="n">
        <f aca="false">CY99+$G99*(DJ99+CY99)</f>
        <v>5343.7161472</v>
      </c>
      <c r="DN99" s="84" t="n">
        <f aca="false">MIN(DH99-DK99,DM99)</f>
        <v>0</v>
      </c>
      <c r="DO99" s="84" t="n">
        <f aca="false">DM99-DN99</f>
        <v>5343.7161472</v>
      </c>
      <c r="DP99" s="84" t="n">
        <f aca="false">IF($H99=1,MIN(DH99-DK99-DN99,MAX(0,$F99/(1-$F99)*(DD99+DN99)-DE99)),0)</f>
        <v>0</v>
      </c>
      <c r="DQ99" s="84" t="n">
        <f aca="false">DH99-DK99-DN99-DP99</f>
        <v>0</v>
      </c>
      <c r="DR99" s="84" t="n">
        <f aca="false">DK99+DN99+(1-$F99)*DQ99</f>
        <v>5951.1978551296</v>
      </c>
      <c r="DS99" s="84" t="n">
        <f aca="false">DP99+$F99*DQ99</f>
        <v>0</v>
      </c>
      <c r="DT99" s="84" t="n">
        <f aca="false">DD99+DN99+(1-$F99)*DQ99</f>
        <v>0</v>
      </c>
      <c r="DU99" s="84" t="n">
        <f aca="false">DE99+DS99</f>
        <v>0</v>
      </c>
      <c r="DV99" s="133" t="n">
        <f aca="false">DI99+$D99*Inputs!$H$13-$D99*$E99</f>
        <v>23534.7914205184</v>
      </c>
      <c r="DW99" s="84" t="n">
        <f aca="false">DV99*(1+$I99)</f>
        <v>27300.3580478013</v>
      </c>
      <c r="DX99" s="133" t="n">
        <f aca="false">DW99*Inputs!$H$14</f>
        <v>5460.07160956027</v>
      </c>
      <c r="DY99" s="84" t="n">
        <f aca="false">DW99-DX99</f>
        <v>21840.2864382411</v>
      </c>
      <c r="DZ99" s="133" t="n">
        <f aca="false">DL99+$D99*Inputs!$H$13</f>
        <v>14048.8021448704</v>
      </c>
      <c r="EA99" s="84" t="n">
        <f aca="false">MIN(DX99,DZ99)</f>
        <v>5460.07160956027</v>
      </c>
      <c r="EB99" s="84" t="n">
        <f aca="false">DZ99-EA99</f>
        <v>8588.73053531014</v>
      </c>
      <c r="EC99" s="84" t="n">
        <f aca="false">DO99+$G99*(DZ99+DO99)</f>
        <v>6895.11761056563</v>
      </c>
      <c r="ED99" s="84" t="n">
        <f aca="false">MIN(DX99-EA99,EC99)</f>
        <v>0</v>
      </c>
      <c r="EE99" s="84" t="n">
        <f aca="false">EC99-ED99</f>
        <v>6895.11761056563</v>
      </c>
      <c r="EF99" s="84" t="n">
        <f aca="false">IF($H99=1,MIN(DX99-EA99-ED99,MAX(0,$F99/(1-$F99)*(DT99+ED99)-DU99)),0)</f>
        <v>0</v>
      </c>
      <c r="EG99" s="84" t="n">
        <f aca="false">DX99-EA99-ED99-EF99</f>
        <v>0</v>
      </c>
      <c r="EH99" s="84" t="n">
        <f aca="false">EA99+ED99+(1-$F99)*EG99</f>
        <v>5460.07160956027</v>
      </c>
      <c r="EI99" s="84" t="n">
        <f aca="false">EF99+$F99*EG99</f>
        <v>0</v>
      </c>
      <c r="EJ99" s="84" t="n">
        <f aca="false">DT99+ED99+(1-$F99)*EG99</f>
        <v>0</v>
      </c>
      <c r="EK99" s="84" t="n">
        <f aca="false">DU99+EI99</f>
        <v>0</v>
      </c>
      <c r="EL99" s="133" t="n">
        <f aca="false">DY99+$D99*Inputs!$I$13-$D99*$E99</f>
        <v>21570.2864382411</v>
      </c>
      <c r="EM99" s="84" t="n">
        <f aca="false">EL99*(1+$I99)</f>
        <v>25021.5322683596</v>
      </c>
      <c r="EN99" s="133" t="n">
        <f aca="false">EM99*Inputs!$I$14</f>
        <v>5004.30645367193</v>
      </c>
      <c r="EO99" s="84" t="n">
        <f aca="false">EM99-EN99</f>
        <v>20017.2258146877</v>
      </c>
      <c r="EP99" s="133" t="n">
        <f aca="false">EB99+$D99*Inputs!$I$13</f>
        <v>8588.73053531014</v>
      </c>
      <c r="EQ99" s="84" t="n">
        <f aca="false">MIN(EN99,EP99)</f>
        <v>5004.30645367193</v>
      </c>
      <c r="ER99" s="84" t="n">
        <f aca="false">EP99-EQ99</f>
        <v>3584.42408163821</v>
      </c>
      <c r="ES99" s="84" t="n">
        <f aca="false">EE99+$G99*(EP99+EE99)</f>
        <v>8133.82546223569</v>
      </c>
      <c r="ET99" s="84" t="n">
        <f aca="false">MIN(EN99-EQ99,ES99)</f>
        <v>0</v>
      </c>
      <c r="EU99" s="84" t="n">
        <f aca="false">ES99-ET99</f>
        <v>8133.82546223569</v>
      </c>
      <c r="EV99" s="84" t="n">
        <f aca="false">IF($H99=1,MIN(EN99-EQ99-ET99,MAX(0,$F99/(1-$F99)*(EJ99+ET99)-EK99)),0)</f>
        <v>0</v>
      </c>
      <c r="EW99" s="84" t="n">
        <f aca="false">EN99-EQ99-ET99-EV99</f>
        <v>0</v>
      </c>
      <c r="EX99" s="84" t="n">
        <f aca="false">EQ99+ET99+(1-$F99)*EW99</f>
        <v>5004.30645367193</v>
      </c>
      <c r="EY99" s="84" t="n">
        <f aca="false">EV99+$F99*EW99</f>
        <v>0</v>
      </c>
      <c r="EZ99" s="84" t="n">
        <f aca="false">EJ99+ET99+(1-$F99)*EW99</f>
        <v>0</v>
      </c>
      <c r="FA99" s="84" t="n">
        <f aca="false">EK99+EY99</f>
        <v>0</v>
      </c>
      <c r="FB99" s="133" t="n">
        <f aca="false">EO99+$D99*Inputs!$J$13-$D99*$E99</f>
        <v>19747.2258146877</v>
      </c>
      <c r="FC99" s="84" t="n">
        <f aca="false">FB99*(1+$I99)</f>
        <v>22906.7819450377</v>
      </c>
      <c r="FD99" s="133" t="n">
        <f aca="false">FC99*Inputs!$J$14</f>
        <v>4581.35638900755</v>
      </c>
      <c r="FE99" s="84" t="n">
        <f aca="false">FC99-FD99</f>
        <v>18325.4255560302</v>
      </c>
      <c r="FF99" s="133" t="n">
        <f aca="false">ER99+$D99*Inputs!$J$13</f>
        <v>3584.42408163821</v>
      </c>
      <c r="FG99" s="84" t="n">
        <f aca="false">MIN(FD99,FF99)</f>
        <v>3584.42408163821</v>
      </c>
      <c r="FH99" s="84" t="n">
        <f aca="false">FF99-FG99</f>
        <v>0</v>
      </c>
      <c r="FI99" s="84" t="n">
        <f aca="false">EU99+$G99*(FF99+EU99)</f>
        <v>9071.28542574561</v>
      </c>
      <c r="FJ99" s="84" t="n">
        <f aca="false">MIN(FD99-FG99,FI99)</f>
        <v>996.932307369342</v>
      </c>
      <c r="FK99" s="84" t="n">
        <f aca="false">FI99-FJ99</f>
        <v>8074.35311837626</v>
      </c>
      <c r="FL99" s="84" t="n">
        <f aca="false">IF($H99=1,MIN(FD99-FG99-FJ99,MAX(0,$F99/(1-$F99)*(EZ99+FJ99)-FA99)),0)</f>
        <v>0</v>
      </c>
      <c r="FM99" s="84" t="n">
        <f aca="false">FD99-FG99-FJ99-FL99</f>
        <v>0</v>
      </c>
      <c r="FN99" s="84" t="n">
        <f aca="false">FG99+FJ99+(1-$F99)*FM99</f>
        <v>4581.35638900755</v>
      </c>
      <c r="FO99" s="84" t="n">
        <f aca="false">FL99+$F99*FM99</f>
        <v>0</v>
      </c>
      <c r="FP99" s="84" t="n">
        <f aca="false">EZ99+FJ99+(1-$F99)*FM99</f>
        <v>996.932307369342</v>
      </c>
      <c r="FQ99" s="84" t="n">
        <f aca="false">FA99+FO99</f>
        <v>0</v>
      </c>
      <c r="FR99" s="133" t="n">
        <f aca="false">FE99+$D99*Inputs!$K$13-$D99*$E99</f>
        <v>18055.4255560302</v>
      </c>
      <c r="FS99" s="84" t="n">
        <f aca="false">FR99*(1+$I99)</f>
        <v>20944.293644995</v>
      </c>
      <c r="FT99" s="133" t="n">
        <f aca="false">FS99*Inputs!$K$14</f>
        <v>4188.85872899901</v>
      </c>
      <c r="FU99" s="84" t="n">
        <f aca="false">FS99-FT99</f>
        <v>16755.434915996</v>
      </c>
      <c r="FV99" s="133" t="n">
        <f aca="false">FH99+$D99*Inputs!$K$13</f>
        <v>0</v>
      </c>
      <c r="FW99" s="84" t="n">
        <f aca="false">MIN(FT99,FV99)</f>
        <v>0</v>
      </c>
      <c r="FX99" s="84" t="n">
        <f aca="false">FV99-FW99</f>
        <v>0</v>
      </c>
      <c r="FY99" s="84" t="n">
        <f aca="false">FK99+$G99*(FV99+FK99)</f>
        <v>8720.30136784637</v>
      </c>
      <c r="FZ99" s="84" t="n">
        <f aca="false">MIN(FT99-FW99,FY99)</f>
        <v>4188.85872899901</v>
      </c>
      <c r="GA99" s="84" t="n">
        <f aca="false">FY99-FZ99</f>
        <v>4531.44263884736</v>
      </c>
      <c r="GB99" s="84" t="n">
        <f aca="false">IF($H99=1,MIN(FT99-FW99-FZ99,MAX(0,$F99/(1-$F99)*(FP99+FZ99)-FQ99)),0)</f>
        <v>0</v>
      </c>
      <c r="GC99" s="84" t="n">
        <f aca="false">FT99-FW99-FZ99-GB99</f>
        <v>0</v>
      </c>
      <c r="GD99" s="84" t="n">
        <f aca="false">FW99+FZ99+(1-$F99)*GC99</f>
        <v>4188.85872899901</v>
      </c>
      <c r="GE99" s="84" t="n">
        <f aca="false">GB99+$F99*GC99</f>
        <v>0</v>
      </c>
      <c r="GF99" s="84" t="n">
        <f aca="false">FP99+FZ99+(1-$F99)*GC99</f>
        <v>5185.79103636835</v>
      </c>
      <c r="GG99" s="84" t="n">
        <f aca="false">FQ99+GE99</f>
        <v>0</v>
      </c>
      <c r="GH99" s="133" t="n">
        <f aca="false">FU99+$D99*Inputs!$L$13-$D99*$E99</f>
        <v>16485.434915996</v>
      </c>
      <c r="GI99" s="84" t="n">
        <f aca="false">GH99*(1+$I99)</f>
        <v>19123.1045025554</v>
      </c>
      <c r="GJ99" s="133" t="n">
        <f aca="false">GI99*Inputs!$L$14</f>
        <v>19123.1045025554</v>
      </c>
      <c r="GK99" s="84" t="n">
        <f aca="false">GI99-GJ99</f>
        <v>0</v>
      </c>
      <c r="GL99" s="133" t="n">
        <f aca="false">FX99+$D99*Inputs!$L$13</f>
        <v>0</v>
      </c>
      <c r="GM99" s="84" t="n">
        <f aca="false">MIN(GJ99,GL99)</f>
        <v>0</v>
      </c>
      <c r="GN99" s="84" t="n">
        <f aca="false">GL99-GM99</f>
        <v>0</v>
      </c>
      <c r="GO99" s="84" t="n">
        <f aca="false">GA99+$G99*(GL99+GA99)</f>
        <v>4893.95804995515</v>
      </c>
      <c r="GP99" s="84" t="n">
        <f aca="false">MIN(GJ99-GM99,GO99)</f>
        <v>4893.95804995515</v>
      </c>
      <c r="GQ99" s="84" t="n">
        <f aca="false">GO99-GP99</f>
        <v>0</v>
      </c>
      <c r="GR99" s="84" t="n">
        <f aca="false">IF($H99=1,MIN(GJ99-GM99-GP99,MAX(0,$F99/(1-$F99)*(GF99+GP99)-GG99)),0)</f>
        <v>0</v>
      </c>
      <c r="GS99" s="84" t="n">
        <f aca="false">GJ99-GM99-GP99-GR99</f>
        <v>14229.1464526002</v>
      </c>
      <c r="GT99" s="84" t="n">
        <f aca="false">GM99+GP99+(1-$F99)*GS99</f>
        <v>16277.2752120353</v>
      </c>
      <c r="GU99" s="84" t="n">
        <f aca="false">GR99+$F99*GS99</f>
        <v>2845.82929052005</v>
      </c>
      <c r="GV99" s="84" t="n">
        <f aca="false">GF99+GP99+(1-$F99)*GS99</f>
        <v>21463.0662484037</v>
      </c>
      <c r="GW99" s="84" t="n">
        <f aca="false">GG99+GU99</f>
        <v>2845.82929052005</v>
      </c>
    </row>
    <row r="100" customFormat="false" ht="15" hidden="false" customHeight="false" outlineLevel="0" collapsed="false">
      <c r="A100" s="5" t="s">
        <v>639</v>
      </c>
      <c r="B100" s="5" t="s">
        <v>427</v>
      </c>
      <c r="C100" s="135" t="n">
        <v>17</v>
      </c>
      <c r="D100" s="47" t="n">
        <f aca="false">Inputs!$C$6</f>
        <v>20000</v>
      </c>
      <c r="E100" s="35" t="n">
        <f aca="false">Inputs!$C$19</f>
        <v>0.0135</v>
      </c>
      <c r="F100" s="36" t="n">
        <f aca="false">Inputs!$C$20</f>
        <v>0.2</v>
      </c>
      <c r="G100" s="36" t="n">
        <f aca="false">Inputs!$C$22</f>
        <v>0.08</v>
      </c>
      <c r="H100" s="27" t="n">
        <v>0</v>
      </c>
      <c r="I100" s="132" t="n">
        <f aca="false">Inputs!$C$38+$C100*Inputs!$C$39</f>
        <v>0.17</v>
      </c>
      <c r="J100" s="36" t="n">
        <f aca="false">Inputs!$C$9</f>
        <v>0.15</v>
      </c>
      <c r="K100" s="89" t="n">
        <f aca="false">IRR(W100:AG100,0.1)</f>
        <v>0.138827491895351</v>
      </c>
      <c r="L100" s="45" t="n">
        <f aca="false">W100+NPV($J100,X100:AG100)</f>
        <v>-857.032398290169</v>
      </c>
      <c r="M100" s="45" t="n">
        <f aca="false">SUM(BF100,BV100,CL100,DB100,DR100,EH100,EX100,FN100,GD100,GT100)</f>
        <v>43515.9224301872</v>
      </c>
      <c r="N100" s="43" t="n">
        <f aca="false">IF($D100*SUM(Inputs!$C$13:$L$13)=0,0,M100/($D100*SUM(Inputs!$C$13:$L$13)))</f>
        <v>2.17579612150936</v>
      </c>
      <c r="O100" s="42" t="n">
        <f aca="false">$D100*$E100*COLUMNS(Inputs!$C$13:$L$13)</f>
        <v>2700</v>
      </c>
      <c r="P100" s="45" t="n">
        <f aca="false">SUM(BG100,BW100,CM100,DC100,DS100,EI100,EY100,FO100,GE100,GU100)</f>
        <v>3429.68249763069</v>
      </c>
      <c r="Q100" s="42" t="n">
        <f aca="false">PV($J100,COLUMNS(Inputs!$C$13:$L$13),-$D100*$E100,0,1)</f>
        <v>1558.32765832774</v>
      </c>
      <c r="R100" s="45" t="n">
        <f aca="false">NPV($J100,BG100,BW100,CM100,DC100,DS100,EI100,EY100,FO100,GE100,GU100)</f>
        <v>847.76506026815</v>
      </c>
      <c r="S100" s="45" t="n">
        <f aca="false">Q100+R100</f>
        <v>2406.09271859589</v>
      </c>
      <c r="T100" s="32" t="n">
        <f aca="false">IF(S100=0,0,Q100/S100)</f>
        <v>0.647659022565483</v>
      </c>
      <c r="U100" s="45" t="n">
        <f aca="false">ROUND(ABS(GK100)+ABS(SUM(AV100,BL100,CB100,CR100,DH100,DX100,EN100,FD100,FT100,GJ100)-M100-P100)+ABS(S100-(AH100+NPV($J100,AI100:AR100))),6)</f>
        <v>0</v>
      </c>
      <c r="W100" s="133" t="n">
        <f aca="false">-$D100*Inputs!$C$13</f>
        <v>-4000</v>
      </c>
      <c r="X100" s="133" t="n">
        <f aca="false">BF100-$D100*Inputs!$D$13</f>
        <v>-4000</v>
      </c>
      <c r="Y100" s="133" t="n">
        <f aca="false">BV100-$D100*Inputs!$E$13</f>
        <v>-4000</v>
      </c>
      <c r="Z100" s="133" t="n">
        <f aca="false">CL100-$D100*Inputs!$F$13</f>
        <v>-4000</v>
      </c>
      <c r="AA100" s="133" t="n">
        <f aca="false">DB100-$D100*Inputs!$G$13</f>
        <v>-4000</v>
      </c>
      <c r="AB100" s="133" t="n">
        <f aca="false">DR100-$D100*Inputs!$H$13</f>
        <v>6122.3087912922</v>
      </c>
      <c r="AC100" s="133" t="n">
        <f aca="false">EH100-$D100*Inputs!$I$13</f>
        <v>5667.3010286495</v>
      </c>
      <c r="AD100" s="133" t="n">
        <f aca="false">EX100-$D100*Inputs!$J$13</f>
        <v>5241.41376281593</v>
      </c>
      <c r="AE100" s="133" t="n">
        <f aca="false">FN100-$D100*Inputs!$K$13</f>
        <v>4842.78328199571</v>
      </c>
      <c r="AF100" s="133" t="n">
        <f aca="false">GD100-$D100*Inputs!$L$13</f>
        <v>4469.66515194798</v>
      </c>
      <c r="AG100" s="84" t="n">
        <f aca="false">GT100</f>
        <v>17172.4504134859</v>
      </c>
      <c r="AH100" s="84" t="n">
        <f aca="false">$D100*$E100</f>
        <v>270</v>
      </c>
      <c r="AI100" s="84" t="n">
        <f aca="false">BG100+$D100*$E100</f>
        <v>270</v>
      </c>
      <c r="AJ100" s="84" t="n">
        <f aca="false">BW100+$D100*$E100</f>
        <v>270</v>
      </c>
      <c r="AK100" s="84" t="n">
        <f aca="false">CM100+$D100*$E100</f>
        <v>270</v>
      </c>
      <c r="AL100" s="84" t="n">
        <f aca="false">DC100+$D100*$E100</f>
        <v>270</v>
      </c>
      <c r="AM100" s="84" t="n">
        <f aca="false">DS100+$D100*$E100</f>
        <v>270</v>
      </c>
      <c r="AN100" s="84" t="n">
        <f aca="false">EI100+$D100*$E100</f>
        <v>270</v>
      </c>
      <c r="AO100" s="84" t="n">
        <f aca="false">EY100+$D100*$E100</f>
        <v>270</v>
      </c>
      <c r="AP100" s="84" t="n">
        <f aca="false">FO100+$D100*$E100</f>
        <v>270</v>
      </c>
      <c r="AQ100" s="84" t="n">
        <f aca="false">GE100+$D100*$E100</f>
        <v>270</v>
      </c>
      <c r="AR100" s="84" t="n">
        <f aca="false">GU100</f>
        <v>3429.68249763069</v>
      </c>
      <c r="AT100" s="133" t="n">
        <f aca="false">$D100*Inputs!$C$13-$D100*$E100</f>
        <v>3730</v>
      </c>
      <c r="AU100" s="84" t="n">
        <f aca="false">AT100*(1+$I100)</f>
        <v>4364.1</v>
      </c>
      <c r="AV100" s="133" t="n">
        <f aca="false">AU100*Inputs!$C$14</f>
        <v>0</v>
      </c>
      <c r="AW100" s="84" t="n">
        <f aca="false">AU100-AV100</f>
        <v>4364.1</v>
      </c>
      <c r="AX100" s="133" t="n">
        <f aca="false">$D100*Inputs!$C$13</f>
        <v>4000</v>
      </c>
      <c r="AY100" s="84" t="n">
        <f aca="false">MIN(AV100,AX100)</f>
        <v>0</v>
      </c>
      <c r="AZ100" s="84" t="n">
        <f aca="false">AX100-AY100</f>
        <v>4000</v>
      </c>
      <c r="BA100" s="84" t="n">
        <f aca="false">$G100*AX100</f>
        <v>320</v>
      </c>
      <c r="BB100" s="84" t="n">
        <f aca="false">MIN(AV100-AY100,BA100)</f>
        <v>0</v>
      </c>
      <c r="BC100" s="84" t="n">
        <f aca="false">BA100-BB100</f>
        <v>320</v>
      </c>
      <c r="BD100" s="84" t="n">
        <f aca="false">IF($H100=1,MIN(AV100-AY100-BB100,MAX(0,$F100/(1-$F100)*BB100)),0)</f>
        <v>0</v>
      </c>
      <c r="BE100" s="84" t="n">
        <f aca="false">AV100-AY100-BB100-BD100</f>
        <v>0</v>
      </c>
      <c r="BF100" s="84" t="n">
        <f aca="false">AY100+BB100+(1-$F100)*BE100</f>
        <v>0</v>
      </c>
      <c r="BG100" s="84" t="n">
        <f aca="false">BD100+$F100*BE100</f>
        <v>0</v>
      </c>
      <c r="BH100" s="84" t="n">
        <f aca="false">BB100+(1-$F100)*BE100</f>
        <v>0</v>
      </c>
      <c r="BI100" s="84" t="n">
        <f aca="false">BG100</f>
        <v>0</v>
      </c>
      <c r="BJ100" s="133" t="n">
        <f aca="false">AW100+$D100*Inputs!$D$13-$D100*$E100</f>
        <v>8094.1</v>
      </c>
      <c r="BK100" s="84" t="n">
        <f aca="false">BJ100*(1+$I100)</f>
        <v>9470.097</v>
      </c>
      <c r="BL100" s="133" t="n">
        <f aca="false">BK100*Inputs!$D$14</f>
        <v>0</v>
      </c>
      <c r="BM100" s="84" t="n">
        <f aca="false">BK100-BL100</f>
        <v>9470.097</v>
      </c>
      <c r="BN100" s="133" t="n">
        <f aca="false">AZ100+$D100*Inputs!$D$13</f>
        <v>8000</v>
      </c>
      <c r="BO100" s="84" t="n">
        <f aca="false">MIN(BL100,BN100)</f>
        <v>0</v>
      </c>
      <c r="BP100" s="84" t="n">
        <f aca="false">BN100-BO100</f>
        <v>8000</v>
      </c>
      <c r="BQ100" s="84" t="n">
        <f aca="false">BC100+$G100*(BN100+BC100)</f>
        <v>985.6</v>
      </c>
      <c r="BR100" s="84" t="n">
        <f aca="false">MIN(BL100-BO100,BQ100)</f>
        <v>0</v>
      </c>
      <c r="BS100" s="84" t="n">
        <f aca="false">BQ100-BR100</f>
        <v>985.6</v>
      </c>
      <c r="BT100" s="84" t="n">
        <f aca="false">IF($H100=1,MIN(BL100-BO100-BR100,MAX(0,$F100/(1-$F100)*(BH100+BR100)-BI100)),0)</f>
        <v>0</v>
      </c>
      <c r="BU100" s="84" t="n">
        <f aca="false">BL100-BO100-BR100-BT100</f>
        <v>0</v>
      </c>
      <c r="BV100" s="84" t="n">
        <f aca="false">BO100+BR100+(1-$F100)*BU100</f>
        <v>0</v>
      </c>
      <c r="BW100" s="84" t="n">
        <f aca="false">BT100+$F100*BU100</f>
        <v>0</v>
      </c>
      <c r="BX100" s="84" t="n">
        <f aca="false">BH100+BR100+(1-$F100)*BU100</f>
        <v>0</v>
      </c>
      <c r="BY100" s="84" t="n">
        <f aca="false">BI100+BW100</f>
        <v>0</v>
      </c>
      <c r="BZ100" s="133" t="n">
        <f aca="false">BM100+$D100*Inputs!$E$13-$D100*$E100</f>
        <v>13200.097</v>
      </c>
      <c r="CA100" s="84" t="n">
        <f aca="false">BZ100*(1+$I100)</f>
        <v>15444.11349</v>
      </c>
      <c r="CB100" s="133" t="n">
        <f aca="false">CA100*Inputs!$E$14</f>
        <v>0</v>
      </c>
      <c r="CC100" s="84" t="n">
        <f aca="false">CA100-CB100</f>
        <v>15444.11349</v>
      </c>
      <c r="CD100" s="133" t="n">
        <f aca="false">BP100+$D100*Inputs!$E$13</f>
        <v>12000</v>
      </c>
      <c r="CE100" s="84" t="n">
        <f aca="false">MIN(CB100,CD100)</f>
        <v>0</v>
      </c>
      <c r="CF100" s="84" t="n">
        <f aca="false">CD100-CE100</f>
        <v>12000</v>
      </c>
      <c r="CG100" s="84" t="n">
        <f aca="false">BS100+$G100*(CD100+BS100)</f>
        <v>2024.448</v>
      </c>
      <c r="CH100" s="84" t="n">
        <f aca="false">MIN(CB100-CE100,CG100)</f>
        <v>0</v>
      </c>
      <c r="CI100" s="84" t="n">
        <f aca="false">CG100-CH100</f>
        <v>2024.448</v>
      </c>
      <c r="CJ100" s="84" t="n">
        <f aca="false">IF($H100=1,MIN(CB100-CE100-CH100,MAX(0,$F100/(1-$F100)*(BX100+CH100)-BY100)),0)</f>
        <v>0</v>
      </c>
      <c r="CK100" s="84" t="n">
        <f aca="false">CB100-CE100-CH100-CJ100</f>
        <v>0</v>
      </c>
      <c r="CL100" s="84" t="n">
        <f aca="false">CE100+CH100+(1-$F100)*CK100</f>
        <v>0</v>
      </c>
      <c r="CM100" s="84" t="n">
        <f aca="false">CJ100+$F100*CK100</f>
        <v>0</v>
      </c>
      <c r="CN100" s="84" t="n">
        <f aca="false">BX100+CH100+(1-$F100)*CK100</f>
        <v>0</v>
      </c>
      <c r="CO100" s="84" t="n">
        <f aca="false">BY100+CM100</f>
        <v>0</v>
      </c>
      <c r="CP100" s="133" t="n">
        <f aca="false">CC100+$D100*Inputs!$F$13-$D100*$E100</f>
        <v>19174.11349</v>
      </c>
      <c r="CQ100" s="84" t="n">
        <f aca="false">CP100*(1+$I100)</f>
        <v>22433.7127833</v>
      </c>
      <c r="CR100" s="133" t="n">
        <f aca="false">CQ100*Inputs!$F$14</f>
        <v>0</v>
      </c>
      <c r="CS100" s="84" t="n">
        <f aca="false">CQ100-CR100</f>
        <v>22433.7127833</v>
      </c>
      <c r="CT100" s="133" t="n">
        <f aca="false">CF100+$D100*Inputs!$F$13</f>
        <v>16000</v>
      </c>
      <c r="CU100" s="84" t="n">
        <f aca="false">MIN(CR100,CT100)</f>
        <v>0</v>
      </c>
      <c r="CV100" s="84" t="n">
        <f aca="false">CT100-CU100</f>
        <v>16000</v>
      </c>
      <c r="CW100" s="84" t="n">
        <f aca="false">CI100+$G100*(CT100+CI100)</f>
        <v>3466.40384</v>
      </c>
      <c r="CX100" s="84" t="n">
        <f aca="false">MIN(CR100-CU100,CW100)</f>
        <v>0</v>
      </c>
      <c r="CY100" s="84" t="n">
        <f aca="false">CW100-CX100</f>
        <v>3466.40384</v>
      </c>
      <c r="CZ100" s="84" t="n">
        <f aca="false">IF($H100=1,MIN(CR100-CU100-CX100,MAX(0,$F100/(1-$F100)*(CN100+CX100)-CO100)),0)</f>
        <v>0</v>
      </c>
      <c r="DA100" s="84" t="n">
        <f aca="false">CR100-CU100-CX100-CZ100</f>
        <v>0</v>
      </c>
      <c r="DB100" s="84" t="n">
        <f aca="false">CU100+CX100+(1-$F100)*DA100</f>
        <v>0</v>
      </c>
      <c r="DC100" s="84" t="n">
        <f aca="false">CZ100+$F100*DA100</f>
        <v>0</v>
      </c>
      <c r="DD100" s="84" t="n">
        <f aca="false">CN100+CX100+(1-$F100)*DA100</f>
        <v>0</v>
      </c>
      <c r="DE100" s="84" t="n">
        <f aca="false">CO100+DC100</f>
        <v>0</v>
      </c>
      <c r="DF100" s="133" t="n">
        <f aca="false">CS100+$D100*Inputs!$G$13-$D100*$E100</f>
        <v>26163.7127833</v>
      </c>
      <c r="DG100" s="84" t="n">
        <f aca="false">DF100*(1+$I100)</f>
        <v>30611.543956461</v>
      </c>
      <c r="DH100" s="133" t="n">
        <f aca="false">DG100*Inputs!$G$14</f>
        <v>6122.3087912922</v>
      </c>
      <c r="DI100" s="84" t="n">
        <f aca="false">DG100-DH100</f>
        <v>24489.2351651688</v>
      </c>
      <c r="DJ100" s="133" t="n">
        <f aca="false">CV100+$D100*Inputs!$G$13</f>
        <v>20000</v>
      </c>
      <c r="DK100" s="84" t="n">
        <f aca="false">MIN(DH100,DJ100)</f>
        <v>6122.3087912922</v>
      </c>
      <c r="DL100" s="84" t="n">
        <f aca="false">DJ100-DK100</f>
        <v>13877.6912087078</v>
      </c>
      <c r="DM100" s="84" t="n">
        <f aca="false">CY100+$G100*(DJ100+CY100)</f>
        <v>5343.7161472</v>
      </c>
      <c r="DN100" s="84" t="n">
        <f aca="false">MIN(DH100-DK100,DM100)</f>
        <v>0</v>
      </c>
      <c r="DO100" s="84" t="n">
        <f aca="false">DM100-DN100</f>
        <v>5343.7161472</v>
      </c>
      <c r="DP100" s="84" t="n">
        <f aca="false">IF($H100=1,MIN(DH100-DK100-DN100,MAX(0,$F100/(1-$F100)*(DD100+DN100)-DE100)),0)</f>
        <v>0</v>
      </c>
      <c r="DQ100" s="84" t="n">
        <f aca="false">DH100-DK100-DN100-DP100</f>
        <v>0</v>
      </c>
      <c r="DR100" s="84" t="n">
        <f aca="false">DK100+DN100+(1-$F100)*DQ100</f>
        <v>6122.3087912922</v>
      </c>
      <c r="DS100" s="84" t="n">
        <f aca="false">DP100+$F100*DQ100</f>
        <v>0</v>
      </c>
      <c r="DT100" s="84" t="n">
        <f aca="false">DD100+DN100+(1-$F100)*DQ100</f>
        <v>0</v>
      </c>
      <c r="DU100" s="84" t="n">
        <f aca="false">DE100+DS100</f>
        <v>0</v>
      </c>
      <c r="DV100" s="133" t="n">
        <f aca="false">DI100+$D100*Inputs!$H$13-$D100*$E100</f>
        <v>24219.2351651688</v>
      </c>
      <c r="DW100" s="84" t="n">
        <f aca="false">DV100*(1+$I100)</f>
        <v>28336.5051432475</v>
      </c>
      <c r="DX100" s="133" t="n">
        <f aca="false">DW100*Inputs!$H$14</f>
        <v>5667.3010286495</v>
      </c>
      <c r="DY100" s="84" t="n">
        <f aca="false">DW100-DX100</f>
        <v>22669.204114598</v>
      </c>
      <c r="DZ100" s="133" t="n">
        <f aca="false">DL100+$D100*Inputs!$H$13</f>
        <v>13877.6912087078</v>
      </c>
      <c r="EA100" s="84" t="n">
        <f aca="false">MIN(DX100,DZ100)</f>
        <v>5667.3010286495</v>
      </c>
      <c r="EB100" s="84" t="n">
        <f aca="false">DZ100-EA100</f>
        <v>8210.3901800583</v>
      </c>
      <c r="EC100" s="84" t="n">
        <f aca="false">DO100+$G100*(DZ100+DO100)</f>
        <v>6881.42873567262</v>
      </c>
      <c r="ED100" s="84" t="n">
        <f aca="false">MIN(DX100-EA100,EC100)</f>
        <v>0</v>
      </c>
      <c r="EE100" s="84" t="n">
        <f aca="false">EC100-ED100</f>
        <v>6881.42873567262</v>
      </c>
      <c r="EF100" s="84" t="n">
        <f aca="false">IF($H100=1,MIN(DX100-EA100-ED100,MAX(0,$F100/(1-$F100)*(DT100+ED100)-DU100)),0)</f>
        <v>0</v>
      </c>
      <c r="EG100" s="84" t="n">
        <f aca="false">DX100-EA100-ED100-EF100</f>
        <v>0</v>
      </c>
      <c r="EH100" s="84" t="n">
        <f aca="false">EA100+ED100+(1-$F100)*EG100</f>
        <v>5667.3010286495</v>
      </c>
      <c r="EI100" s="84" t="n">
        <f aca="false">EF100+$F100*EG100</f>
        <v>0</v>
      </c>
      <c r="EJ100" s="84" t="n">
        <f aca="false">DT100+ED100+(1-$F100)*EG100</f>
        <v>0</v>
      </c>
      <c r="EK100" s="84" t="n">
        <f aca="false">DU100+EI100</f>
        <v>0</v>
      </c>
      <c r="EL100" s="133" t="n">
        <f aca="false">DY100+$D100*Inputs!$I$13-$D100*$E100</f>
        <v>22399.204114598</v>
      </c>
      <c r="EM100" s="84" t="n">
        <f aca="false">EL100*(1+$I100)</f>
        <v>26207.0688140796</v>
      </c>
      <c r="EN100" s="133" t="n">
        <f aca="false">EM100*Inputs!$I$14</f>
        <v>5241.41376281593</v>
      </c>
      <c r="EO100" s="84" t="n">
        <f aca="false">EM100-EN100</f>
        <v>20965.6550512637</v>
      </c>
      <c r="EP100" s="133" t="n">
        <f aca="false">EB100+$D100*Inputs!$I$13</f>
        <v>8210.3901800583</v>
      </c>
      <c r="EQ100" s="84" t="n">
        <f aca="false">MIN(EN100,EP100)</f>
        <v>5241.41376281593</v>
      </c>
      <c r="ER100" s="84" t="n">
        <f aca="false">EP100-EQ100</f>
        <v>2968.97641724237</v>
      </c>
      <c r="ES100" s="84" t="n">
        <f aca="false">EE100+$G100*(EP100+EE100)</f>
        <v>8088.7742489311</v>
      </c>
      <c r="ET100" s="84" t="n">
        <f aca="false">MIN(EN100-EQ100,ES100)</f>
        <v>0</v>
      </c>
      <c r="EU100" s="84" t="n">
        <f aca="false">ES100-ET100</f>
        <v>8088.7742489311</v>
      </c>
      <c r="EV100" s="84" t="n">
        <f aca="false">IF($H100=1,MIN(EN100-EQ100-ET100,MAX(0,$F100/(1-$F100)*(EJ100+ET100)-EK100)),0)</f>
        <v>0</v>
      </c>
      <c r="EW100" s="84" t="n">
        <f aca="false">EN100-EQ100-ET100-EV100</f>
        <v>0</v>
      </c>
      <c r="EX100" s="84" t="n">
        <f aca="false">EQ100+ET100+(1-$F100)*EW100</f>
        <v>5241.41376281593</v>
      </c>
      <c r="EY100" s="84" t="n">
        <f aca="false">EV100+$F100*EW100</f>
        <v>0</v>
      </c>
      <c r="EZ100" s="84" t="n">
        <f aca="false">EJ100+ET100+(1-$F100)*EW100</f>
        <v>0</v>
      </c>
      <c r="FA100" s="84" t="n">
        <f aca="false">EK100+EY100</f>
        <v>0</v>
      </c>
      <c r="FB100" s="133" t="n">
        <f aca="false">EO100+$D100*Inputs!$J$13-$D100*$E100</f>
        <v>20695.6550512637</v>
      </c>
      <c r="FC100" s="84" t="n">
        <f aca="false">FB100*(1+$I100)</f>
        <v>24213.9164099785</v>
      </c>
      <c r="FD100" s="133" t="n">
        <f aca="false">FC100*Inputs!$J$14</f>
        <v>4842.78328199571</v>
      </c>
      <c r="FE100" s="84" t="n">
        <f aca="false">FC100-FD100</f>
        <v>19371.1331279828</v>
      </c>
      <c r="FF100" s="133" t="n">
        <f aca="false">ER100+$D100*Inputs!$J$13</f>
        <v>2968.97641724237</v>
      </c>
      <c r="FG100" s="84" t="n">
        <f aca="false">MIN(FD100,FF100)</f>
        <v>2968.97641724237</v>
      </c>
      <c r="FH100" s="84" t="n">
        <f aca="false">FF100-FG100</f>
        <v>0</v>
      </c>
      <c r="FI100" s="84" t="n">
        <f aca="false">EU100+$G100*(FF100+EU100)</f>
        <v>8973.39430222498</v>
      </c>
      <c r="FJ100" s="84" t="n">
        <f aca="false">MIN(FD100-FG100,FI100)</f>
        <v>1873.80686475333</v>
      </c>
      <c r="FK100" s="84" t="n">
        <f aca="false">FI100-FJ100</f>
        <v>7099.58743747164</v>
      </c>
      <c r="FL100" s="84" t="n">
        <f aca="false">IF($H100=1,MIN(FD100-FG100-FJ100,MAX(0,$F100/(1-$F100)*(EZ100+FJ100)-FA100)),0)</f>
        <v>0</v>
      </c>
      <c r="FM100" s="84" t="n">
        <f aca="false">FD100-FG100-FJ100-FL100</f>
        <v>0</v>
      </c>
      <c r="FN100" s="84" t="n">
        <f aca="false">FG100+FJ100+(1-$F100)*FM100</f>
        <v>4842.78328199571</v>
      </c>
      <c r="FO100" s="84" t="n">
        <f aca="false">FL100+$F100*FM100</f>
        <v>0</v>
      </c>
      <c r="FP100" s="84" t="n">
        <f aca="false">EZ100+FJ100+(1-$F100)*FM100</f>
        <v>1873.80686475333</v>
      </c>
      <c r="FQ100" s="84" t="n">
        <f aca="false">FA100+FO100</f>
        <v>0</v>
      </c>
      <c r="FR100" s="133" t="n">
        <f aca="false">FE100+$D100*Inputs!$K$13-$D100*$E100</f>
        <v>19101.1331279828</v>
      </c>
      <c r="FS100" s="84" t="n">
        <f aca="false">FR100*(1+$I100)</f>
        <v>22348.3257597399</v>
      </c>
      <c r="FT100" s="133" t="n">
        <f aca="false">FS100*Inputs!$K$14</f>
        <v>4469.66515194798</v>
      </c>
      <c r="FU100" s="84" t="n">
        <f aca="false">FS100-FT100</f>
        <v>17878.6606077919</v>
      </c>
      <c r="FV100" s="133" t="n">
        <f aca="false">FH100+$D100*Inputs!$K$13</f>
        <v>0</v>
      </c>
      <c r="FW100" s="84" t="n">
        <f aca="false">MIN(FT100,FV100)</f>
        <v>0</v>
      </c>
      <c r="FX100" s="84" t="n">
        <f aca="false">FV100-FW100</f>
        <v>0</v>
      </c>
      <c r="FY100" s="84" t="n">
        <f aca="false">FK100+$G100*(FV100+FK100)</f>
        <v>7667.55443246937</v>
      </c>
      <c r="FZ100" s="84" t="n">
        <f aca="false">MIN(FT100-FW100,FY100)</f>
        <v>4469.66515194798</v>
      </c>
      <c r="GA100" s="84" t="n">
        <f aca="false">FY100-FZ100</f>
        <v>3197.88928052139</v>
      </c>
      <c r="GB100" s="84" t="n">
        <f aca="false">IF($H100=1,MIN(FT100-FW100-FZ100,MAX(0,$F100/(1-$F100)*(FP100+FZ100)-FQ100)),0)</f>
        <v>0</v>
      </c>
      <c r="GC100" s="84" t="n">
        <f aca="false">FT100-FW100-FZ100-GB100</f>
        <v>0</v>
      </c>
      <c r="GD100" s="84" t="n">
        <f aca="false">FW100+FZ100+(1-$F100)*GC100</f>
        <v>4469.66515194798</v>
      </c>
      <c r="GE100" s="84" t="n">
        <f aca="false">GB100+$F100*GC100</f>
        <v>0</v>
      </c>
      <c r="GF100" s="84" t="n">
        <f aca="false">FP100+FZ100+(1-$F100)*GC100</f>
        <v>6343.47201670132</v>
      </c>
      <c r="GG100" s="84" t="n">
        <f aca="false">FQ100+GE100</f>
        <v>0</v>
      </c>
      <c r="GH100" s="133" t="n">
        <f aca="false">FU100+$D100*Inputs!$L$13-$D100*$E100</f>
        <v>17608.6606077919</v>
      </c>
      <c r="GI100" s="84" t="n">
        <f aca="false">GH100*(1+$I100)</f>
        <v>20602.1329111166</v>
      </c>
      <c r="GJ100" s="133" t="n">
        <f aca="false">GI100*Inputs!$L$14</f>
        <v>20602.1329111166</v>
      </c>
      <c r="GK100" s="84" t="n">
        <f aca="false">GI100-GJ100</f>
        <v>0</v>
      </c>
      <c r="GL100" s="133" t="n">
        <f aca="false">FX100+$D100*Inputs!$L$13</f>
        <v>0</v>
      </c>
      <c r="GM100" s="84" t="n">
        <f aca="false">MIN(GJ100,GL100)</f>
        <v>0</v>
      </c>
      <c r="GN100" s="84" t="n">
        <f aca="false">GL100-GM100</f>
        <v>0</v>
      </c>
      <c r="GO100" s="84" t="n">
        <f aca="false">GA100+$G100*(GL100+GA100)</f>
        <v>3453.7204229631</v>
      </c>
      <c r="GP100" s="84" t="n">
        <f aca="false">MIN(GJ100-GM100,GO100)</f>
        <v>3453.7204229631</v>
      </c>
      <c r="GQ100" s="84" t="n">
        <f aca="false">GO100-GP100</f>
        <v>0</v>
      </c>
      <c r="GR100" s="84" t="n">
        <f aca="false">IF($H100=1,MIN(GJ100-GM100-GP100,MAX(0,$F100/(1-$F100)*(GF100+GP100)-GG100)),0)</f>
        <v>0</v>
      </c>
      <c r="GS100" s="84" t="n">
        <f aca="false">GJ100-GM100-GP100-GR100</f>
        <v>17148.4124881535</v>
      </c>
      <c r="GT100" s="84" t="n">
        <f aca="false">GM100+GP100+(1-$F100)*GS100</f>
        <v>17172.4504134859</v>
      </c>
      <c r="GU100" s="84" t="n">
        <f aca="false">GR100+$F100*GS100</f>
        <v>3429.68249763069</v>
      </c>
      <c r="GV100" s="84" t="n">
        <f aca="false">GF100+GP100+(1-$F100)*GS100</f>
        <v>23515.9224301872</v>
      </c>
      <c r="GW100" s="84" t="n">
        <f aca="false">GG100+GU100</f>
        <v>3429.68249763069</v>
      </c>
    </row>
    <row r="101" customFormat="false" ht="15" hidden="false" customHeight="false" outlineLevel="0" collapsed="false">
      <c r="A101" s="5" t="s">
        <v>639</v>
      </c>
      <c r="B101" s="5" t="s">
        <v>427</v>
      </c>
      <c r="C101" s="135" t="n">
        <v>18</v>
      </c>
      <c r="D101" s="47" t="n">
        <f aca="false">Inputs!$C$6</f>
        <v>20000</v>
      </c>
      <c r="E101" s="35" t="n">
        <f aca="false">Inputs!$C$19</f>
        <v>0.0135</v>
      </c>
      <c r="F101" s="36" t="n">
        <f aca="false">Inputs!$C$20</f>
        <v>0.2</v>
      </c>
      <c r="G101" s="36" t="n">
        <f aca="false">Inputs!$C$22</f>
        <v>0.08</v>
      </c>
      <c r="H101" s="27" t="n">
        <v>0</v>
      </c>
      <c r="I101" s="132" t="n">
        <f aca="false">Inputs!$C$38+$C101*Inputs!$C$39</f>
        <v>0.18</v>
      </c>
      <c r="J101" s="36" t="n">
        <f aca="false">Inputs!$C$9</f>
        <v>0.15</v>
      </c>
      <c r="K101" s="89" t="n">
        <f aca="false">IRR(W101:AG101,0.1)</f>
        <v>0.147801446888028</v>
      </c>
      <c r="L101" s="45" t="n">
        <f aca="false">W101+NPV($J101,X101:AG101)</f>
        <v>-172.267814349246</v>
      </c>
      <c r="M101" s="45" t="n">
        <f aca="false">SUM(BF101,BV101,CL101,DB101,DR101,EH101,EX101,FN101,GD101,GT101)</f>
        <v>45686.8422899187</v>
      </c>
      <c r="N101" s="43" t="n">
        <f aca="false">IF($D101*SUM(Inputs!$C$13:$L$13)=0,0,M101/($D101*SUM(Inputs!$C$13:$L$13)))</f>
        <v>2.28434211449593</v>
      </c>
      <c r="O101" s="42" t="n">
        <f aca="false">$D101*$E101*COLUMNS(Inputs!$C$13:$L$13)</f>
        <v>2700</v>
      </c>
      <c r="P101" s="45" t="n">
        <f aca="false">SUM(BG101,BW101,CM101,DC101,DS101,EI101,EY101,FO101,GE101,GU101)</f>
        <v>4045.66560124056</v>
      </c>
      <c r="Q101" s="42" t="n">
        <f aca="false">PV($J101,COLUMNS(Inputs!$C$13:$L$13),-$D101*$E101,0,1)</f>
        <v>1558.32765832774</v>
      </c>
      <c r="R101" s="45" t="n">
        <f aca="false">NPV($J101,BG101,BW101,CM101,DC101,DS101,EI101,EY101,FO101,GE101,GU101)</f>
        <v>1000.02666270999</v>
      </c>
      <c r="S101" s="45" t="n">
        <f aca="false">Q101+R101</f>
        <v>2558.35432103773</v>
      </c>
      <c r="T101" s="32" t="n">
        <f aca="false">IF(S101=0,0,Q101/S101)</f>
        <v>0.609113305969145</v>
      </c>
      <c r="U101" s="45" t="n">
        <f aca="false">ROUND(ABS(GK101)+ABS(SUM(AV101,BL101,CB101,CR101,DH101,DX101,EN101,FD101,FT101,GJ101)-M101-P101)+ABS(S101-(AH101+NPV($J101,AI101:AR101))),6)</f>
        <v>0</v>
      </c>
      <c r="W101" s="133" t="n">
        <f aca="false">-$D101*Inputs!$C$13</f>
        <v>-4000</v>
      </c>
      <c r="X101" s="133" t="n">
        <f aca="false">BF101-$D101*Inputs!$D$13</f>
        <v>-4000</v>
      </c>
      <c r="Y101" s="133" t="n">
        <f aca="false">BV101-$D101*Inputs!$E$13</f>
        <v>-4000</v>
      </c>
      <c r="Z101" s="133" t="n">
        <f aca="false">CL101-$D101*Inputs!$F$13</f>
        <v>-4000</v>
      </c>
      <c r="AA101" s="133" t="n">
        <f aca="false">DB101-$D101*Inputs!$G$13</f>
        <v>-4000</v>
      </c>
      <c r="AB101" s="133" t="n">
        <f aca="false">DR101-$D101*Inputs!$H$13</f>
        <v>6297.7077675328</v>
      </c>
      <c r="AC101" s="133" t="n">
        <f aca="false">EH101-$D101*Inputs!$I$13</f>
        <v>5881.31613255096</v>
      </c>
      <c r="AD101" s="133" t="n">
        <f aca="false">EX101-$D101*Inputs!$J$13</f>
        <v>5488.24242912811</v>
      </c>
      <c r="AE101" s="133" t="n">
        <f aca="false">FN101-$D101*Inputs!$K$13</f>
        <v>5117.18085309694</v>
      </c>
      <c r="AF101" s="133" t="n">
        <f aca="false">GD101-$D101*Inputs!$L$13</f>
        <v>4766.89872532351</v>
      </c>
      <c r="AG101" s="84" t="n">
        <f aca="false">GT101</f>
        <v>18135.4963822864</v>
      </c>
      <c r="AH101" s="84" t="n">
        <f aca="false">$D101*$E101</f>
        <v>270</v>
      </c>
      <c r="AI101" s="84" t="n">
        <f aca="false">BG101+$D101*$E101</f>
        <v>270</v>
      </c>
      <c r="AJ101" s="84" t="n">
        <f aca="false">BW101+$D101*$E101</f>
        <v>270</v>
      </c>
      <c r="AK101" s="84" t="n">
        <f aca="false">CM101+$D101*$E101</f>
        <v>270</v>
      </c>
      <c r="AL101" s="84" t="n">
        <f aca="false">DC101+$D101*$E101</f>
        <v>270</v>
      </c>
      <c r="AM101" s="84" t="n">
        <f aca="false">DS101+$D101*$E101</f>
        <v>270</v>
      </c>
      <c r="AN101" s="84" t="n">
        <f aca="false">EI101+$D101*$E101</f>
        <v>270</v>
      </c>
      <c r="AO101" s="84" t="n">
        <f aca="false">EY101+$D101*$E101</f>
        <v>270</v>
      </c>
      <c r="AP101" s="84" t="n">
        <f aca="false">FO101+$D101*$E101</f>
        <v>270</v>
      </c>
      <c r="AQ101" s="84" t="n">
        <f aca="false">GE101+$D101*$E101</f>
        <v>270</v>
      </c>
      <c r="AR101" s="84" t="n">
        <f aca="false">GU101</f>
        <v>4045.66560124056</v>
      </c>
      <c r="AT101" s="133" t="n">
        <f aca="false">$D101*Inputs!$C$13-$D101*$E101</f>
        <v>3730</v>
      </c>
      <c r="AU101" s="84" t="n">
        <f aca="false">AT101*(1+$I101)</f>
        <v>4401.4</v>
      </c>
      <c r="AV101" s="133" t="n">
        <f aca="false">AU101*Inputs!$C$14</f>
        <v>0</v>
      </c>
      <c r="AW101" s="84" t="n">
        <f aca="false">AU101-AV101</f>
        <v>4401.4</v>
      </c>
      <c r="AX101" s="133" t="n">
        <f aca="false">$D101*Inputs!$C$13</f>
        <v>4000</v>
      </c>
      <c r="AY101" s="84" t="n">
        <f aca="false">MIN(AV101,AX101)</f>
        <v>0</v>
      </c>
      <c r="AZ101" s="84" t="n">
        <f aca="false">AX101-AY101</f>
        <v>4000</v>
      </c>
      <c r="BA101" s="84" t="n">
        <f aca="false">$G101*AX101</f>
        <v>320</v>
      </c>
      <c r="BB101" s="84" t="n">
        <f aca="false">MIN(AV101-AY101,BA101)</f>
        <v>0</v>
      </c>
      <c r="BC101" s="84" t="n">
        <f aca="false">BA101-BB101</f>
        <v>320</v>
      </c>
      <c r="BD101" s="84" t="n">
        <f aca="false">IF($H101=1,MIN(AV101-AY101-BB101,MAX(0,$F101/(1-$F101)*BB101)),0)</f>
        <v>0</v>
      </c>
      <c r="BE101" s="84" t="n">
        <f aca="false">AV101-AY101-BB101-BD101</f>
        <v>0</v>
      </c>
      <c r="BF101" s="84" t="n">
        <f aca="false">AY101+BB101+(1-$F101)*BE101</f>
        <v>0</v>
      </c>
      <c r="BG101" s="84" t="n">
        <f aca="false">BD101+$F101*BE101</f>
        <v>0</v>
      </c>
      <c r="BH101" s="84" t="n">
        <f aca="false">BB101+(1-$F101)*BE101</f>
        <v>0</v>
      </c>
      <c r="BI101" s="84" t="n">
        <f aca="false">BG101</f>
        <v>0</v>
      </c>
      <c r="BJ101" s="133" t="n">
        <f aca="false">AW101+$D101*Inputs!$D$13-$D101*$E101</f>
        <v>8131.4</v>
      </c>
      <c r="BK101" s="84" t="n">
        <f aca="false">BJ101*(1+$I101)</f>
        <v>9595.052</v>
      </c>
      <c r="BL101" s="133" t="n">
        <f aca="false">BK101*Inputs!$D$14</f>
        <v>0</v>
      </c>
      <c r="BM101" s="84" t="n">
        <f aca="false">BK101-BL101</f>
        <v>9595.052</v>
      </c>
      <c r="BN101" s="133" t="n">
        <f aca="false">AZ101+$D101*Inputs!$D$13</f>
        <v>8000</v>
      </c>
      <c r="BO101" s="84" t="n">
        <f aca="false">MIN(BL101,BN101)</f>
        <v>0</v>
      </c>
      <c r="BP101" s="84" t="n">
        <f aca="false">BN101-BO101</f>
        <v>8000</v>
      </c>
      <c r="BQ101" s="84" t="n">
        <f aca="false">BC101+$G101*(BN101+BC101)</f>
        <v>985.6</v>
      </c>
      <c r="BR101" s="84" t="n">
        <f aca="false">MIN(BL101-BO101,BQ101)</f>
        <v>0</v>
      </c>
      <c r="BS101" s="84" t="n">
        <f aca="false">BQ101-BR101</f>
        <v>985.6</v>
      </c>
      <c r="BT101" s="84" t="n">
        <f aca="false">IF($H101=1,MIN(BL101-BO101-BR101,MAX(0,$F101/(1-$F101)*(BH101+BR101)-BI101)),0)</f>
        <v>0</v>
      </c>
      <c r="BU101" s="84" t="n">
        <f aca="false">BL101-BO101-BR101-BT101</f>
        <v>0</v>
      </c>
      <c r="BV101" s="84" t="n">
        <f aca="false">BO101+BR101+(1-$F101)*BU101</f>
        <v>0</v>
      </c>
      <c r="BW101" s="84" t="n">
        <f aca="false">BT101+$F101*BU101</f>
        <v>0</v>
      </c>
      <c r="BX101" s="84" t="n">
        <f aca="false">BH101+BR101+(1-$F101)*BU101</f>
        <v>0</v>
      </c>
      <c r="BY101" s="84" t="n">
        <f aca="false">BI101+BW101</f>
        <v>0</v>
      </c>
      <c r="BZ101" s="133" t="n">
        <f aca="false">BM101+$D101*Inputs!$E$13-$D101*$E101</f>
        <v>13325.052</v>
      </c>
      <c r="CA101" s="84" t="n">
        <f aca="false">BZ101*(1+$I101)</f>
        <v>15723.56136</v>
      </c>
      <c r="CB101" s="133" t="n">
        <f aca="false">CA101*Inputs!$E$14</f>
        <v>0</v>
      </c>
      <c r="CC101" s="84" t="n">
        <f aca="false">CA101-CB101</f>
        <v>15723.56136</v>
      </c>
      <c r="CD101" s="133" t="n">
        <f aca="false">BP101+$D101*Inputs!$E$13</f>
        <v>12000</v>
      </c>
      <c r="CE101" s="84" t="n">
        <f aca="false">MIN(CB101,CD101)</f>
        <v>0</v>
      </c>
      <c r="CF101" s="84" t="n">
        <f aca="false">CD101-CE101</f>
        <v>12000</v>
      </c>
      <c r="CG101" s="84" t="n">
        <f aca="false">BS101+$G101*(CD101+BS101)</f>
        <v>2024.448</v>
      </c>
      <c r="CH101" s="84" t="n">
        <f aca="false">MIN(CB101-CE101,CG101)</f>
        <v>0</v>
      </c>
      <c r="CI101" s="84" t="n">
        <f aca="false">CG101-CH101</f>
        <v>2024.448</v>
      </c>
      <c r="CJ101" s="84" t="n">
        <f aca="false">IF($H101=1,MIN(CB101-CE101-CH101,MAX(0,$F101/(1-$F101)*(BX101+CH101)-BY101)),0)</f>
        <v>0</v>
      </c>
      <c r="CK101" s="84" t="n">
        <f aca="false">CB101-CE101-CH101-CJ101</f>
        <v>0</v>
      </c>
      <c r="CL101" s="84" t="n">
        <f aca="false">CE101+CH101+(1-$F101)*CK101</f>
        <v>0</v>
      </c>
      <c r="CM101" s="84" t="n">
        <f aca="false">CJ101+$F101*CK101</f>
        <v>0</v>
      </c>
      <c r="CN101" s="84" t="n">
        <f aca="false">BX101+CH101+(1-$F101)*CK101</f>
        <v>0</v>
      </c>
      <c r="CO101" s="84" t="n">
        <f aca="false">BY101+CM101</f>
        <v>0</v>
      </c>
      <c r="CP101" s="133" t="n">
        <f aca="false">CC101+$D101*Inputs!$F$13-$D101*$E101</f>
        <v>19453.56136</v>
      </c>
      <c r="CQ101" s="84" t="n">
        <f aca="false">CP101*(1+$I101)</f>
        <v>22955.2024048</v>
      </c>
      <c r="CR101" s="133" t="n">
        <f aca="false">CQ101*Inputs!$F$14</f>
        <v>0</v>
      </c>
      <c r="CS101" s="84" t="n">
        <f aca="false">CQ101-CR101</f>
        <v>22955.2024048</v>
      </c>
      <c r="CT101" s="133" t="n">
        <f aca="false">CF101+$D101*Inputs!$F$13</f>
        <v>16000</v>
      </c>
      <c r="CU101" s="84" t="n">
        <f aca="false">MIN(CR101,CT101)</f>
        <v>0</v>
      </c>
      <c r="CV101" s="84" t="n">
        <f aca="false">CT101-CU101</f>
        <v>16000</v>
      </c>
      <c r="CW101" s="84" t="n">
        <f aca="false">CI101+$G101*(CT101+CI101)</f>
        <v>3466.40384</v>
      </c>
      <c r="CX101" s="84" t="n">
        <f aca="false">MIN(CR101-CU101,CW101)</f>
        <v>0</v>
      </c>
      <c r="CY101" s="84" t="n">
        <f aca="false">CW101-CX101</f>
        <v>3466.40384</v>
      </c>
      <c r="CZ101" s="84" t="n">
        <f aca="false">IF($H101=1,MIN(CR101-CU101-CX101,MAX(0,$F101/(1-$F101)*(CN101+CX101)-CO101)),0)</f>
        <v>0</v>
      </c>
      <c r="DA101" s="84" t="n">
        <f aca="false">CR101-CU101-CX101-CZ101</f>
        <v>0</v>
      </c>
      <c r="DB101" s="84" t="n">
        <f aca="false">CU101+CX101+(1-$F101)*DA101</f>
        <v>0</v>
      </c>
      <c r="DC101" s="84" t="n">
        <f aca="false">CZ101+$F101*DA101</f>
        <v>0</v>
      </c>
      <c r="DD101" s="84" t="n">
        <f aca="false">CN101+CX101+(1-$F101)*DA101</f>
        <v>0</v>
      </c>
      <c r="DE101" s="84" t="n">
        <f aca="false">CO101+DC101</f>
        <v>0</v>
      </c>
      <c r="DF101" s="133" t="n">
        <f aca="false">CS101+$D101*Inputs!$G$13-$D101*$E101</f>
        <v>26685.2024048</v>
      </c>
      <c r="DG101" s="84" t="n">
        <f aca="false">DF101*(1+$I101)</f>
        <v>31488.538837664</v>
      </c>
      <c r="DH101" s="133" t="n">
        <f aca="false">DG101*Inputs!$G$14</f>
        <v>6297.7077675328</v>
      </c>
      <c r="DI101" s="84" t="n">
        <f aca="false">DG101-DH101</f>
        <v>25190.8310701312</v>
      </c>
      <c r="DJ101" s="133" t="n">
        <f aca="false">CV101+$D101*Inputs!$G$13</f>
        <v>20000</v>
      </c>
      <c r="DK101" s="84" t="n">
        <f aca="false">MIN(DH101,DJ101)</f>
        <v>6297.7077675328</v>
      </c>
      <c r="DL101" s="84" t="n">
        <f aca="false">DJ101-DK101</f>
        <v>13702.2922324672</v>
      </c>
      <c r="DM101" s="84" t="n">
        <f aca="false">CY101+$G101*(DJ101+CY101)</f>
        <v>5343.7161472</v>
      </c>
      <c r="DN101" s="84" t="n">
        <f aca="false">MIN(DH101-DK101,DM101)</f>
        <v>0</v>
      </c>
      <c r="DO101" s="84" t="n">
        <f aca="false">DM101-DN101</f>
        <v>5343.7161472</v>
      </c>
      <c r="DP101" s="84" t="n">
        <f aca="false">IF($H101=1,MIN(DH101-DK101-DN101,MAX(0,$F101/(1-$F101)*(DD101+DN101)-DE101)),0)</f>
        <v>0</v>
      </c>
      <c r="DQ101" s="84" t="n">
        <f aca="false">DH101-DK101-DN101-DP101</f>
        <v>0</v>
      </c>
      <c r="DR101" s="84" t="n">
        <f aca="false">DK101+DN101+(1-$F101)*DQ101</f>
        <v>6297.7077675328</v>
      </c>
      <c r="DS101" s="84" t="n">
        <f aca="false">DP101+$F101*DQ101</f>
        <v>0</v>
      </c>
      <c r="DT101" s="84" t="n">
        <f aca="false">DD101+DN101+(1-$F101)*DQ101</f>
        <v>0</v>
      </c>
      <c r="DU101" s="84" t="n">
        <f aca="false">DE101+DS101</f>
        <v>0</v>
      </c>
      <c r="DV101" s="133" t="n">
        <f aca="false">DI101+$D101*Inputs!$H$13-$D101*$E101</f>
        <v>24920.8310701312</v>
      </c>
      <c r="DW101" s="84" t="n">
        <f aca="false">DV101*(1+$I101)</f>
        <v>29406.5806627548</v>
      </c>
      <c r="DX101" s="133" t="n">
        <f aca="false">DW101*Inputs!$H$14</f>
        <v>5881.31613255096</v>
      </c>
      <c r="DY101" s="84" t="n">
        <f aca="false">DW101-DX101</f>
        <v>23525.2645302039</v>
      </c>
      <c r="DZ101" s="133" t="n">
        <f aca="false">DL101+$D101*Inputs!$H$13</f>
        <v>13702.2922324672</v>
      </c>
      <c r="EA101" s="84" t="n">
        <f aca="false">MIN(DX101,DZ101)</f>
        <v>5881.31613255096</v>
      </c>
      <c r="EB101" s="84" t="n">
        <f aca="false">DZ101-EA101</f>
        <v>7820.97609991624</v>
      </c>
      <c r="EC101" s="84" t="n">
        <f aca="false">DO101+$G101*(DZ101+DO101)</f>
        <v>6867.39681757338</v>
      </c>
      <c r="ED101" s="84" t="n">
        <f aca="false">MIN(DX101-EA101,EC101)</f>
        <v>0</v>
      </c>
      <c r="EE101" s="84" t="n">
        <f aca="false">EC101-ED101</f>
        <v>6867.39681757338</v>
      </c>
      <c r="EF101" s="84" t="n">
        <f aca="false">IF($H101=1,MIN(DX101-EA101-ED101,MAX(0,$F101/(1-$F101)*(DT101+ED101)-DU101)),0)</f>
        <v>0</v>
      </c>
      <c r="EG101" s="84" t="n">
        <f aca="false">DX101-EA101-ED101-EF101</f>
        <v>0</v>
      </c>
      <c r="EH101" s="84" t="n">
        <f aca="false">EA101+ED101+(1-$F101)*EG101</f>
        <v>5881.31613255096</v>
      </c>
      <c r="EI101" s="84" t="n">
        <f aca="false">EF101+$F101*EG101</f>
        <v>0</v>
      </c>
      <c r="EJ101" s="84" t="n">
        <f aca="false">DT101+ED101+(1-$F101)*EG101</f>
        <v>0</v>
      </c>
      <c r="EK101" s="84" t="n">
        <f aca="false">DU101+EI101</f>
        <v>0</v>
      </c>
      <c r="EL101" s="133" t="n">
        <f aca="false">DY101+$D101*Inputs!$I$13-$D101*$E101</f>
        <v>23255.2645302039</v>
      </c>
      <c r="EM101" s="84" t="n">
        <f aca="false">EL101*(1+$I101)</f>
        <v>27441.2121456405</v>
      </c>
      <c r="EN101" s="133" t="n">
        <f aca="false">EM101*Inputs!$I$14</f>
        <v>5488.24242912811</v>
      </c>
      <c r="EO101" s="84" t="n">
        <f aca="false">EM101-EN101</f>
        <v>21952.9697165124</v>
      </c>
      <c r="EP101" s="133" t="n">
        <f aca="false">EB101+$D101*Inputs!$I$13</f>
        <v>7820.97609991624</v>
      </c>
      <c r="EQ101" s="84" t="n">
        <f aca="false">MIN(EN101,EP101)</f>
        <v>5488.24242912811</v>
      </c>
      <c r="ER101" s="84" t="n">
        <f aca="false">EP101-EQ101</f>
        <v>2332.73367078813</v>
      </c>
      <c r="ES101" s="84" t="n">
        <f aca="false">EE101+$G101*(EP101+EE101)</f>
        <v>8042.46665097255</v>
      </c>
      <c r="ET101" s="84" t="n">
        <f aca="false">MIN(EN101-EQ101,ES101)</f>
        <v>0</v>
      </c>
      <c r="EU101" s="84" t="n">
        <f aca="false">ES101-ET101</f>
        <v>8042.46665097255</v>
      </c>
      <c r="EV101" s="84" t="n">
        <f aca="false">IF($H101=1,MIN(EN101-EQ101-ET101,MAX(0,$F101/(1-$F101)*(EJ101+ET101)-EK101)),0)</f>
        <v>0</v>
      </c>
      <c r="EW101" s="84" t="n">
        <f aca="false">EN101-EQ101-ET101-EV101</f>
        <v>0</v>
      </c>
      <c r="EX101" s="84" t="n">
        <f aca="false">EQ101+ET101+(1-$F101)*EW101</f>
        <v>5488.24242912811</v>
      </c>
      <c r="EY101" s="84" t="n">
        <f aca="false">EV101+$F101*EW101</f>
        <v>0</v>
      </c>
      <c r="EZ101" s="84" t="n">
        <f aca="false">EJ101+ET101+(1-$F101)*EW101</f>
        <v>0</v>
      </c>
      <c r="FA101" s="84" t="n">
        <f aca="false">EK101+EY101</f>
        <v>0</v>
      </c>
      <c r="FB101" s="133" t="n">
        <f aca="false">EO101+$D101*Inputs!$J$13-$D101*$E101</f>
        <v>21682.9697165124</v>
      </c>
      <c r="FC101" s="84" t="n">
        <f aca="false">FB101*(1+$I101)</f>
        <v>25585.9042654847</v>
      </c>
      <c r="FD101" s="133" t="n">
        <f aca="false">FC101*Inputs!$J$14</f>
        <v>5117.18085309694</v>
      </c>
      <c r="FE101" s="84" t="n">
        <f aca="false">FC101-FD101</f>
        <v>20468.7234123877</v>
      </c>
      <c r="FF101" s="133" t="n">
        <f aca="false">ER101+$D101*Inputs!$J$13</f>
        <v>2332.73367078813</v>
      </c>
      <c r="FG101" s="84" t="n">
        <f aca="false">MIN(FD101,FF101)</f>
        <v>2332.73367078813</v>
      </c>
      <c r="FH101" s="84" t="n">
        <f aca="false">FF101-FG101</f>
        <v>0</v>
      </c>
      <c r="FI101" s="84" t="n">
        <f aca="false">EU101+$G101*(FF101+EU101)</f>
        <v>8872.4826767134</v>
      </c>
      <c r="FJ101" s="84" t="n">
        <f aca="false">MIN(FD101-FG101,FI101)</f>
        <v>2784.44718230881</v>
      </c>
      <c r="FK101" s="84" t="n">
        <f aca="false">FI101-FJ101</f>
        <v>6088.03549440459</v>
      </c>
      <c r="FL101" s="84" t="n">
        <f aca="false">IF($H101=1,MIN(FD101-FG101-FJ101,MAX(0,$F101/(1-$F101)*(EZ101+FJ101)-FA101)),0)</f>
        <v>0</v>
      </c>
      <c r="FM101" s="84" t="n">
        <f aca="false">FD101-FG101-FJ101-FL101</f>
        <v>0</v>
      </c>
      <c r="FN101" s="84" t="n">
        <f aca="false">FG101+FJ101+(1-$F101)*FM101</f>
        <v>5117.18085309694</v>
      </c>
      <c r="FO101" s="84" t="n">
        <f aca="false">FL101+$F101*FM101</f>
        <v>0</v>
      </c>
      <c r="FP101" s="84" t="n">
        <f aca="false">EZ101+FJ101+(1-$F101)*FM101</f>
        <v>2784.44718230881</v>
      </c>
      <c r="FQ101" s="84" t="n">
        <f aca="false">FA101+FO101</f>
        <v>0</v>
      </c>
      <c r="FR101" s="133" t="n">
        <f aca="false">FE101+$D101*Inputs!$K$13-$D101*$E101</f>
        <v>20198.7234123877</v>
      </c>
      <c r="FS101" s="84" t="n">
        <f aca="false">FR101*(1+$I101)</f>
        <v>23834.4936266175</v>
      </c>
      <c r="FT101" s="133" t="n">
        <f aca="false">FS101*Inputs!$K$14</f>
        <v>4766.89872532351</v>
      </c>
      <c r="FU101" s="84" t="n">
        <f aca="false">FS101-FT101</f>
        <v>19067.594901294</v>
      </c>
      <c r="FV101" s="133" t="n">
        <f aca="false">FH101+$D101*Inputs!$K$13</f>
        <v>0</v>
      </c>
      <c r="FW101" s="84" t="n">
        <f aca="false">MIN(FT101,FV101)</f>
        <v>0</v>
      </c>
      <c r="FX101" s="84" t="n">
        <f aca="false">FV101-FW101</f>
        <v>0</v>
      </c>
      <c r="FY101" s="84" t="n">
        <f aca="false">FK101+$G101*(FV101+FK101)</f>
        <v>6575.07833395696</v>
      </c>
      <c r="FZ101" s="84" t="n">
        <f aca="false">MIN(FT101-FW101,FY101)</f>
        <v>4766.89872532351</v>
      </c>
      <c r="GA101" s="84" t="n">
        <f aca="false">FY101-FZ101</f>
        <v>1808.17960863346</v>
      </c>
      <c r="GB101" s="84" t="n">
        <f aca="false">IF($H101=1,MIN(FT101-FW101-FZ101,MAX(0,$F101/(1-$F101)*(FP101+FZ101)-FQ101)),0)</f>
        <v>0</v>
      </c>
      <c r="GC101" s="84" t="n">
        <f aca="false">FT101-FW101-FZ101-GB101</f>
        <v>0</v>
      </c>
      <c r="GD101" s="84" t="n">
        <f aca="false">FW101+FZ101+(1-$F101)*GC101</f>
        <v>4766.89872532351</v>
      </c>
      <c r="GE101" s="84" t="n">
        <f aca="false">GB101+$F101*GC101</f>
        <v>0</v>
      </c>
      <c r="GF101" s="84" t="n">
        <f aca="false">FP101+FZ101+(1-$F101)*GC101</f>
        <v>7551.34590763231</v>
      </c>
      <c r="GG101" s="84" t="n">
        <f aca="false">FQ101+GE101</f>
        <v>0</v>
      </c>
      <c r="GH101" s="133" t="n">
        <f aca="false">FU101+$D101*Inputs!$L$13-$D101*$E101</f>
        <v>18797.594901294</v>
      </c>
      <c r="GI101" s="84" t="n">
        <f aca="false">GH101*(1+$I101)</f>
        <v>22181.1619835269</v>
      </c>
      <c r="GJ101" s="133" t="n">
        <f aca="false">GI101*Inputs!$L$14</f>
        <v>22181.1619835269</v>
      </c>
      <c r="GK101" s="84" t="n">
        <f aca="false">GI101-GJ101</f>
        <v>0</v>
      </c>
      <c r="GL101" s="133" t="n">
        <f aca="false">FX101+$D101*Inputs!$L$13</f>
        <v>0</v>
      </c>
      <c r="GM101" s="84" t="n">
        <f aca="false">MIN(GJ101,GL101)</f>
        <v>0</v>
      </c>
      <c r="GN101" s="84" t="n">
        <f aca="false">GL101-GM101</f>
        <v>0</v>
      </c>
      <c r="GO101" s="84" t="n">
        <f aca="false">GA101+$G101*(GL101+GA101)</f>
        <v>1952.83397732413</v>
      </c>
      <c r="GP101" s="84" t="n">
        <f aca="false">MIN(GJ101-GM101,GO101)</f>
        <v>1952.83397732413</v>
      </c>
      <c r="GQ101" s="84" t="n">
        <f aca="false">GO101-GP101</f>
        <v>0</v>
      </c>
      <c r="GR101" s="84" t="n">
        <f aca="false">IF($H101=1,MIN(GJ101-GM101-GP101,MAX(0,$F101/(1-$F101)*(GF101+GP101)-GG101)),0)</f>
        <v>0</v>
      </c>
      <c r="GS101" s="84" t="n">
        <f aca="false">GJ101-GM101-GP101-GR101</f>
        <v>20228.3280062028</v>
      </c>
      <c r="GT101" s="84" t="n">
        <f aca="false">GM101+GP101+(1-$F101)*GS101</f>
        <v>18135.4963822864</v>
      </c>
      <c r="GU101" s="84" t="n">
        <f aca="false">GR101+$F101*GS101</f>
        <v>4045.66560124056</v>
      </c>
      <c r="GV101" s="84" t="n">
        <f aca="false">GF101+GP101+(1-$F101)*GS101</f>
        <v>25686.8422899187</v>
      </c>
      <c r="GW101" s="84" t="n">
        <f aca="false">GG101+GU101</f>
        <v>4045.66560124056</v>
      </c>
    </row>
    <row r="102" customFormat="false" ht="15" hidden="false" customHeight="false" outlineLevel="0" collapsed="false">
      <c r="A102" s="5" t="s">
        <v>639</v>
      </c>
      <c r="B102" s="5" t="s">
        <v>427</v>
      </c>
      <c r="C102" s="135" t="n">
        <v>19</v>
      </c>
      <c r="D102" s="47" t="n">
        <f aca="false">Inputs!$C$6</f>
        <v>20000</v>
      </c>
      <c r="E102" s="35" t="n">
        <f aca="false">Inputs!$C$19</f>
        <v>0.0135</v>
      </c>
      <c r="F102" s="36" t="n">
        <f aca="false">Inputs!$C$20</f>
        <v>0.2</v>
      </c>
      <c r="G102" s="36" t="n">
        <f aca="false">Inputs!$C$22</f>
        <v>0.08</v>
      </c>
      <c r="H102" s="27" t="n">
        <v>0</v>
      </c>
      <c r="I102" s="132" t="n">
        <f aca="false">Inputs!$C$38+$C102*Inputs!$C$39</f>
        <v>0.19</v>
      </c>
      <c r="J102" s="36" t="n">
        <f aca="false">Inputs!$C$9</f>
        <v>0.15</v>
      </c>
      <c r="K102" s="89" t="n">
        <f aca="false">IRR(W102:AG102,0.1)</f>
        <v>0.156852122110471</v>
      </c>
      <c r="L102" s="45" t="n">
        <f aca="false">W102+NPV($J102,X102:AG102)</f>
        <v>548.641078494711</v>
      </c>
      <c r="M102" s="45" t="n">
        <f aca="false">SUM(BF102,BV102,CL102,DB102,DR102,EH102,EX102,FN102,GD102,GT102)</f>
        <v>47982.1454848002</v>
      </c>
      <c r="N102" s="43" t="n">
        <f aca="false">IF($D102*SUM(Inputs!$C$13:$L$13)=0,0,M102/($D102*SUM(Inputs!$C$13:$L$13)))</f>
        <v>2.39910727424001</v>
      </c>
      <c r="O102" s="42" t="n">
        <f aca="false">$D102*$E102*COLUMNS(Inputs!$C$13:$L$13)</f>
        <v>2700</v>
      </c>
      <c r="P102" s="45" t="n">
        <f aca="false">SUM(BG102,BW102,CM102,DC102,DS102,EI102,EY102,FO102,GE102,GU102)</f>
        <v>4695.44759832387</v>
      </c>
      <c r="Q102" s="42" t="n">
        <f aca="false">PV($J102,COLUMNS(Inputs!$C$13:$L$13),-$D102*$E102,0,1)</f>
        <v>1558.32765832774</v>
      </c>
      <c r="R102" s="45" t="n">
        <f aca="false">NPV($J102,BG102,BW102,CM102,DC102,DS102,EI102,EY102,FO102,GE102,GU102)</f>
        <v>1160.64283470231</v>
      </c>
      <c r="S102" s="45" t="n">
        <f aca="false">Q102+R102</f>
        <v>2718.97049303005</v>
      </c>
      <c r="T102" s="32" t="n">
        <f aca="false">IF(S102=0,0,Q102/S102)</f>
        <v>0.57313150779769</v>
      </c>
      <c r="U102" s="45" t="n">
        <f aca="false">ROUND(ABS(GK102)+ABS(SUM(AV102,BL102,CB102,CR102,DH102,DX102,EN102,FD102,FT102,GJ102)-M102-P102)+ABS(S102-(AH102+NPV($J102,AI102:AR102))),6)</f>
        <v>0</v>
      </c>
      <c r="W102" s="133" t="n">
        <f aca="false">-$D102*Inputs!$C$13</f>
        <v>-4000</v>
      </c>
      <c r="X102" s="133" t="n">
        <f aca="false">BF102-$D102*Inputs!$D$13</f>
        <v>-4000</v>
      </c>
      <c r="Y102" s="133" t="n">
        <f aca="false">BV102-$D102*Inputs!$E$13</f>
        <v>-4000</v>
      </c>
      <c r="Z102" s="133" t="n">
        <f aca="false">CL102-$D102*Inputs!$F$13</f>
        <v>-4000</v>
      </c>
      <c r="AA102" s="133" t="n">
        <f aca="false">DB102-$D102*Inputs!$G$13</f>
        <v>-4000</v>
      </c>
      <c r="AB102" s="133" t="n">
        <f aca="false">DR102-$D102*Inputs!$H$13</f>
        <v>6477.4820949454</v>
      </c>
      <c r="AC102" s="133" t="n">
        <f aca="false">EH102-$D102*Inputs!$I$13</f>
        <v>6102.30295438802</v>
      </c>
      <c r="AD102" s="133" t="n">
        <f aca="false">EX102-$D102*Inputs!$J$13</f>
        <v>5745.1324125774</v>
      </c>
      <c r="AE102" s="133" t="n">
        <f aca="false">FN102-$D102*Inputs!$K$13</f>
        <v>5405.10605677368</v>
      </c>
      <c r="AF102" s="133" t="n">
        <f aca="false">GD102-$D102*Inputs!$L$13</f>
        <v>5081.40096604854</v>
      </c>
      <c r="AG102" s="84" t="n">
        <f aca="false">GT102</f>
        <v>19170.7210000672</v>
      </c>
      <c r="AH102" s="84" t="n">
        <f aca="false">$D102*$E102</f>
        <v>270</v>
      </c>
      <c r="AI102" s="84" t="n">
        <f aca="false">BG102+$D102*$E102</f>
        <v>270</v>
      </c>
      <c r="AJ102" s="84" t="n">
        <f aca="false">BW102+$D102*$E102</f>
        <v>270</v>
      </c>
      <c r="AK102" s="84" t="n">
        <f aca="false">CM102+$D102*$E102</f>
        <v>270</v>
      </c>
      <c r="AL102" s="84" t="n">
        <f aca="false">DC102+$D102*$E102</f>
        <v>270</v>
      </c>
      <c r="AM102" s="84" t="n">
        <f aca="false">DS102+$D102*$E102</f>
        <v>270</v>
      </c>
      <c r="AN102" s="84" t="n">
        <f aca="false">EI102+$D102*$E102</f>
        <v>270</v>
      </c>
      <c r="AO102" s="84" t="n">
        <f aca="false">EY102+$D102*$E102</f>
        <v>270</v>
      </c>
      <c r="AP102" s="84" t="n">
        <f aca="false">FO102+$D102*$E102</f>
        <v>270</v>
      </c>
      <c r="AQ102" s="84" t="n">
        <f aca="false">GE102+$D102*$E102</f>
        <v>270</v>
      </c>
      <c r="AR102" s="84" t="n">
        <f aca="false">GU102</f>
        <v>4695.44759832387</v>
      </c>
      <c r="AT102" s="133" t="n">
        <f aca="false">$D102*Inputs!$C$13-$D102*$E102</f>
        <v>3730</v>
      </c>
      <c r="AU102" s="84" t="n">
        <f aca="false">AT102*(1+$I102)</f>
        <v>4438.7</v>
      </c>
      <c r="AV102" s="133" t="n">
        <f aca="false">AU102*Inputs!$C$14</f>
        <v>0</v>
      </c>
      <c r="AW102" s="84" t="n">
        <f aca="false">AU102-AV102</f>
        <v>4438.7</v>
      </c>
      <c r="AX102" s="133" t="n">
        <f aca="false">$D102*Inputs!$C$13</f>
        <v>4000</v>
      </c>
      <c r="AY102" s="84" t="n">
        <f aca="false">MIN(AV102,AX102)</f>
        <v>0</v>
      </c>
      <c r="AZ102" s="84" t="n">
        <f aca="false">AX102-AY102</f>
        <v>4000</v>
      </c>
      <c r="BA102" s="84" t="n">
        <f aca="false">$G102*AX102</f>
        <v>320</v>
      </c>
      <c r="BB102" s="84" t="n">
        <f aca="false">MIN(AV102-AY102,BA102)</f>
        <v>0</v>
      </c>
      <c r="BC102" s="84" t="n">
        <f aca="false">BA102-BB102</f>
        <v>320</v>
      </c>
      <c r="BD102" s="84" t="n">
        <f aca="false">IF($H102=1,MIN(AV102-AY102-BB102,MAX(0,$F102/(1-$F102)*BB102)),0)</f>
        <v>0</v>
      </c>
      <c r="BE102" s="84" t="n">
        <f aca="false">AV102-AY102-BB102-BD102</f>
        <v>0</v>
      </c>
      <c r="BF102" s="84" t="n">
        <f aca="false">AY102+BB102+(1-$F102)*BE102</f>
        <v>0</v>
      </c>
      <c r="BG102" s="84" t="n">
        <f aca="false">BD102+$F102*BE102</f>
        <v>0</v>
      </c>
      <c r="BH102" s="84" t="n">
        <f aca="false">BB102+(1-$F102)*BE102</f>
        <v>0</v>
      </c>
      <c r="BI102" s="84" t="n">
        <f aca="false">BG102</f>
        <v>0</v>
      </c>
      <c r="BJ102" s="133" t="n">
        <f aca="false">AW102+$D102*Inputs!$D$13-$D102*$E102</f>
        <v>8168.7</v>
      </c>
      <c r="BK102" s="84" t="n">
        <f aca="false">BJ102*(1+$I102)</f>
        <v>9720.753</v>
      </c>
      <c r="BL102" s="133" t="n">
        <f aca="false">BK102*Inputs!$D$14</f>
        <v>0</v>
      </c>
      <c r="BM102" s="84" t="n">
        <f aca="false">BK102-BL102</f>
        <v>9720.753</v>
      </c>
      <c r="BN102" s="133" t="n">
        <f aca="false">AZ102+$D102*Inputs!$D$13</f>
        <v>8000</v>
      </c>
      <c r="BO102" s="84" t="n">
        <f aca="false">MIN(BL102,BN102)</f>
        <v>0</v>
      </c>
      <c r="BP102" s="84" t="n">
        <f aca="false">BN102-BO102</f>
        <v>8000</v>
      </c>
      <c r="BQ102" s="84" t="n">
        <f aca="false">BC102+$G102*(BN102+BC102)</f>
        <v>985.6</v>
      </c>
      <c r="BR102" s="84" t="n">
        <f aca="false">MIN(BL102-BO102,BQ102)</f>
        <v>0</v>
      </c>
      <c r="BS102" s="84" t="n">
        <f aca="false">BQ102-BR102</f>
        <v>985.6</v>
      </c>
      <c r="BT102" s="84" t="n">
        <f aca="false">IF($H102=1,MIN(BL102-BO102-BR102,MAX(0,$F102/(1-$F102)*(BH102+BR102)-BI102)),0)</f>
        <v>0</v>
      </c>
      <c r="BU102" s="84" t="n">
        <f aca="false">BL102-BO102-BR102-BT102</f>
        <v>0</v>
      </c>
      <c r="BV102" s="84" t="n">
        <f aca="false">BO102+BR102+(1-$F102)*BU102</f>
        <v>0</v>
      </c>
      <c r="BW102" s="84" t="n">
        <f aca="false">BT102+$F102*BU102</f>
        <v>0</v>
      </c>
      <c r="BX102" s="84" t="n">
        <f aca="false">BH102+BR102+(1-$F102)*BU102</f>
        <v>0</v>
      </c>
      <c r="BY102" s="84" t="n">
        <f aca="false">BI102+BW102</f>
        <v>0</v>
      </c>
      <c r="BZ102" s="133" t="n">
        <f aca="false">BM102+$D102*Inputs!$E$13-$D102*$E102</f>
        <v>13450.753</v>
      </c>
      <c r="CA102" s="84" t="n">
        <f aca="false">BZ102*(1+$I102)</f>
        <v>16006.39607</v>
      </c>
      <c r="CB102" s="133" t="n">
        <f aca="false">CA102*Inputs!$E$14</f>
        <v>0</v>
      </c>
      <c r="CC102" s="84" t="n">
        <f aca="false">CA102-CB102</f>
        <v>16006.39607</v>
      </c>
      <c r="CD102" s="133" t="n">
        <f aca="false">BP102+$D102*Inputs!$E$13</f>
        <v>12000</v>
      </c>
      <c r="CE102" s="84" t="n">
        <f aca="false">MIN(CB102,CD102)</f>
        <v>0</v>
      </c>
      <c r="CF102" s="84" t="n">
        <f aca="false">CD102-CE102</f>
        <v>12000</v>
      </c>
      <c r="CG102" s="84" t="n">
        <f aca="false">BS102+$G102*(CD102+BS102)</f>
        <v>2024.448</v>
      </c>
      <c r="CH102" s="84" t="n">
        <f aca="false">MIN(CB102-CE102,CG102)</f>
        <v>0</v>
      </c>
      <c r="CI102" s="84" t="n">
        <f aca="false">CG102-CH102</f>
        <v>2024.448</v>
      </c>
      <c r="CJ102" s="84" t="n">
        <f aca="false">IF($H102=1,MIN(CB102-CE102-CH102,MAX(0,$F102/(1-$F102)*(BX102+CH102)-BY102)),0)</f>
        <v>0</v>
      </c>
      <c r="CK102" s="84" t="n">
        <f aca="false">CB102-CE102-CH102-CJ102</f>
        <v>0</v>
      </c>
      <c r="CL102" s="84" t="n">
        <f aca="false">CE102+CH102+(1-$F102)*CK102</f>
        <v>0</v>
      </c>
      <c r="CM102" s="84" t="n">
        <f aca="false">CJ102+$F102*CK102</f>
        <v>0</v>
      </c>
      <c r="CN102" s="84" t="n">
        <f aca="false">BX102+CH102+(1-$F102)*CK102</f>
        <v>0</v>
      </c>
      <c r="CO102" s="84" t="n">
        <f aca="false">BY102+CM102</f>
        <v>0</v>
      </c>
      <c r="CP102" s="133" t="n">
        <f aca="false">CC102+$D102*Inputs!$F$13-$D102*$E102</f>
        <v>19736.39607</v>
      </c>
      <c r="CQ102" s="84" t="n">
        <f aca="false">CP102*(1+$I102)</f>
        <v>23486.3113233</v>
      </c>
      <c r="CR102" s="133" t="n">
        <f aca="false">CQ102*Inputs!$F$14</f>
        <v>0</v>
      </c>
      <c r="CS102" s="84" t="n">
        <f aca="false">CQ102-CR102</f>
        <v>23486.3113233</v>
      </c>
      <c r="CT102" s="133" t="n">
        <f aca="false">CF102+$D102*Inputs!$F$13</f>
        <v>16000</v>
      </c>
      <c r="CU102" s="84" t="n">
        <f aca="false">MIN(CR102,CT102)</f>
        <v>0</v>
      </c>
      <c r="CV102" s="84" t="n">
        <f aca="false">CT102-CU102</f>
        <v>16000</v>
      </c>
      <c r="CW102" s="84" t="n">
        <f aca="false">CI102+$G102*(CT102+CI102)</f>
        <v>3466.40384</v>
      </c>
      <c r="CX102" s="84" t="n">
        <f aca="false">MIN(CR102-CU102,CW102)</f>
        <v>0</v>
      </c>
      <c r="CY102" s="84" t="n">
        <f aca="false">CW102-CX102</f>
        <v>3466.40384</v>
      </c>
      <c r="CZ102" s="84" t="n">
        <f aca="false">IF($H102=1,MIN(CR102-CU102-CX102,MAX(0,$F102/(1-$F102)*(CN102+CX102)-CO102)),0)</f>
        <v>0</v>
      </c>
      <c r="DA102" s="84" t="n">
        <f aca="false">CR102-CU102-CX102-CZ102</f>
        <v>0</v>
      </c>
      <c r="DB102" s="84" t="n">
        <f aca="false">CU102+CX102+(1-$F102)*DA102</f>
        <v>0</v>
      </c>
      <c r="DC102" s="84" t="n">
        <f aca="false">CZ102+$F102*DA102</f>
        <v>0</v>
      </c>
      <c r="DD102" s="84" t="n">
        <f aca="false">CN102+CX102+(1-$F102)*DA102</f>
        <v>0</v>
      </c>
      <c r="DE102" s="84" t="n">
        <f aca="false">CO102+DC102</f>
        <v>0</v>
      </c>
      <c r="DF102" s="133" t="n">
        <f aca="false">CS102+$D102*Inputs!$G$13-$D102*$E102</f>
        <v>27216.3113233</v>
      </c>
      <c r="DG102" s="84" t="n">
        <f aca="false">DF102*(1+$I102)</f>
        <v>32387.410474727</v>
      </c>
      <c r="DH102" s="133" t="n">
        <f aca="false">DG102*Inputs!$G$14</f>
        <v>6477.4820949454</v>
      </c>
      <c r="DI102" s="84" t="n">
        <f aca="false">DG102-DH102</f>
        <v>25909.9283797816</v>
      </c>
      <c r="DJ102" s="133" t="n">
        <f aca="false">CV102+$D102*Inputs!$G$13</f>
        <v>20000</v>
      </c>
      <c r="DK102" s="84" t="n">
        <f aca="false">MIN(DH102,DJ102)</f>
        <v>6477.4820949454</v>
      </c>
      <c r="DL102" s="84" t="n">
        <f aca="false">DJ102-DK102</f>
        <v>13522.5179050546</v>
      </c>
      <c r="DM102" s="84" t="n">
        <f aca="false">CY102+$G102*(DJ102+CY102)</f>
        <v>5343.7161472</v>
      </c>
      <c r="DN102" s="84" t="n">
        <f aca="false">MIN(DH102-DK102,DM102)</f>
        <v>0</v>
      </c>
      <c r="DO102" s="84" t="n">
        <f aca="false">DM102-DN102</f>
        <v>5343.7161472</v>
      </c>
      <c r="DP102" s="84" t="n">
        <f aca="false">IF($H102=1,MIN(DH102-DK102-DN102,MAX(0,$F102/(1-$F102)*(DD102+DN102)-DE102)),0)</f>
        <v>0</v>
      </c>
      <c r="DQ102" s="84" t="n">
        <f aca="false">DH102-DK102-DN102-DP102</f>
        <v>0</v>
      </c>
      <c r="DR102" s="84" t="n">
        <f aca="false">DK102+DN102+(1-$F102)*DQ102</f>
        <v>6477.4820949454</v>
      </c>
      <c r="DS102" s="84" t="n">
        <f aca="false">DP102+$F102*DQ102</f>
        <v>0</v>
      </c>
      <c r="DT102" s="84" t="n">
        <f aca="false">DD102+DN102+(1-$F102)*DQ102</f>
        <v>0</v>
      </c>
      <c r="DU102" s="84" t="n">
        <f aca="false">DE102+DS102</f>
        <v>0</v>
      </c>
      <c r="DV102" s="133" t="n">
        <f aca="false">DI102+$D102*Inputs!$H$13-$D102*$E102</f>
        <v>25639.9283797816</v>
      </c>
      <c r="DW102" s="84" t="n">
        <f aca="false">DV102*(1+$I102)</f>
        <v>30511.5147719401</v>
      </c>
      <c r="DX102" s="133" t="n">
        <f aca="false">DW102*Inputs!$H$14</f>
        <v>6102.30295438802</v>
      </c>
      <c r="DY102" s="84" t="n">
        <f aca="false">DW102-DX102</f>
        <v>24409.2118175521</v>
      </c>
      <c r="DZ102" s="133" t="n">
        <f aca="false">DL102+$D102*Inputs!$H$13</f>
        <v>13522.5179050546</v>
      </c>
      <c r="EA102" s="84" t="n">
        <f aca="false">MIN(DX102,DZ102)</f>
        <v>6102.30295438802</v>
      </c>
      <c r="EB102" s="84" t="n">
        <f aca="false">DZ102-EA102</f>
        <v>7420.21495066658</v>
      </c>
      <c r="EC102" s="84" t="n">
        <f aca="false">DO102+$G102*(DZ102+DO102)</f>
        <v>6853.01487138037</v>
      </c>
      <c r="ED102" s="84" t="n">
        <f aca="false">MIN(DX102-EA102,EC102)</f>
        <v>0</v>
      </c>
      <c r="EE102" s="84" t="n">
        <f aca="false">EC102-ED102</f>
        <v>6853.01487138037</v>
      </c>
      <c r="EF102" s="84" t="n">
        <f aca="false">IF($H102=1,MIN(DX102-EA102-ED102,MAX(0,$F102/(1-$F102)*(DT102+ED102)-DU102)),0)</f>
        <v>0</v>
      </c>
      <c r="EG102" s="84" t="n">
        <f aca="false">DX102-EA102-ED102-EF102</f>
        <v>0</v>
      </c>
      <c r="EH102" s="84" t="n">
        <f aca="false">EA102+ED102+(1-$F102)*EG102</f>
        <v>6102.30295438802</v>
      </c>
      <c r="EI102" s="84" t="n">
        <f aca="false">EF102+$F102*EG102</f>
        <v>0</v>
      </c>
      <c r="EJ102" s="84" t="n">
        <f aca="false">DT102+ED102+(1-$F102)*EG102</f>
        <v>0</v>
      </c>
      <c r="EK102" s="84" t="n">
        <f aca="false">DU102+EI102</f>
        <v>0</v>
      </c>
      <c r="EL102" s="133" t="n">
        <f aca="false">DY102+$D102*Inputs!$I$13-$D102*$E102</f>
        <v>24139.2118175521</v>
      </c>
      <c r="EM102" s="84" t="n">
        <f aca="false">EL102*(1+$I102)</f>
        <v>28725.662062887</v>
      </c>
      <c r="EN102" s="133" t="n">
        <f aca="false">EM102*Inputs!$I$14</f>
        <v>5745.1324125774</v>
      </c>
      <c r="EO102" s="84" t="n">
        <f aca="false">EM102-EN102</f>
        <v>22980.5296503096</v>
      </c>
      <c r="EP102" s="133" t="n">
        <f aca="false">EB102+$D102*Inputs!$I$13</f>
        <v>7420.21495066658</v>
      </c>
      <c r="EQ102" s="84" t="n">
        <f aca="false">MIN(EN102,EP102)</f>
        <v>5745.1324125774</v>
      </c>
      <c r="ER102" s="84" t="n">
        <f aca="false">EP102-EQ102</f>
        <v>1675.08253808918</v>
      </c>
      <c r="ES102" s="84" t="n">
        <f aca="false">EE102+$G102*(EP102+EE102)</f>
        <v>7994.87325714412</v>
      </c>
      <c r="ET102" s="84" t="n">
        <f aca="false">MIN(EN102-EQ102,ES102)</f>
        <v>0</v>
      </c>
      <c r="EU102" s="84" t="n">
        <f aca="false">ES102-ET102</f>
        <v>7994.87325714412</v>
      </c>
      <c r="EV102" s="84" t="n">
        <f aca="false">IF($H102=1,MIN(EN102-EQ102-ET102,MAX(0,$F102/(1-$F102)*(EJ102+ET102)-EK102)),0)</f>
        <v>0</v>
      </c>
      <c r="EW102" s="84" t="n">
        <f aca="false">EN102-EQ102-ET102-EV102</f>
        <v>0</v>
      </c>
      <c r="EX102" s="84" t="n">
        <f aca="false">EQ102+ET102+(1-$F102)*EW102</f>
        <v>5745.1324125774</v>
      </c>
      <c r="EY102" s="84" t="n">
        <f aca="false">EV102+$F102*EW102</f>
        <v>0</v>
      </c>
      <c r="EZ102" s="84" t="n">
        <f aca="false">EJ102+ET102+(1-$F102)*EW102</f>
        <v>0</v>
      </c>
      <c r="FA102" s="84" t="n">
        <f aca="false">EK102+EY102</f>
        <v>0</v>
      </c>
      <c r="FB102" s="133" t="n">
        <f aca="false">EO102+$D102*Inputs!$J$13-$D102*$E102</f>
        <v>22710.5296503096</v>
      </c>
      <c r="FC102" s="84" t="n">
        <f aca="false">FB102*(1+$I102)</f>
        <v>27025.5302838684</v>
      </c>
      <c r="FD102" s="133" t="n">
        <f aca="false">FC102*Inputs!$J$14</f>
        <v>5405.10605677368</v>
      </c>
      <c r="FE102" s="84" t="n">
        <f aca="false">FC102-FD102</f>
        <v>21620.4242270947</v>
      </c>
      <c r="FF102" s="133" t="n">
        <f aca="false">ER102+$D102*Inputs!$J$13</f>
        <v>1675.08253808918</v>
      </c>
      <c r="FG102" s="84" t="n">
        <f aca="false">MIN(FD102,FF102)</f>
        <v>1675.08253808918</v>
      </c>
      <c r="FH102" s="84" t="n">
        <f aca="false">FF102-FG102</f>
        <v>0</v>
      </c>
      <c r="FI102" s="84" t="n">
        <f aca="false">EU102+$G102*(FF102+EU102)</f>
        <v>8768.46972076279</v>
      </c>
      <c r="FJ102" s="84" t="n">
        <f aca="false">MIN(FD102-FG102,FI102)</f>
        <v>3730.0235186845</v>
      </c>
      <c r="FK102" s="84" t="n">
        <f aca="false">FI102-FJ102</f>
        <v>5038.44620207829</v>
      </c>
      <c r="FL102" s="84" t="n">
        <f aca="false">IF($H102=1,MIN(FD102-FG102-FJ102,MAX(0,$F102/(1-$F102)*(EZ102+FJ102)-FA102)),0)</f>
        <v>0</v>
      </c>
      <c r="FM102" s="84" t="n">
        <f aca="false">FD102-FG102-FJ102-FL102</f>
        <v>0</v>
      </c>
      <c r="FN102" s="84" t="n">
        <f aca="false">FG102+FJ102+(1-$F102)*FM102</f>
        <v>5405.10605677368</v>
      </c>
      <c r="FO102" s="84" t="n">
        <f aca="false">FL102+$F102*FM102</f>
        <v>0</v>
      </c>
      <c r="FP102" s="84" t="n">
        <f aca="false">EZ102+FJ102+(1-$F102)*FM102</f>
        <v>3730.0235186845</v>
      </c>
      <c r="FQ102" s="84" t="n">
        <f aca="false">FA102+FO102</f>
        <v>0</v>
      </c>
      <c r="FR102" s="133" t="n">
        <f aca="false">FE102+$D102*Inputs!$K$13-$D102*$E102</f>
        <v>21350.4242270947</v>
      </c>
      <c r="FS102" s="84" t="n">
        <f aca="false">FR102*(1+$I102)</f>
        <v>25407.0048302427</v>
      </c>
      <c r="FT102" s="133" t="n">
        <f aca="false">FS102*Inputs!$K$14</f>
        <v>5081.40096604854</v>
      </c>
      <c r="FU102" s="84" t="n">
        <f aca="false">FS102-FT102</f>
        <v>20325.6038641942</v>
      </c>
      <c r="FV102" s="133" t="n">
        <f aca="false">FH102+$D102*Inputs!$K$13</f>
        <v>0</v>
      </c>
      <c r="FW102" s="84" t="n">
        <f aca="false">MIN(FT102,FV102)</f>
        <v>0</v>
      </c>
      <c r="FX102" s="84" t="n">
        <f aca="false">FV102-FW102</f>
        <v>0</v>
      </c>
      <c r="FY102" s="84" t="n">
        <f aca="false">FK102+$G102*(FV102+FK102)</f>
        <v>5441.52189824456</v>
      </c>
      <c r="FZ102" s="84" t="n">
        <f aca="false">MIN(FT102-FW102,FY102)</f>
        <v>5081.40096604854</v>
      </c>
      <c r="GA102" s="84" t="n">
        <f aca="false">FY102-FZ102</f>
        <v>360.120932196011</v>
      </c>
      <c r="GB102" s="84" t="n">
        <f aca="false">IF($H102=1,MIN(FT102-FW102-FZ102,MAX(0,$F102/(1-$F102)*(FP102+FZ102)-FQ102)),0)</f>
        <v>0</v>
      </c>
      <c r="GC102" s="84" t="n">
        <f aca="false">FT102-FW102-FZ102-GB102</f>
        <v>0</v>
      </c>
      <c r="GD102" s="84" t="n">
        <f aca="false">FW102+FZ102+(1-$F102)*GC102</f>
        <v>5081.40096604854</v>
      </c>
      <c r="GE102" s="84" t="n">
        <f aca="false">GB102+$F102*GC102</f>
        <v>0</v>
      </c>
      <c r="GF102" s="84" t="n">
        <f aca="false">FP102+FZ102+(1-$F102)*GC102</f>
        <v>8811.42448473304</v>
      </c>
      <c r="GG102" s="84" t="n">
        <f aca="false">FQ102+GE102</f>
        <v>0</v>
      </c>
      <c r="GH102" s="133" t="n">
        <f aca="false">FU102+$D102*Inputs!$L$13-$D102*$E102</f>
        <v>20055.6038641942</v>
      </c>
      <c r="GI102" s="84" t="n">
        <f aca="false">GH102*(1+$I102)</f>
        <v>23866.1685983911</v>
      </c>
      <c r="GJ102" s="133" t="n">
        <f aca="false">GI102*Inputs!$L$14</f>
        <v>23866.1685983911</v>
      </c>
      <c r="GK102" s="84" t="n">
        <f aca="false">GI102-GJ102</f>
        <v>0</v>
      </c>
      <c r="GL102" s="133" t="n">
        <f aca="false">FX102+$D102*Inputs!$L$13</f>
        <v>0</v>
      </c>
      <c r="GM102" s="84" t="n">
        <f aca="false">MIN(GJ102,GL102)</f>
        <v>0</v>
      </c>
      <c r="GN102" s="84" t="n">
        <f aca="false">GL102-GM102</f>
        <v>0</v>
      </c>
      <c r="GO102" s="84" t="n">
        <f aca="false">GA102+$G102*(GL102+GA102)</f>
        <v>388.930606771692</v>
      </c>
      <c r="GP102" s="84" t="n">
        <f aca="false">MIN(GJ102-GM102,GO102)</f>
        <v>388.930606771692</v>
      </c>
      <c r="GQ102" s="84" t="n">
        <f aca="false">GO102-GP102</f>
        <v>0</v>
      </c>
      <c r="GR102" s="84" t="n">
        <f aca="false">IF($H102=1,MIN(GJ102-GM102-GP102,MAX(0,$F102/(1-$F102)*(GF102+GP102)-GG102)),0)</f>
        <v>0</v>
      </c>
      <c r="GS102" s="84" t="n">
        <f aca="false">GJ102-GM102-GP102-GR102</f>
        <v>23477.2379916194</v>
      </c>
      <c r="GT102" s="84" t="n">
        <f aca="false">GM102+GP102+(1-$F102)*GS102</f>
        <v>19170.7210000672</v>
      </c>
      <c r="GU102" s="84" t="n">
        <f aca="false">GR102+$F102*GS102</f>
        <v>4695.44759832387</v>
      </c>
      <c r="GV102" s="84" t="n">
        <f aca="false">GF102+GP102+(1-$F102)*GS102</f>
        <v>27982.1454848002</v>
      </c>
      <c r="GW102" s="84" t="n">
        <f aca="false">GG102+GU102</f>
        <v>4695.44759832387</v>
      </c>
    </row>
    <row r="103" customFormat="false" ht="15" hidden="false" customHeight="false" outlineLevel="0" collapsed="false">
      <c r="A103" s="5" t="s">
        <v>639</v>
      </c>
      <c r="B103" s="5" t="s">
        <v>427</v>
      </c>
      <c r="C103" s="135" t="n">
        <v>20</v>
      </c>
      <c r="D103" s="47" t="n">
        <f aca="false">Inputs!$C$6</f>
        <v>20000</v>
      </c>
      <c r="E103" s="35" t="n">
        <f aca="false">Inputs!$C$19</f>
        <v>0.0135</v>
      </c>
      <c r="F103" s="36" t="n">
        <f aca="false">Inputs!$C$20</f>
        <v>0.2</v>
      </c>
      <c r="G103" s="36" t="n">
        <f aca="false">Inputs!$C$22</f>
        <v>0.08</v>
      </c>
      <c r="H103" s="27" t="n">
        <v>0</v>
      </c>
      <c r="I103" s="132" t="n">
        <f aca="false">Inputs!$C$38+$C103*Inputs!$C$39</f>
        <v>0.2</v>
      </c>
      <c r="J103" s="36" t="n">
        <f aca="false">Inputs!$C$9</f>
        <v>0.15</v>
      </c>
      <c r="K103" s="89" t="n">
        <f aca="false">IRR(W103:AG103,0.1)</f>
        <v>0.165918224327762</v>
      </c>
      <c r="L103" s="45" t="n">
        <f aca="false">W103+NPV($J103,X103:AG103)</f>
        <v>1303.53847315147</v>
      </c>
      <c r="M103" s="45" t="n">
        <f aca="false">SUM(BF103,BV103,CL103,DB103,DR103,EH103,EX103,FN103,GD103,GT103)</f>
        <v>50426.8352621148</v>
      </c>
      <c r="N103" s="43" t="n">
        <f aca="false">IF($D103*SUM(Inputs!$C$13:$L$13)=0,0,M103/($D103*SUM(Inputs!$C$13:$L$13)))</f>
        <v>2.52134176310574</v>
      </c>
      <c r="O103" s="42" t="n">
        <f aca="false">$D103*$E103*COLUMNS(Inputs!$C$13:$L$13)</f>
        <v>2700</v>
      </c>
      <c r="P103" s="45" t="n">
        <f aca="false">SUM(BG103,BW103,CM103,DC103,DS103,EI103,EY103,FO103,GE103,GU103)</f>
        <v>5362.39997614251</v>
      </c>
      <c r="Q103" s="42" t="n">
        <f aca="false">PV($J103,COLUMNS(Inputs!$C$13:$L$13),-$D103*$E103,0,1)</f>
        <v>1558.32765832774</v>
      </c>
      <c r="R103" s="45" t="n">
        <f aca="false">NPV($J103,BG103,BW103,CM103,DC103,DS103,EI103,EY103,FO103,GE103,GU103)</f>
        <v>1334.0204316492</v>
      </c>
      <c r="S103" s="45" t="n">
        <f aca="false">Q103+R103</f>
        <v>2892.34808997694</v>
      </c>
      <c r="T103" s="32" t="n">
        <f aca="false">IF(S103=0,0,Q103/S103)</f>
        <v>0.538775973655427</v>
      </c>
      <c r="U103" s="45" t="n">
        <f aca="false">ROUND(ABS(GK103)+ABS(SUM(AV103,BL103,CB103,CR103,DH103,DX103,EN103,FD103,FT103,GJ103)-M103-P103)+ABS(S103-(AH103+NPV($J103,AI103:AR103))),6)</f>
        <v>0</v>
      </c>
      <c r="W103" s="133" t="n">
        <f aca="false">-$D103*Inputs!$C$13</f>
        <v>-4000</v>
      </c>
      <c r="X103" s="133" t="n">
        <f aca="false">BF103-$D103*Inputs!$D$13</f>
        <v>-4000</v>
      </c>
      <c r="Y103" s="133" t="n">
        <f aca="false">BV103-$D103*Inputs!$E$13</f>
        <v>-4000</v>
      </c>
      <c r="Z103" s="133" t="n">
        <f aca="false">CL103-$D103*Inputs!$F$13</f>
        <v>-4000</v>
      </c>
      <c r="AA103" s="133" t="n">
        <f aca="false">DB103-$D103*Inputs!$G$13</f>
        <v>-4000</v>
      </c>
      <c r="AB103" s="133" t="n">
        <f aca="false">DR103-$D103*Inputs!$H$13</f>
        <v>6661.72032</v>
      </c>
      <c r="AC103" s="133" t="n">
        <f aca="false">EH103-$D103*Inputs!$I$13</f>
        <v>6330.4515072</v>
      </c>
      <c r="AD103" s="133" t="n">
        <f aca="false">EX103-$D103*Inputs!$J$13</f>
        <v>6012.433446912</v>
      </c>
      <c r="AE103" s="133" t="n">
        <f aca="false">FN103-$D103*Inputs!$K$13</f>
        <v>5707.13610903552</v>
      </c>
      <c r="AF103" s="133" t="n">
        <f aca="false">GD103-$D103*Inputs!$L$13</f>
        <v>5184.33932661872</v>
      </c>
      <c r="AG103" s="84" t="n">
        <f aca="false">GT103</f>
        <v>20530.7545523485</v>
      </c>
      <c r="AH103" s="84" t="n">
        <f aca="false">$D103*$E103</f>
        <v>270</v>
      </c>
      <c r="AI103" s="84" t="n">
        <f aca="false">BG103+$D103*$E103</f>
        <v>270</v>
      </c>
      <c r="AJ103" s="84" t="n">
        <f aca="false">BW103+$D103*$E103</f>
        <v>270</v>
      </c>
      <c r="AK103" s="84" t="n">
        <f aca="false">CM103+$D103*$E103</f>
        <v>270</v>
      </c>
      <c r="AL103" s="84" t="n">
        <f aca="false">DC103+$D103*$E103</f>
        <v>270</v>
      </c>
      <c r="AM103" s="84" t="n">
        <f aca="false">DS103+$D103*$E103</f>
        <v>270</v>
      </c>
      <c r="AN103" s="84" t="n">
        <f aca="false">EI103+$D103*$E103</f>
        <v>270</v>
      </c>
      <c r="AO103" s="84" t="n">
        <f aca="false">EY103+$D103*$E103</f>
        <v>270</v>
      </c>
      <c r="AP103" s="84" t="n">
        <f aca="false">FO103+$D103*$E103</f>
        <v>270</v>
      </c>
      <c r="AQ103" s="84" t="n">
        <f aca="false">GE103+$D103*$E103</f>
        <v>499.711338055374</v>
      </c>
      <c r="AR103" s="84" t="n">
        <f aca="false">GU103</f>
        <v>5132.68863808713</v>
      </c>
      <c r="AT103" s="133" t="n">
        <f aca="false">$D103*Inputs!$C$13-$D103*$E103</f>
        <v>3730</v>
      </c>
      <c r="AU103" s="84" t="n">
        <f aca="false">AT103*(1+$I103)</f>
        <v>4476</v>
      </c>
      <c r="AV103" s="133" t="n">
        <f aca="false">AU103*Inputs!$C$14</f>
        <v>0</v>
      </c>
      <c r="AW103" s="84" t="n">
        <f aca="false">AU103-AV103</f>
        <v>4476</v>
      </c>
      <c r="AX103" s="133" t="n">
        <f aca="false">$D103*Inputs!$C$13</f>
        <v>4000</v>
      </c>
      <c r="AY103" s="84" t="n">
        <f aca="false">MIN(AV103,AX103)</f>
        <v>0</v>
      </c>
      <c r="AZ103" s="84" t="n">
        <f aca="false">AX103-AY103</f>
        <v>4000</v>
      </c>
      <c r="BA103" s="84" t="n">
        <f aca="false">$G103*AX103</f>
        <v>320</v>
      </c>
      <c r="BB103" s="84" t="n">
        <f aca="false">MIN(AV103-AY103,BA103)</f>
        <v>0</v>
      </c>
      <c r="BC103" s="84" t="n">
        <f aca="false">BA103-BB103</f>
        <v>320</v>
      </c>
      <c r="BD103" s="84" t="n">
        <f aca="false">IF($H103=1,MIN(AV103-AY103-BB103,MAX(0,$F103/(1-$F103)*BB103)),0)</f>
        <v>0</v>
      </c>
      <c r="BE103" s="84" t="n">
        <f aca="false">AV103-AY103-BB103-BD103</f>
        <v>0</v>
      </c>
      <c r="BF103" s="84" t="n">
        <f aca="false">AY103+BB103+(1-$F103)*BE103</f>
        <v>0</v>
      </c>
      <c r="BG103" s="84" t="n">
        <f aca="false">BD103+$F103*BE103</f>
        <v>0</v>
      </c>
      <c r="BH103" s="84" t="n">
        <f aca="false">BB103+(1-$F103)*BE103</f>
        <v>0</v>
      </c>
      <c r="BI103" s="84" t="n">
        <f aca="false">BG103</f>
        <v>0</v>
      </c>
      <c r="BJ103" s="133" t="n">
        <f aca="false">AW103+$D103*Inputs!$D$13-$D103*$E103</f>
        <v>8206</v>
      </c>
      <c r="BK103" s="84" t="n">
        <f aca="false">BJ103*(1+$I103)</f>
        <v>9847.2</v>
      </c>
      <c r="BL103" s="133" t="n">
        <f aca="false">BK103*Inputs!$D$14</f>
        <v>0</v>
      </c>
      <c r="BM103" s="84" t="n">
        <f aca="false">BK103-BL103</f>
        <v>9847.2</v>
      </c>
      <c r="BN103" s="133" t="n">
        <f aca="false">AZ103+$D103*Inputs!$D$13</f>
        <v>8000</v>
      </c>
      <c r="BO103" s="84" t="n">
        <f aca="false">MIN(BL103,BN103)</f>
        <v>0</v>
      </c>
      <c r="BP103" s="84" t="n">
        <f aca="false">BN103-BO103</f>
        <v>8000</v>
      </c>
      <c r="BQ103" s="84" t="n">
        <f aca="false">BC103+$G103*(BN103+BC103)</f>
        <v>985.6</v>
      </c>
      <c r="BR103" s="84" t="n">
        <f aca="false">MIN(BL103-BO103,BQ103)</f>
        <v>0</v>
      </c>
      <c r="BS103" s="84" t="n">
        <f aca="false">BQ103-BR103</f>
        <v>985.6</v>
      </c>
      <c r="BT103" s="84" t="n">
        <f aca="false">IF($H103=1,MIN(BL103-BO103-BR103,MAX(0,$F103/(1-$F103)*(BH103+BR103)-BI103)),0)</f>
        <v>0</v>
      </c>
      <c r="BU103" s="84" t="n">
        <f aca="false">BL103-BO103-BR103-BT103</f>
        <v>0</v>
      </c>
      <c r="BV103" s="84" t="n">
        <f aca="false">BO103+BR103+(1-$F103)*BU103</f>
        <v>0</v>
      </c>
      <c r="BW103" s="84" t="n">
        <f aca="false">BT103+$F103*BU103</f>
        <v>0</v>
      </c>
      <c r="BX103" s="84" t="n">
        <f aca="false">BH103+BR103+(1-$F103)*BU103</f>
        <v>0</v>
      </c>
      <c r="BY103" s="84" t="n">
        <f aca="false">BI103+BW103</f>
        <v>0</v>
      </c>
      <c r="BZ103" s="133" t="n">
        <f aca="false">BM103+$D103*Inputs!$E$13-$D103*$E103</f>
        <v>13577.2</v>
      </c>
      <c r="CA103" s="84" t="n">
        <f aca="false">BZ103*(1+$I103)</f>
        <v>16292.64</v>
      </c>
      <c r="CB103" s="133" t="n">
        <f aca="false">CA103*Inputs!$E$14</f>
        <v>0</v>
      </c>
      <c r="CC103" s="84" t="n">
        <f aca="false">CA103-CB103</f>
        <v>16292.64</v>
      </c>
      <c r="CD103" s="133" t="n">
        <f aca="false">BP103+$D103*Inputs!$E$13</f>
        <v>12000</v>
      </c>
      <c r="CE103" s="84" t="n">
        <f aca="false">MIN(CB103,CD103)</f>
        <v>0</v>
      </c>
      <c r="CF103" s="84" t="n">
        <f aca="false">CD103-CE103</f>
        <v>12000</v>
      </c>
      <c r="CG103" s="84" t="n">
        <f aca="false">BS103+$G103*(CD103+BS103)</f>
        <v>2024.448</v>
      </c>
      <c r="CH103" s="84" t="n">
        <f aca="false">MIN(CB103-CE103,CG103)</f>
        <v>0</v>
      </c>
      <c r="CI103" s="84" t="n">
        <f aca="false">CG103-CH103</f>
        <v>2024.448</v>
      </c>
      <c r="CJ103" s="84" t="n">
        <f aca="false">IF($H103=1,MIN(CB103-CE103-CH103,MAX(0,$F103/(1-$F103)*(BX103+CH103)-BY103)),0)</f>
        <v>0</v>
      </c>
      <c r="CK103" s="84" t="n">
        <f aca="false">CB103-CE103-CH103-CJ103</f>
        <v>0</v>
      </c>
      <c r="CL103" s="84" t="n">
        <f aca="false">CE103+CH103+(1-$F103)*CK103</f>
        <v>0</v>
      </c>
      <c r="CM103" s="84" t="n">
        <f aca="false">CJ103+$F103*CK103</f>
        <v>0</v>
      </c>
      <c r="CN103" s="84" t="n">
        <f aca="false">BX103+CH103+(1-$F103)*CK103</f>
        <v>0</v>
      </c>
      <c r="CO103" s="84" t="n">
        <f aca="false">BY103+CM103</f>
        <v>0</v>
      </c>
      <c r="CP103" s="133" t="n">
        <f aca="false">CC103+$D103*Inputs!$F$13-$D103*$E103</f>
        <v>20022.64</v>
      </c>
      <c r="CQ103" s="84" t="n">
        <f aca="false">CP103*(1+$I103)</f>
        <v>24027.168</v>
      </c>
      <c r="CR103" s="133" t="n">
        <f aca="false">CQ103*Inputs!$F$14</f>
        <v>0</v>
      </c>
      <c r="CS103" s="84" t="n">
        <f aca="false">CQ103-CR103</f>
        <v>24027.168</v>
      </c>
      <c r="CT103" s="133" t="n">
        <f aca="false">CF103+$D103*Inputs!$F$13</f>
        <v>16000</v>
      </c>
      <c r="CU103" s="84" t="n">
        <f aca="false">MIN(CR103,CT103)</f>
        <v>0</v>
      </c>
      <c r="CV103" s="84" t="n">
        <f aca="false">CT103-CU103</f>
        <v>16000</v>
      </c>
      <c r="CW103" s="84" t="n">
        <f aca="false">CI103+$G103*(CT103+CI103)</f>
        <v>3466.40384</v>
      </c>
      <c r="CX103" s="84" t="n">
        <f aca="false">MIN(CR103-CU103,CW103)</f>
        <v>0</v>
      </c>
      <c r="CY103" s="84" t="n">
        <f aca="false">CW103-CX103</f>
        <v>3466.40384</v>
      </c>
      <c r="CZ103" s="84" t="n">
        <f aca="false">IF($H103=1,MIN(CR103-CU103-CX103,MAX(0,$F103/(1-$F103)*(CN103+CX103)-CO103)),0)</f>
        <v>0</v>
      </c>
      <c r="DA103" s="84" t="n">
        <f aca="false">CR103-CU103-CX103-CZ103</f>
        <v>0</v>
      </c>
      <c r="DB103" s="84" t="n">
        <f aca="false">CU103+CX103+(1-$F103)*DA103</f>
        <v>0</v>
      </c>
      <c r="DC103" s="84" t="n">
        <f aca="false">CZ103+$F103*DA103</f>
        <v>0</v>
      </c>
      <c r="DD103" s="84" t="n">
        <f aca="false">CN103+CX103+(1-$F103)*DA103</f>
        <v>0</v>
      </c>
      <c r="DE103" s="84" t="n">
        <f aca="false">CO103+DC103</f>
        <v>0</v>
      </c>
      <c r="DF103" s="133" t="n">
        <f aca="false">CS103+$D103*Inputs!$G$13-$D103*$E103</f>
        <v>27757.168</v>
      </c>
      <c r="DG103" s="84" t="n">
        <f aca="false">DF103*(1+$I103)</f>
        <v>33308.6016</v>
      </c>
      <c r="DH103" s="133" t="n">
        <f aca="false">DG103*Inputs!$G$14</f>
        <v>6661.72032</v>
      </c>
      <c r="DI103" s="84" t="n">
        <f aca="false">DG103-DH103</f>
        <v>26646.88128</v>
      </c>
      <c r="DJ103" s="133" t="n">
        <f aca="false">CV103+$D103*Inputs!$G$13</f>
        <v>20000</v>
      </c>
      <c r="DK103" s="84" t="n">
        <f aca="false">MIN(DH103,DJ103)</f>
        <v>6661.72032</v>
      </c>
      <c r="DL103" s="84" t="n">
        <f aca="false">DJ103-DK103</f>
        <v>13338.27968</v>
      </c>
      <c r="DM103" s="84" t="n">
        <f aca="false">CY103+$G103*(DJ103+CY103)</f>
        <v>5343.7161472</v>
      </c>
      <c r="DN103" s="84" t="n">
        <f aca="false">MIN(DH103-DK103,DM103)</f>
        <v>0</v>
      </c>
      <c r="DO103" s="84" t="n">
        <f aca="false">DM103-DN103</f>
        <v>5343.7161472</v>
      </c>
      <c r="DP103" s="84" t="n">
        <f aca="false">IF($H103=1,MIN(DH103-DK103-DN103,MAX(0,$F103/(1-$F103)*(DD103+DN103)-DE103)),0)</f>
        <v>0</v>
      </c>
      <c r="DQ103" s="84" t="n">
        <f aca="false">DH103-DK103-DN103-DP103</f>
        <v>0</v>
      </c>
      <c r="DR103" s="84" t="n">
        <f aca="false">DK103+DN103+(1-$F103)*DQ103</f>
        <v>6661.72032</v>
      </c>
      <c r="DS103" s="84" t="n">
        <f aca="false">DP103+$F103*DQ103</f>
        <v>0</v>
      </c>
      <c r="DT103" s="84" t="n">
        <f aca="false">DD103+DN103+(1-$F103)*DQ103</f>
        <v>0</v>
      </c>
      <c r="DU103" s="84" t="n">
        <f aca="false">DE103+DS103</f>
        <v>0</v>
      </c>
      <c r="DV103" s="133" t="n">
        <f aca="false">DI103+$D103*Inputs!$H$13-$D103*$E103</f>
        <v>26376.88128</v>
      </c>
      <c r="DW103" s="84" t="n">
        <f aca="false">DV103*(1+$I103)</f>
        <v>31652.257536</v>
      </c>
      <c r="DX103" s="133" t="n">
        <f aca="false">DW103*Inputs!$H$14</f>
        <v>6330.4515072</v>
      </c>
      <c r="DY103" s="84" t="n">
        <f aca="false">DW103-DX103</f>
        <v>25321.8060288</v>
      </c>
      <c r="DZ103" s="133" t="n">
        <f aca="false">DL103+$D103*Inputs!$H$13</f>
        <v>13338.27968</v>
      </c>
      <c r="EA103" s="84" t="n">
        <f aca="false">MIN(DX103,DZ103)</f>
        <v>6330.4515072</v>
      </c>
      <c r="EB103" s="84" t="n">
        <f aca="false">DZ103-EA103</f>
        <v>7007.8281728</v>
      </c>
      <c r="EC103" s="84" t="n">
        <f aca="false">DO103+$G103*(DZ103+DO103)</f>
        <v>6838.275813376</v>
      </c>
      <c r="ED103" s="84" t="n">
        <f aca="false">MIN(DX103-EA103,EC103)</f>
        <v>0</v>
      </c>
      <c r="EE103" s="84" t="n">
        <f aca="false">EC103-ED103</f>
        <v>6838.275813376</v>
      </c>
      <c r="EF103" s="84" t="n">
        <f aca="false">IF($H103=1,MIN(DX103-EA103-ED103,MAX(0,$F103/(1-$F103)*(DT103+ED103)-DU103)),0)</f>
        <v>0</v>
      </c>
      <c r="EG103" s="84" t="n">
        <f aca="false">DX103-EA103-ED103-EF103</f>
        <v>0</v>
      </c>
      <c r="EH103" s="84" t="n">
        <f aca="false">EA103+ED103+(1-$F103)*EG103</f>
        <v>6330.4515072</v>
      </c>
      <c r="EI103" s="84" t="n">
        <f aca="false">EF103+$F103*EG103</f>
        <v>0</v>
      </c>
      <c r="EJ103" s="84" t="n">
        <f aca="false">DT103+ED103+(1-$F103)*EG103</f>
        <v>0</v>
      </c>
      <c r="EK103" s="84" t="n">
        <f aca="false">DU103+EI103</f>
        <v>0</v>
      </c>
      <c r="EL103" s="133" t="n">
        <f aca="false">DY103+$D103*Inputs!$I$13-$D103*$E103</f>
        <v>25051.8060288</v>
      </c>
      <c r="EM103" s="84" t="n">
        <f aca="false">EL103*(1+$I103)</f>
        <v>30062.16723456</v>
      </c>
      <c r="EN103" s="133" t="n">
        <f aca="false">EM103*Inputs!$I$14</f>
        <v>6012.433446912</v>
      </c>
      <c r="EO103" s="84" t="n">
        <f aca="false">EM103-EN103</f>
        <v>24049.733787648</v>
      </c>
      <c r="EP103" s="133" t="n">
        <f aca="false">EB103+$D103*Inputs!$I$13</f>
        <v>7007.8281728</v>
      </c>
      <c r="EQ103" s="84" t="n">
        <f aca="false">MIN(EN103,EP103)</f>
        <v>6012.433446912</v>
      </c>
      <c r="ER103" s="84" t="n">
        <f aca="false">EP103-EQ103</f>
        <v>995.394725888003</v>
      </c>
      <c r="ES103" s="84" t="n">
        <f aca="false">EE103+$G103*(EP103+EE103)</f>
        <v>7945.96413227008</v>
      </c>
      <c r="ET103" s="84" t="n">
        <f aca="false">MIN(EN103-EQ103,ES103)</f>
        <v>0</v>
      </c>
      <c r="EU103" s="84" t="n">
        <f aca="false">ES103-ET103</f>
        <v>7945.96413227008</v>
      </c>
      <c r="EV103" s="84" t="n">
        <f aca="false">IF($H103=1,MIN(EN103-EQ103-ET103,MAX(0,$F103/(1-$F103)*(EJ103+ET103)-EK103)),0)</f>
        <v>0</v>
      </c>
      <c r="EW103" s="84" t="n">
        <f aca="false">EN103-EQ103-ET103-EV103</f>
        <v>0</v>
      </c>
      <c r="EX103" s="84" t="n">
        <f aca="false">EQ103+ET103+(1-$F103)*EW103</f>
        <v>6012.433446912</v>
      </c>
      <c r="EY103" s="84" t="n">
        <f aca="false">EV103+$F103*EW103</f>
        <v>0</v>
      </c>
      <c r="EZ103" s="84" t="n">
        <f aca="false">EJ103+ET103+(1-$F103)*EW103</f>
        <v>0</v>
      </c>
      <c r="FA103" s="84" t="n">
        <f aca="false">EK103+EY103</f>
        <v>0</v>
      </c>
      <c r="FB103" s="133" t="n">
        <f aca="false">EO103+$D103*Inputs!$J$13-$D103*$E103</f>
        <v>23779.733787648</v>
      </c>
      <c r="FC103" s="84" t="n">
        <f aca="false">FB103*(1+$I103)</f>
        <v>28535.6805451776</v>
      </c>
      <c r="FD103" s="133" t="n">
        <f aca="false">FC103*Inputs!$J$14</f>
        <v>5707.13610903552</v>
      </c>
      <c r="FE103" s="84" t="n">
        <f aca="false">FC103-FD103</f>
        <v>22828.5444361421</v>
      </c>
      <c r="FF103" s="133" t="n">
        <f aca="false">ER103+$D103*Inputs!$J$13</f>
        <v>995.394725888003</v>
      </c>
      <c r="FG103" s="84" t="n">
        <f aca="false">MIN(FD103,FF103)</f>
        <v>995.394725888003</v>
      </c>
      <c r="FH103" s="84" t="n">
        <f aca="false">FF103-FG103</f>
        <v>0</v>
      </c>
      <c r="FI103" s="84" t="n">
        <f aca="false">EU103+$G103*(FF103+EU103)</f>
        <v>8661.27284092273</v>
      </c>
      <c r="FJ103" s="84" t="n">
        <f aca="false">MIN(FD103-FG103,FI103)</f>
        <v>4711.74138314751</v>
      </c>
      <c r="FK103" s="84" t="n">
        <f aca="false">FI103-FJ103</f>
        <v>3949.53145777521</v>
      </c>
      <c r="FL103" s="84" t="n">
        <f aca="false">IF($H103=1,MIN(FD103-FG103-FJ103,MAX(0,$F103/(1-$F103)*(EZ103+FJ103)-FA103)),0)</f>
        <v>0</v>
      </c>
      <c r="FM103" s="84" t="n">
        <f aca="false">FD103-FG103-FJ103-FL103</f>
        <v>0</v>
      </c>
      <c r="FN103" s="84" t="n">
        <f aca="false">FG103+FJ103+(1-$F103)*FM103</f>
        <v>5707.13610903552</v>
      </c>
      <c r="FO103" s="84" t="n">
        <f aca="false">FL103+$F103*FM103</f>
        <v>0</v>
      </c>
      <c r="FP103" s="84" t="n">
        <f aca="false">EZ103+FJ103+(1-$F103)*FM103</f>
        <v>4711.74138314751</v>
      </c>
      <c r="FQ103" s="84" t="n">
        <f aca="false">FA103+FO103</f>
        <v>0</v>
      </c>
      <c r="FR103" s="133" t="n">
        <f aca="false">FE103+$D103*Inputs!$K$13-$D103*$E103</f>
        <v>22558.5444361421</v>
      </c>
      <c r="FS103" s="84" t="n">
        <f aca="false">FR103*(1+$I103)</f>
        <v>27070.2533233705</v>
      </c>
      <c r="FT103" s="133" t="n">
        <f aca="false">FS103*Inputs!$K$14</f>
        <v>5414.0506646741</v>
      </c>
      <c r="FU103" s="84" t="n">
        <f aca="false">FS103-FT103</f>
        <v>21656.2026586964</v>
      </c>
      <c r="FV103" s="133" t="n">
        <f aca="false">FH103+$D103*Inputs!$K$13</f>
        <v>0</v>
      </c>
      <c r="FW103" s="84" t="n">
        <f aca="false">MIN(FT103,FV103)</f>
        <v>0</v>
      </c>
      <c r="FX103" s="84" t="n">
        <f aca="false">FV103-FW103</f>
        <v>0</v>
      </c>
      <c r="FY103" s="84" t="n">
        <f aca="false">FK103+$G103*(FV103+FK103)</f>
        <v>4265.49397439723</v>
      </c>
      <c r="FZ103" s="84" t="n">
        <f aca="false">MIN(FT103-FW103,FY103)</f>
        <v>4265.49397439723</v>
      </c>
      <c r="GA103" s="84" t="n">
        <f aca="false">FY103-FZ103</f>
        <v>0</v>
      </c>
      <c r="GB103" s="84" t="n">
        <f aca="false">IF($H103=1,MIN(FT103-FW103-FZ103,MAX(0,$F103/(1-$F103)*(FP103+FZ103)-FQ103)),0)</f>
        <v>0</v>
      </c>
      <c r="GC103" s="84" t="n">
        <f aca="false">FT103-FW103-FZ103-GB103</f>
        <v>1148.55669027687</v>
      </c>
      <c r="GD103" s="84" t="n">
        <f aca="false">FW103+FZ103+(1-$F103)*GC103</f>
        <v>5184.33932661872</v>
      </c>
      <c r="GE103" s="84" t="n">
        <f aca="false">GB103+$F103*GC103</f>
        <v>229.711338055374</v>
      </c>
      <c r="GF103" s="84" t="n">
        <f aca="false">FP103+FZ103+(1-$F103)*GC103</f>
        <v>9896.08070976624</v>
      </c>
      <c r="GG103" s="84" t="n">
        <f aca="false">FQ103+GE103</f>
        <v>229.711338055374</v>
      </c>
      <c r="GH103" s="133" t="n">
        <f aca="false">FU103+$D103*Inputs!$L$13-$D103*$E103</f>
        <v>21386.2026586964</v>
      </c>
      <c r="GI103" s="84" t="n">
        <f aca="false">GH103*(1+$I103)</f>
        <v>25663.4431904357</v>
      </c>
      <c r="GJ103" s="133" t="n">
        <f aca="false">GI103*Inputs!$L$14</f>
        <v>25663.4431904357</v>
      </c>
      <c r="GK103" s="84" t="n">
        <f aca="false">GI103-GJ103</f>
        <v>0</v>
      </c>
      <c r="GL103" s="133" t="n">
        <f aca="false">FX103+$D103*Inputs!$L$13</f>
        <v>0</v>
      </c>
      <c r="GM103" s="84" t="n">
        <f aca="false">MIN(GJ103,GL103)</f>
        <v>0</v>
      </c>
      <c r="GN103" s="84" t="n">
        <f aca="false">GL103-GM103</f>
        <v>0</v>
      </c>
      <c r="GO103" s="84" t="n">
        <f aca="false">GA103+$G103*(GL103+GA103)</f>
        <v>0</v>
      </c>
      <c r="GP103" s="84" t="n">
        <f aca="false">MIN(GJ103-GM103,GO103)</f>
        <v>0</v>
      </c>
      <c r="GQ103" s="84" t="n">
        <f aca="false">GO103-GP103</f>
        <v>0</v>
      </c>
      <c r="GR103" s="84" t="n">
        <f aca="false">IF($H103=1,MIN(GJ103-GM103-GP103,MAX(0,$F103/(1-$F103)*(GF103+GP103)-GG103)),0)</f>
        <v>0</v>
      </c>
      <c r="GS103" s="84" t="n">
        <f aca="false">GJ103-GM103-GP103-GR103</f>
        <v>25663.4431904357</v>
      </c>
      <c r="GT103" s="84" t="n">
        <f aca="false">GM103+GP103+(1-$F103)*GS103</f>
        <v>20530.7545523485</v>
      </c>
      <c r="GU103" s="84" t="n">
        <f aca="false">GR103+$F103*GS103</f>
        <v>5132.68863808713</v>
      </c>
      <c r="GV103" s="84" t="n">
        <f aca="false">GF103+GP103+(1-$F103)*GS103</f>
        <v>30426.8352621148</v>
      </c>
      <c r="GW103" s="84" t="n">
        <f aca="false">GG103+GU103</f>
        <v>5362.39997614251</v>
      </c>
    </row>
    <row r="104" customFormat="false" ht="15" hidden="false" customHeight="false" outlineLevel="0" collapsed="false">
      <c r="A104" s="5" t="s">
        <v>639</v>
      </c>
      <c r="B104" s="5" t="s">
        <v>427</v>
      </c>
      <c r="C104" s="135" t="n">
        <v>21</v>
      </c>
      <c r="D104" s="47" t="n">
        <f aca="false">Inputs!$C$6</f>
        <v>20000</v>
      </c>
      <c r="E104" s="35" t="n">
        <f aca="false">Inputs!$C$19</f>
        <v>0.0135</v>
      </c>
      <c r="F104" s="36" t="n">
        <f aca="false">Inputs!$C$20</f>
        <v>0.2</v>
      </c>
      <c r="G104" s="36" t="n">
        <f aca="false">Inputs!$C$22</f>
        <v>0.08</v>
      </c>
      <c r="H104" s="27" t="n">
        <v>0</v>
      </c>
      <c r="I104" s="132" t="n">
        <f aca="false">Inputs!$C$38+$C104*Inputs!$C$39</f>
        <v>0.21</v>
      </c>
      <c r="J104" s="36" t="n">
        <f aca="false">Inputs!$C$9</f>
        <v>0.15</v>
      </c>
      <c r="K104" s="89" t="n">
        <f aca="false">IRR(W104:AG104,0.1)</f>
        <v>0.175024241857651</v>
      </c>
      <c r="L104" s="45" t="n">
        <f aca="false">W104+NPV($J104,X104:AG104)</f>
        <v>2096.83827226837</v>
      </c>
      <c r="M104" s="45" t="n">
        <f aca="false">SUM(BF104,BV104,CL104,DB104,DR104,EH104,EX104,FN104,GD104,GT104)</f>
        <v>53016.2502777236</v>
      </c>
      <c r="N104" s="43" t="n">
        <f aca="false">IF($D104*SUM(Inputs!$C$13:$L$13)=0,0,M104/($D104*SUM(Inputs!$C$13:$L$13)))</f>
        <v>2.65081251388618</v>
      </c>
      <c r="O104" s="42" t="n">
        <f aca="false">$D104*$E104*COLUMNS(Inputs!$C$13:$L$13)</f>
        <v>2700</v>
      </c>
      <c r="P104" s="45" t="n">
        <f aca="false">SUM(BG104,BW104,CM104,DC104,DS104,EI104,EY104,FO104,GE104,GU104)</f>
        <v>6059.96135241141</v>
      </c>
      <c r="Q104" s="42" t="n">
        <f aca="false">PV($J104,COLUMNS(Inputs!$C$13:$L$13),-$D104*$E104,0,1)</f>
        <v>1558.32765832774</v>
      </c>
      <c r="R104" s="45" t="n">
        <f aca="false">NPV($J104,BG104,BW104,CM104,DC104,DS104,EI104,EY104,FO104,GE104,GU104)</f>
        <v>1518.10154208657</v>
      </c>
      <c r="S104" s="45" t="n">
        <f aca="false">Q104+R104</f>
        <v>3076.42920041431</v>
      </c>
      <c r="T104" s="32" t="n">
        <f aca="false">IF(S104=0,0,Q104/S104)</f>
        <v>0.506537793269507</v>
      </c>
      <c r="U104" s="45" t="n">
        <f aca="false">ROUND(ABS(GK104)+ABS(SUM(AV104,BL104,CB104,CR104,DH104,DX104,EN104,FD104,FT104,GJ104)-M104-P104)+ABS(S104-(AH104+NPV($J104,AI104:AR104))),6)</f>
        <v>0</v>
      </c>
      <c r="W104" s="133" t="n">
        <f aca="false">-$D104*Inputs!$C$13</f>
        <v>-4000</v>
      </c>
      <c r="X104" s="133" t="n">
        <f aca="false">BF104-$D104*Inputs!$D$13</f>
        <v>-4000</v>
      </c>
      <c r="Y104" s="133" t="n">
        <f aca="false">BV104-$D104*Inputs!$E$13</f>
        <v>-4000</v>
      </c>
      <c r="Z104" s="133" t="n">
        <f aca="false">CL104-$D104*Inputs!$F$13</f>
        <v>-4000</v>
      </c>
      <c r="AA104" s="133" t="n">
        <f aca="false">DB104-$D104*Inputs!$G$13</f>
        <v>-4000</v>
      </c>
      <c r="AB104" s="133" t="n">
        <f aca="false">DR104-$D104*Inputs!$H$13</f>
        <v>6850.5122334946</v>
      </c>
      <c r="AC104" s="133" t="n">
        <f aca="false">EH104-$D104*Inputs!$I$13</f>
        <v>6565.95584202277</v>
      </c>
      <c r="AD104" s="133" t="n">
        <f aca="false">EX104-$D104*Inputs!$J$13</f>
        <v>6290.50525507804</v>
      </c>
      <c r="AE104" s="133" t="n">
        <f aca="false">FN104-$D104*Inputs!$K$13</f>
        <v>6023.86908691555</v>
      </c>
      <c r="AF104" s="133" t="n">
        <f aca="false">GD104-$D104*Inputs!$L$13</f>
        <v>5221.7247110208</v>
      </c>
      <c r="AG104" s="84" t="n">
        <f aca="false">GT104</f>
        <v>22063.6831491918</v>
      </c>
      <c r="AH104" s="84" t="n">
        <f aca="false">$D104*$E104</f>
        <v>270</v>
      </c>
      <c r="AI104" s="84" t="n">
        <f aca="false">BG104+$D104*$E104</f>
        <v>270</v>
      </c>
      <c r="AJ104" s="84" t="n">
        <f aca="false">BW104+$D104*$E104</f>
        <v>270</v>
      </c>
      <c r="AK104" s="84" t="n">
        <f aca="false">CM104+$D104*$E104</f>
        <v>270</v>
      </c>
      <c r="AL104" s="84" t="n">
        <f aca="false">DC104+$D104*$E104</f>
        <v>270</v>
      </c>
      <c r="AM104" s="84" t="n">
        <f aca="false">DS104+$D104*$E104</f>
        <v>270</v>
      </c>
      <c r="AN104" s="84" t="n">
        <f aca="false">EI104+$D104*$E104</f>
        <v>270</v>
      </c>
      <c r="AO104" s="84" t="n">
        <f aca="false">EY104+$D104*$E104</f>
        <v>270</v>
      </c>
      <c r="AP104" s="84" t="n">
        <f aca="false">FO104+$D104*$E104</f>
        <v>270</v>
      </c>
      <c r="AQ104" s="84" t="n">
        <f aca="false">GE104+$D104*$E104</f>
        <v>814.040565113454</v>
      </c>
      <c r="AR104" s="84" t="n">
        <f aca="false">GU104</f>
        <v>5515.92078729795</v>
      </c>
      <c r="AT104" s="133" t="n">
        <f aca="false">$D104*Inputs!$C$13-$D104*$E104</f>
        <v>3730</v>
      </c>
      <c r="AU104" s="84" t="n">
        <f aca="false">AT104*(1+$I104)</f>
        <v>4513.3</v>
      </c>
      <c r="AV104" s="133" t="n">
        <f aca="false">AU104*Inputs!$C$14</f>
        <v>0</v>
      </c>
      <c r="AW104" s="84" t="n">
        <f aca="false">AU104-AV104</f>
        <v>4513.3</v>
      </c>
      <c r="AX104" s="133" t="n">
        <f aca="false">$D104*Inputs!$C$13</f>
        <v>4000</v>
      </c>
      <c r="AY104" s="84" t="n">
        <f aca="false">MIN(AV104,AX104)</f>
        <v>0</v>
      </c>
      <c r="AZ104" s="84" t="n">
        <f aca="false">AX104-AY104</f>
        <v>4000</v>
      </c>
      <c r="BA104" s="84" t="n">
        <f aca="false">$G104*AX104</f>
        <v>320</v>
      </c>
      <c r="BB104" s="84" t="n">
        <f aca="false">MIN(AV104-AY104,BA104)</f>
        <v>0</v>
      </c>
      <c r="BC104" s="84" t="n">
        <f aca="false">BA104-BB104</f>
        <v>320</v>
      </c>
      <c r="BD104" s="84" t="n">
        <f aca="false">IF($H104=1,MIN(AV104-AY104-BB104,MAX(0,$F104/(1-$F104)*BB104)),0)</f>
        <v>0</v>
      </c>
      <c r="BE104" s="84" t="n">
        <f aca="false">AV104-AY104-BB104-BD104</f>
        <v>0</v>
      </c>
      <c r="BF104" s="84" t="n">
        <f aca="false">AY104+BB104+(1-$F104)*BE104</f>
        <v>0</v>
      </c>
      <c r="BG104" s="84" t="n">
        <f aca="false">BD104+$F104*BE104</f>
        <v>0</v>
      </c>
      <c r="BH104" s="84" t="n">
        <f aca="false">BB104+(1-$F104)*BE104</f>
        <v>0</v>
      </c>
      <c r="BI104" s="84" t="n">
        <f aca="false">BG104</f>
        <v>0</v>
      </c>
      <c r="BJ104" s="133" t="n">
        <f aca="false">AW104+$D104*Inputs!$D$13-$D104*$E104</f>
        <v>8243.3</v>
      </c>
      <c r="BK104" s="84" t="n">
        <f aca="false">BJ104*(1+$I104)</f>
        <v>9974.393</v>
      </c>
      <c r="BL104" s="133" t="n">
        <f aca="false">BK104*Inputs!$D$14</f>
        <v>0</v>
      </c>
      <c r="BM104" s="84" t="n">
        <f aca="false">BK104-BL104</f>
        <v>9974.393</v>
      </c>
      <c r="BN104" s="133" t="n">
        <f aca="false">AZ104+$D104*Inputs!$D$13</f>
        <v>8000</v>
      </c>
      <c r="BO104" s="84" t="n">
        <f aca="false">MIN(BL104,BN104)</f>
        <v>0</v>
      </c>
      <c r="BP104" s="84" t="n">
        <f aca="false">BN104-BO104</f>
        <v>8000</v>
      </c>
      <c r="BQ104" s="84" t="n">
        <f aca="false">BC104+$G104*(BN104+BC104)</f>
        <v>985.6</v>
      </c>
      <c r="BR104" s="84" t="n">
        <f aca="false">MIN(BL104-BO104,BQ104)</f>
        <v>0</v>
      </c>
      <c r="BS104" s="84" t="n">
        <f aca="false">BQ104-BR104</f>
        <v>985.6</v>
      </c>
      <c r="BT104" s="84" t="n">
        <f aca="false">IF($H104=1,MIN(BL104-BO104-BR104,MAX(0,$F104/(1-$F104)*(BH104+BR104)-BI104)),0)</f>
        <v>0</v>
      </c>
      <c r="BU104" s="84" t="n">
        <f aca="false">BL104-BO104-BR104-BT104</f>
        <v>0</v>
      </c>
      <c r="BV104" s="84" t="n">
        <f aca="false">BO104+BR104+(1-$F104)*BU104</f>
        <v>0</v>
      </c>
      <c r="BW104" s="84" t="n">
        <f aca="false">BT104+$F104*BU104</f>
        <v>0</v>
      </c>
      <c r="BX104" s="84" t="n">
        <f aca="false">BH104+BR104+(1-$F104)*BU104</f>
        <v>0</v>
      </c>
      <c r="BY104" s="84" t="n">
        <f aca="false">BI104+BW104</f>
        <v>0</v>
      </c>
      <c r="BZ104" s="133" t="n">
        <f aca="false">BM104+$D104*Inputs!$E$13-$D104*$E104</f>
        <v>13704.393</v>
      </c>
      <c r="CA104" s="84" t="n">
        <f aca="false">BZ104*(1+$I104)</f>
        <v>16582.31553</v>
      </c>
      <c r="CB104" s="133" t="n">
        <f aca="false">CA104*Inputs!$E$14</f>
        <v>0</v>
      </c>
      <c r="CC104" s="84" t="n">
        <f aca="false">CA104-CB104</f>
        <v>16582.31553</v>
      </c>
      <c r="CD104" s="133" t="n">
        <f aca="false">BP104+$D104*Inputs!$E$13</f>
        <v>12000</v>
      </c>
      <c r="CE104" s="84" t="n">
        <f aca="false">MIN(CB104,CD104)</f>
        <v>0</v>
      </c>
      <c r="CF104" s="84" t="n">
        <f aca="false">CD104-CE104</f>
        <v>12000</v>
      </c>
      <c r="CG104" s="84" t="n">
        <f aca="false">BS104+$G104*(CD104+BS104)</f>
        <v>2024.448</v>
      </c>
      <c r="CH104" s="84" t="n">
        <f aca="false">MIN(CB104-CE104,CG104)</f>
        <v>0</v>
      </c>
      <c r="CI104" s="84" t="n">
        <f aca="false">CG104-CH104</f>
        <v>2024.448</v>
      </c>
      <c r="CJ104" s="84" t="n">
        <f aca="false">IF($H104=1,MIN(CB104-CE104-CH104,MAX(0,$F104/(1-$F104)*(BX104+CH104)-BY104)),0)</f>
        <v>0</v>
      </c>
      <c r="CK104" s="84" t="n">
        <f aca="false">CB104-CE104-CH104-CJ104</f>
        <v>0</v>
      </c>
      <c r="CL104" s="84" t="n">
        <f aca="false">CE104+CH104+(1-$F104)*CK104</f>
        <v>0</v>
      </c>
      <c r="CM104" s="84" t="n">
        <f aca="false">CJ104+$F104*CK104</f>
        <v>0</v>
      </c>
      <c r="CN104" s="84" t="n">
        <f aca="false">BX104+CH104+(1-$F104)*CK104</f>
        <v>0</v>
      </c>
      <c r="CO104" s="84" t="n">
        <f aca="false">BY104+CM104</f>
        <v>0</v>
      </c>
      <c r="CP104" s="133" t="n">
        <f aca="false">CC104+$D104*Inputs!$F$13-$D104*$E104</f>
        <v>20312.31553</v>
      </c>
      <c r="CQ104" s="84" t="n">
        <f aca="false">CP104*(1+$I104)</f>
        <v>24577.9017913</v>
      </c>
      <c r="CR104" s="133" t="n">
        <f aca="false">CQ104*Inputs!$F$14</f>
        <v>0</v>
      </c>
      <c r="CS104" s="84" t="n">
        <f aca="false">CQ104-CR104</f>
        <v>24577.9017913</v>
      </c>
      <c r="CT104" s="133" t="n">
        <f aca="false">CF104+$D104*Inputs!$F$13</f>
        <v>16000</v>
      </c>
      <c r="CU104" s="84" t="n">
        <f aca="false">MIN(CR104,CT104)</f>
        <v>0</v>
      </c>
      <c r="CV104" s="84" t="n">
        <f aca="false">CT104-CU104</f>
        <v>16000</v>
      </c>
      <c r="CW104" s="84" t="n">
        <f aca="false">CI104+$G104*(CT104+CI104)</f>
        <v>3466.40384</v>
      </c>
      <c r="CX104" s="84" t="n">
        <f aca="false">MIN(CR104-CU104,CW104)</f>
        <v>0</v>
      </c>
      <c r="CY104" s="84" t="n">
        <f aca="false">CW104-CX104</f>
        <v>3466.40384</v>
      </c>
      <c r="CZ104" s="84" t="n">
        <f aca="false">IF($H104=1,MIN(CR104-CU104-CX104,MAX(0,$F104/(1-$F104)*(CN104+CX104)-CO104)),0)</f>
        <v>0</v>
      </c>
      <c r="DA104" s="84" t="n">
        <f aca="false">CR104-CU104-CX104-CZ104</f>
        <v>0</v>
      </c>
      <c r="DB104" s="84" t="n">
        <f aca="false">CU104+CX104+(1-$F104)*DA104</f>
        <v>0</v>
      </c>
      <c r="DC104" s="84" t="n">
        <f aca="false">CZ104+$F104*DA104</f>
        <v>0</v>
      </c>
      <c r="DD104" s="84" t="n">
        <f aca="false">CN104+CX104+(1-$F104)*DA104</f>
        <v>0</v>
      </c>
      <c r="DE104" s="84" t="n">
        <f aca="false">CO104+DC104</f>
        <v>0</v>
      </c>
      <c r="DF104" s="133" t="n">
        <f aca="false">CS104+$D104*Inputs!$G$13-$D104*$E104</f>
        <v>28307.9017913</v>
      </c>
      <c r="DG104" s="84" t="n">
        <f aca="false">DF104*(1+$I104)</f>
        <v>34252.561167473</v>
      </c>
      <c r="DH104" s="133" t="n">
        <f aca="false">DG104*Inputs!$G$14</f>
        <v>6850.5122334946</v>
      </c>
      <c r="DI104" s="84" t="n">
        <f aca="false">DG104-DH104</f>
        <v>27402.0489339784</v>
      </c>
      <c r="DJ104" s="133" t="n">
        <f aca="false">CV104+$D104*Inputs!$G$13</f>
        <v>20000</v>
      </c>
      <c r="DK104" s="84" t="n">
        <f aca="false">MIN(DH104,DJ104)</f>
        <v>6850.5122334946</v>
      </c>
      <c r="DL104" s="84" t="n">
        <f aca="false">DJ104-DK104</f>
        <v>13149.4877665054</v>
      </c>
      <c r="DM104" s="84" t="n">
        <f aca="false">CY104+$G104*(DJ104+CY104)</f>
        <v>5343.7161472</v>
      </c>
      <c r="DN104" s="84" t="n">
        <f aca="false">MIN(DH104-DK104,DM104)</f>
        <v>0</v>
      </c>
      <c r="DO104" s="84" t="n">
        <f aca="false">DM104-DN104</f>
        <v>5343.7161472</v>
      </c>
      <c r="DP104" s="84" t="n">
        <f aca="false">IF($H104=1,MIN(DH104-DK104-DN104,MAX(0,$F104/(1-$F104)*(DD104+DN104)-DE104)),0)</f>
        <v>0</v>
      </c>
      <c r="DQ104" s="84" t="n">
        <f aca="false">DH104-DK104-DN104-DP104</f>
        <v>0</v>
      </c>
      <c r="DR104" s="84" t="n">
        <f aca="false">DK104+DN104+(1-$F104)*DQ104</f>
        <v>6850.5122334946</v>
      </c>
      <c r="DS104" s="84" t="n">
        <f aca="false">DP104+$F104*DQ104</f>
        <v>0</v>
      </c>
      <c r="DT104" s="84" t="n">
        <f aca="false">DD104+DN104+(1-$F104)*DQ104</f>
        <v>0</v>
      </c>
      <c r="DU104" s="84" t="n">
        <f aca="false">DE104+DS104</f>
        <v>0</v>
      </c>
      <c r="DV104" s="133" t="n">
        <f aca="false">DI104+$D104*Inputs!$H$13-$D104*$E104</f>
        <v>27132.0489339784</v>
      </c>
      <c r="DW104" s="84" t="n">
        <f aca="false">DV104*(1+$I104)</f>
        <v>32829.7792101139</v>
      </c>
      <c r="DX104" s="133" t="n">
        <f aca="false">DW104*Inputs!$H$14</f>
        <v>6565.95584202277</v>
      </c>
      <c r="DY104" s="84" t="n">
        <f aca="false">DW104-DX104</f>
        <v>26263.8233680911</v>
      </c>
      <c r="DZ104" s="133" t="n">
        <f aca="false">DL104+$D104*Inputs!$H$13</f>
        <v>13149.4877665054</v>
      </c>
      <c r="EA104" s="84" t="n">
        <f aca="false">MIN(DX104,DZ104)</f>
        <v>6565.95584202277</v>
      </c>
      <c r="EB104" s="84" t="n">
        <f aca="false">DZ104-EA104</f>
        <v>6583.53192448263</v>
      </c>
      <c r="EC104" s="84" t="n">
        <f aca="false">DO104+$G104*(DZ104+DO104)</f>
        <v>6823.17246029643</v>
      </c>
      <c r="ED104" s="84" t="n">
        <f aca="false">MIN(DX104-EA104,EC104)</f>
        <v>0</v>
      </c>
      <c r="EE104" s="84" t="n">
        <f aca="false">EC104-ED104</f>
        <v>6823.17246029643</v>
      </c>
      <c r="EF104" s="84" t="n">
        <f aca="false">IF($H104=1,MIN(DX104-EA104-ED104,MAX(0,$F104/(1-$F104)*(DT104+ED104)-DU104)),0)</f>
        <v>0</v>
      </c>
      <c r="EG104" s="84" t="n">
        <f aca="false">DX104-EA104-ED104-EF104</f>
        <v>0</v>
      </c>
      <c r="EH104" s="84" t="n">
        <f aca="false">EA104+ED104+(1-$F104)*EG104</f>
        <v>6565.95584202277</v>
      </c>
      <c r="EI104" s="84" t="n">
        <f aca="false">EF104+$F104*EG104</f>
        <v>0</v>
      </c>
      <c r="EJ104" s="84" t="n">
        <f aca="false">DT104+ED104+(1-$F104)*EG104</f>
        <v>0</v>
      </c>
      <c r="EK104" s="84" t="n">
        <f aca="false">DU104+EI104</f>
        <v>0</v>
      </c>
      <c r="EL104" s="133" t="n">
        <f aca="false">DY104+$D104*Inputs!$I$13-$D104*$E104</f>
        <v>25993.8233680911</v>
      </c>
      <c r="EM104" s="84" t="n">
        <f aca="false">EL104*(1+$I104)</f>
        <v>31452.5262753902</v>
      </c>
      <c r="EN104" s="133" t="n">
        <f aca="false">EM104*Inputs!$I$14</f>
        <v>6290.50525507804</v>
      </c>
      <c r="EO104" s="84" t="n">
        <f aca="false">EM104-EN104</f>
        <v>25162.0210203122</v>
      </c>
      <c r="EP104" s="133" t="n">
        <f aca="false">EB104+$D104*Inputs!$I$13</f>
        <v>6583.53192448263</v>
      </c>
      <c r="EQ104" s="84" t="n">
        <f aca="false">MIN(EN104,EP104)</f>
        <v>6290.50525507804</v>
      </c>
      <c r="ER104" s="84" t="n">
        <f aca="false">EP104-EQ104</f>
        <v>293.026669404584</v>
      </c>
      <c r="ES104" s="84" t="n">
        <f aca="false">EE104+$G104*(EP104+EE104)</f>
        <v>7895.70881107876</v>
      </c>
      <c r="ET104" s="84" t="n">
        <f aca="false">MIN(EN104-EQ104,ES104)</f>
        <v>0</v>
      </c>
      <c r="EU104" s="84" t="n">
        <f aca="false">ES104-ET104</f>
        <v>7895.70881107876</v>
      </c>
      <c r="EV104" s="84" t="n">
        <f aca="false">IF($H104=1,MIN(EN104-EQ104-ET104,MAX(0,$F104/(1-$F104)*(EJ104+ET104)-EK104)),0)</f>
        <v>0</v>
      </c>
      <c r="EW104" s="84" t="n">
        <f aca="false">EN104-EQ104-ET104-EV104</f>
        <v>0</v>
      </c>
      <c r="EX104" s="84" t="n">
        <f aca="false">EQ104+ET104+(1-$F104)*EW104</f>
        <v>6290.50525507804</v>
      </c>
      <c r="EY104" s="84" t="n">
        <f aca="false">EV104+$F104*EW104</f>
        <v>0</v>
      </c>
      <c r="EZ104" s="84" t="n">
        <f aca="false">EJ104+ET104+(1-$F104)*EW104</f>
        <v>0</v>
      </c>
      <c r="FA104" s="84" t="n">
        <f aca="false">EK104+EY104</f>
        <v>0</v>
      </c>
      <c r="FB104" s="133" t="n">
        <f aca="false">EO104+$D104*Inputs!$J$13-$D104*$E104</f>
        <v>24892.0210203122</v>
      </c>
      <c r="FC104" s="84" t="n">
        <f aca="false">FB104*(1+$I104)</f>
        <v>30119.3454345777</v>
      </c>
      <c r="FD104" s="133" t="n">
        <f aca="false">FC104*Inputs!$J$14</f>
        <v>6023.86908691555</v>
      </c>
      <c r="FE104" s="84" t="n">
        <f aca="false">FC104-FD104</f>
        <v>24095.4763476622</v>
      </c>
      <c r="FF104" s="133" t="n">
        <f aca="false">ER104+$D104*Inputs!$J$13</f>
        <v>293.026669404584</v>
      </c>
      <c r="FG104" s="84" t="n">
        <f aca="false">MIN(FD104,FF104)</f>
        <v>293.026669404584</v>
      </c>
      <c r="FH104" s="84" t="n">
        <f aca="false">FF104-FG104</f>
        <v>0</v>
      </c>
      <c r="FI104" s="84" t="n">
        <f aca="false">EU104+$G104*(FF104+EU104)</f>
        <v>8550.80764951743</v>
      </c>
      <c r="FJ104" s="84" t="n">
        <f aca="false">MIN(FD104-FG104,FI104)</f>
        <v>5730.84241751096</v>
      </c>
      <c r="FK104" s="84" t="n">
        <f aca="false">FI104-FJ104</f>
        <v>2819.96523200646</v>
      </c>
      <c r="FL104" s="84" t="n">
        <f aca="false">IF($H104=1,MIN(FD104-FG104-FJ104,MAX(0,$F104/(1-$F104)*(EZ104+FJ104)-FA104)),0)</f>
        <v>0</v>
      </c>
      <c r="FM104" s="84" t="n">
        <f aca="false">FD104-FG104-FJ104-FL104</f>
        <v>0</v>
      </c>
      <c r="FN104" s="84" t="n">
        <f aca="false">FG104+FJ104+(1-$F104)*FM104</f>
        <v>6023.86908691555</v>
      </c>
      <c r="FO104" s="84" t="n">
        <f aca="false">FL104+$F104*FM104</f>
        <v>0</v>
      </c>
      <c r="FP104" s="84" t="n">
        <f aca="false">EZ104+FJ104+(1-$F104)*FM104</f>
        <v>5730.84241751096</v>
      </c>
      <c r="FQ104" s="84" t="n">
        <f aca="false">FA104+FO104</f>
        <v>0</v>
      </c>
      <c r="FR104" s="133" t="n">
        <f aca="false">FE104+$D104*Inputs!$K$13-$D104*$E104</f>
        <v>23825.4763476622</v>
      </c>
      <c r="FS104" s="84" t="n">
        <f aca="false">FR104*(1+$I104)</f>
        <v>28828.8263806712</v>
      </c>
      <c r="FT104" s="133" t="n">
        <f aca="false">FS104*Inputs!$K$14</f>
        <v>5765.76527613425</v>
      </c>
      <c r="FU104" s="84" t="n">
        <f aca="false">FS104-FT104</f>
        <v>23063.061104537</v>
      </c>
      <c r="FV104" s="133" t="n">
        <f aca="false">FH104+$D104*Inputs!$K$13</f>
        <v>0</v>
      </c>
      <c r="FW104" s="84" t="n">
        <f aca="false">MIN(FT104,FV104)</f>
        <v>0</v>
      </c>
      <c r="FX104" s="84" t="n">
        <f aca="false">FV104-FW104</f>
        <v>0</v>
      </c>
      <c r="FY104" s="84" t="n">
        <f aca="false">FK104+$G104*(FV104+FK104)</f>
        <v>3045.56245056698</v>
      </c>
      <c r="FZ104" s="84" t="n">
        <f aca="false">MIN(FT104-FW104,FY104)</f>
        <v>3045.56245056698</v>
      </c>
      <c r="GA104" s="84" t="n">
        <f aca="false">FY104-FZ104</f>
        <v>0</v>
      </c>
      <c r="GB104" s="84" t="n">
        <f aca="false">IF($H104=1,MIN(FT104-FW104-FZ104,MAX(0,$F104/(1-$F104)*(FP104+FZ104)-FQ104)),0)</f>
        <v>0</v>
      </c>
      <c r="GC104" s="84" t="n">
        <f aca="false">FT104-FW104-FZ104-GB104</f>
        <v>2720.20282556727</v>
      </c>
      <c r="GD104" s="84" t="n">
        <f aca="false">FW104+FZ104+(1-$F104)*GC104</f>
        <v>5221.7247110208</v>
      </c>
      <c r="GE104" s="84" t="n">
        <f aca="false">GB104+$F104*GC104</f>
        <v>544.040565113454</v>
      </c>
      <c r="GF104" s="84" t="n">
        <f aca="false">FP104+FZ104+(1-$F104)*GC104</f>
        <v>10952.5671285318</v>
      </c>
      <c r="GG104" s="84" t="n">
        <f aca="false">FQ104+GE104</f>
        <v>544.040565113454</v>
      </c>
      <c r="GH104" s="133" t="n">
        <f aca="false">FU104+$D104*Inputs!$L$13-$D104*$E104</f>
        <v>22793.061104537</v>
      </c>
      <c r="GI104" s="84" t="n">
        <f aca="false">GH104*(1+$I104)</f>
        <v>27579.6039364898</v>
      </c>
      <c r="GJ104" s="133" t="n">
        <f aca="false">GI104*Inputs!$L$14</f>
        <v>27579.6039364898</v>
      </c>
      <c r="GK104" s="84" t="n">
        <f aca="false">GI104-GJ104</f>
        <v>0</v>
      </c>
      <c r="GL104" s="133" t="n">
        <f aca="false">FX104+$D104*Inputs!$L$13</f>
        <v>0</v>
      </c>
      <c r="GM104" s="84" t="n">
        <f aca="false">MIN(GJ104,GL104)</f>
        <v>0</v>
      </c>
      <c r="GN104" s="84" t="n">
        <f aca="false">GL104-GM104</f>
        <v>0</v>
      </c>
      <c r="GO104" s="84" t="n">
        <f aca="false">GA104+$G104*(GL104+GA104)</f>
        <v>0</v>
      </c>
      <c r="GP104" s="84" t="n">
        <f aca="false">MIN(GJ104-GM104,GO104)</f>
        <v>0</v>
      </c>
      <c r="GQ104" s="84" t="n">
        <f aca="false">GO104-GP104</f>
        <v>0</v>
      </c>
      <c r="GR104" s="84" t="n">
        <f aca="false">IF($H104=1,MIN(GJ104-GM104-GP104,MAX(0,$F104/(1-$F104)*(GF104+GP104)-GG104)),0)</f>
        <v>0</v>
      </c>
      <c r="GS104" s="84" t="n">
        <f aca="false">GJ104-GM104-GP104-GR104</f>
        <v>27579.6039364898</v>
      </c>
      <c r="GT104" s="84" t="n">
        <f aca="false">GM104+GP104+(1-$F104)*GS104</f>
        <v>22063.6831491918</v>
      </c>
      <c r="GU104" s="84" t="n">
        <f aca="false">GR104+$F104*GS104</f>
        <v>5515.92078729795</v>
      </c>
      <c r="GV104" s="84" t="n">
        <f aca="false">GF104+GP104+(1-$F104)*GS104</f>
        <v>33016.2502777236</v>
      </c>
      <c r="GW104" s="84" t="n">
        <f aca="false">GG104+GU104</f>
        <v>6059.96135241141</v>
      </c>
    </row>
    <row r="105" customFormat="false" ht="15" hidden="false" customHeight="false" outlineLevel="0" collapsed="false">
      <c r="A105" s="5" t="s">
        <v>639</v>
      </c>
      <c r="B105" s="5" t="s">
        <v>427</v>
      </c>
      <c r="C105" s="135" t="n">
        <v>22</v>
      </c>
      <c r="D105" s="47" t="n">
        <f aca="false">Inputs!$C$6</f>
        <v>20000</v>
      </c>
      <c r="E105" s="35" t="n">
        <f aca="false">Inputs!$C$19</f>
        <v>0.0135</v>
      </c>
      <c r="F105" s="36" t="n">
        <f aca="false">Inputs!$C$20</f>
        <v>0.2</v>
      </c>
      <c r="G105" s="36" t="n">
        <f aca="false">Inputs!$C$22</f>
        <v>0.08</v>
      </c>
      <c r="H105" s="27" t="n">
        <v>0</v>
      </c>
      <c r="I105" s="132" t="n">
        <f aca="false">Inputs!$C$38+$C105*Inputs!$C$39</f>
        <v>0.22</v>
      </c>
      <c r="J105" s="36" t="n">
        <f aca="false">Inputs!$C$9</f>
        <v>0.15</v>
      </c>
      <c r="K105" s="89" t="n">
        <f aca="false">IRR(W105:AG105,0.1)</f>
        <v>0.184183234643359</v>
      </c>
      <c r="L105" s="45" t="n">
        <f aca="false">W105+NPV($J105,X105:AG105)</f>
        <v>2931.76964153113</v>
      </c>
      <c r="M105" s="45" t="n">
        <f aca="false">SUM(BF105,BV105,CL105,DB105,DR105,EH105,EX105,FN105,GD105,GT105)</f>
        <v>55751.9470111913</v>
      </c>
      <c r="N105" s="43" t="n">
        <f aca="false">IF($D105*SUM(Inputs!$C$13:$L$13)=0,0,M105/($D105*SUM(Inputs!$C$13:$L$13)))</f>
        <v>2.78759735055957</v>
      </c>
      <c r="O105" s="42" t="n">
        <f aca="false">$D105*$E105*COLUMNS(Inputs!$C$13:$L$13)</f>
        <v>2700</v>
      </c>
      <c r="P105" s="45" t="n">
        <f aca="false">SUM(BG105,BW105,CM105,DC105,DS105,EI105,EY105,FO105,GE105,GU105)</f>
        <v>6795.77211622566</v>
      </c>
      <c r="Q105" s="42" t="n">
        <f aca="false">PV($J105,COLUMNS(Inputs!$C$13:$L$13),-$D105*$E105,0,1)</f>
        <v>1558.32765832774</v>
      </c>
      <c r="R105" s="45" t="n">
        <f aca="false">NPV($J105,BG105,BW105,CM105,DC105,DS105,EI105,EY105,FO105,GE105,GU105)</f>
        <v>1712.12229357857</v>
      </c>
      <c r="S105" s="45" t="n">
        <f aca="false">Q105+R105</f>
        <v>3270.44995190631</v>
      </c>
      <c r="T105" s="32" t="n">
        <f aca="false">IF(S105=0,0,Q105/S105)</f>
        <v>0.476487236081814</v>
      </c>
      <c r="U105" s="45" t="n">
        <f aca="false">ROUND(ABS(GK105)+ABS(SUM(AV105,BL105,CB105,CR105,DH105,DX105,EN105,FD105,FT105,GJ105)-M105-P105)+ABS(S105-(AH105+NPV($J105,AI105:AR105))),6)</f>
        <v>0</v>
      </c>
      <c r="W105" s="133" t="n">
        <f aca="false">-$D105*Inputs!$C$13</f>
        <v>-4000</v>
      </c>
      <c r="X105" s="133" t="n">
        <f aca="false">BF105-$D105*Inputs!$D$13</f>
        <v>-4000</v>
      </c>
      <c r="Y105" s="133" t="n">
        <f aca="false">BV105-$D105*Inputs!$E$13</f>
        <v>-4000</v>
      </c>
      <c r="Z105" s="133" t="n">
        <f aca="false">CL105-$D105*Inputs!$F$13</f>
        <v>-4000</v>
      </c>
      <c r="AA105" s="133" t="n">
        <f aca="false">DB105-$D105*Inputs!$G$13</f>
        <v>-4000</v>
      </c>
      <c r="AB105" s="133" t="n">
        <f aca="false">DR105-$D105*Inputs!$H$13</f>
        <v>7043.9488795072</v>
      </c>
      <c r="AC105" s="133" t="n">
        <f aca="false">EH105-$D105*Inputs!$I$13</f>
        <v>6809.01410639903</v>
      </c>
      <c r="AD105" s="133" t="n">
        <f aca="false">EX105-$D105*Inputs!$J$13</f>
        <v>6579.71776784545</v>
      </c>
      <c r="AE105" s="133" t="n">
        <f aca="false">FN105-$D105*Inputs!$K$13</f>
        <v>6355.92454141716</v>
      </c>
      <c r="AF105" s="133" t="n">
        <f aca="false">GD105-$D105*Inputs!$L$13</f>
        <v>5266.05253216248</v>
      </c>
      <c r="AG105" s="84" t="n">
        <f aca="false">GT105</f>
        <v>23697.28918386</v>
      </c>
      <c r="AH105" s="84" t="n">
        <f aca="false">$D105*$E105</f>
        <v>270</v>
      </c>
      <c r="AI105" s="84" t="n">
        <f aca="false">BG105+$D105*$E105</f>
        <v>270</v>
      </c>
      <c r="AJ105" s="84" t="n">
        <f aca="false">BW105+$D105*$E105</f>
        <v>270</v>
      </c>
      <c r="AK105" s="84" t="n">
        <f aca="false">CM105+$D105*$E105</f>
        <v>270</v>
      </c>
      <c r="AL105" s="84" t="n">
        <f aca="false">DC105+$D105*$E105</f>
        <v>270</v>
      </c>
      <c r="AM105" s="84" t="n">
        <f aca="false">DS105+$D105*$E105</f>
        <v>270</v>
      </c>
      <c r="AN105" s="84" t="n">
        <f aca="false">EI105+$D105*$E105</f>
        <v>270</v>
      </c>
      <c r="AO105" s="84" t="n">
        <f aca="false">EY105+$D105*$E105</f>
        <v>270</v>
      </c>
      <c r="AP105" s="84" t="n">
        <f aca="false">FO105+$D105*$E105</f>
        <v>270</v>
      </c>
      <c r="AQ105" s="84" t="n">
        <f aca="false">GE105+$D105*$E105</f>
        <v>1141.44982026067</v>
      </c>
      <c r="AR105" s="84" t="n">
        <f aca="false">GU105</f>
        <v>5924.32229596499</v>
      </c>
      <c r="AT105" s="133" t="n">
        <f aca="false">$D105*Inputs!$C$13-$D105*$E105</f>
        <v>3730</v>
      </c>
      <c r="AU105" s="84" t="n">
        <f aca="false">AT105*(1+$I105)</f>
        <v>4550.6</v>
      </c>
      <c r="AV105" s="133" t="n">
        <f aca="false">AU105*Inputs!$C$14</f>
        <v>0</v>
      </c>
      <c r="AW105" s="84" t="n">
        <f aca="false">AU105-AV105</f>
        <v>4550.6</v>
      </c>
      <c r="AX105" s="133" t="n">
        <f aca="false">$D105*Inputs!$C$13</f>
        <v>4000</v>
      </c>
      <c r="AY105" s="84" t="n">
        <f aca="false">MIN(AV105,AX105)</f>
        <v>0</v>
      </c>
      <c r="AZ105" s="84" t="n">
        <f aca="false">AX105-AY105</f>
        <v>4000</v>
      </c>
      <c r="BA105" s="84" t="n">
        <f aca="false">$G105*AX105</f>
        <v>320</v>
      </c>
      <c r="BB105" s="84" t="n">
        <f aca="false">MIN(AV105-AY105,BA105)</f>
        <v>0</v>
      </c>
      <c r="BC105" s="84" t="n">
        <f aca="false">BA105-BB105</f>
        <v>320</v>
      </c>
      <c r="BD105" s="84" t="n">
        <f aca="false">IF($H105=1,MIN(AV105-AY105-BB105,MAX(0,$F105/(1-$F105)*BB105)),0)</f>
        <v>0</v>
      </c>
      <c r="BE105" s="84" t="n">
        <f aca="false">AV105-AY105-BB105-BD105</f>
        <v>0</v>
      </c>
      <c r="BF105" s="84" t="n">
        <f aca="false">AY105+BB105+(1-$F105)*BE105</f>
        <v>0</v>
      </c>
      <c r="BG105" s="84" t="n">
        <f aca="false">BD105+$F105*BE105</f>
        <v>0</v>
      </c>
      <c r="BH105" s="84" t="n">
        <f aca="false">BB105+(1-$F105)*BE105</f>
        <v>0</v>
      </c>
      <c r="BI105" s="84" t="n">
        <f aca="false">BG105</f>
        <v>0</v>
      </c>
      <c r="BJ105" s="133" t="n">
        <f aca="false">AW105+$D105*Inputs!$D$13-$D105*$E105</f>
        <v>8280.6</v>
      </c>
      <c r="BK105" s="84" t="n">
        <f aca="false">BJ105*(1+$I105)</f>
        <v>10102.332</v>
      </c>
      <c r="BL105" s="133" t="n">
        <f aca="false">BK105*Inputs!$D$14</f>
        <v>0</v>
      </c>
      <c r="BM105" s="84" t="n">
        <f aca="false">BK105-BL105</f>
        <v>10102.332</v>
      </c>
      <c r="BN105" s="133" t="n">
        <f aca="false">AZ105+$D105*Inputs!$D$13</f>
        <v>8000</v>
      </c>
      <c r="BO105" s="84" t="n">
        <f aca="false">MIN(BL105,BN105)</f>
        <v>0</v>
      </c>
      <c r="BP105" s="84" t="n">
        <f aca="false">BN105-BO105</f>
        <v>8000</v>
      </c>
      <c r="BQ105" s="84" t="n">
        <f aca="false">BC105+$G105*(BN105+BC105)</f>
        <v>985.6</v>
      </c>
      <c r="BR105" s="84" t="n">
        <f aca="false">MIN(BL105-BO105,BQ105)</f>
        <v>0</v>
      </c>
      <c r="BS105" s="84" t="n">
        <f aca="false">BQ105-BR105</f>
        <v>985.6</v>
      </c>
      <c r="BT105" s="84" t="n">
        <f aca="false">IF($H105=1,MIN(BL105-BO105-BR105,MAX(0,$F105/(1-$F105)*(BH105+BR105)-BI105)),0)</f>
        <v>0</v>
      </c>
      <c r="BU105" s="84" t="n">
        <f aca="false">BL105-BO105-BR105-BT105</f>
        <v>0</v>
      </c>
      <c r="BV105" s="84" t="n">
        <f aca="false">BO105+BR105+(1-$F105)*BU105</f>
        <v>0</v>
      </c>
      <c r="BW105" s="84" t="n">
        <f aca="false">BT105+$F105*BU105</f>
        <v>0</v>
      </c>
      <c r="BX105" s="84" t="n">
        <f aca="false">BH105+BR105+(1-$F105)*BU105</f>
        <v>0</v>
      </c>
      <c r="BY105" s="84" t="n">
        <f aca="false">BI105+BW105</f>
        <v>0</v>
      </c>
      <c r="BZ105" s="133" t="n">
        <f aca="false">BM105+$D105*Inputs!$E$13-$D105*$E105</f>
        <v>13832.332</v>
      </c>
      <c r="CA105" s="84" t="n">
        <f aca="false">BZ105*(1+$I105)</f>
        <v>16875.44504</v>
      </c>
      <c r="CB105" s="133" t="n">
        <f aca="false">CA105*Inputs!$E$14</f>
        <v>0</v>
      </c>
      <c r="CC105" s="84" t="n">
        <f aca="false">CA105-CB105</f>
        <v>16875.44504</v>
      </c>
      <c r="CD105" s="133" t="n">
        <f aca="false">BP105+$D105*Inputs!$E$13</f>
        <v>12000</v>
      </c>
      <c r="CE105" s="84" t="n">
        <f aca="false">MIN(CB105,CD105)</f>
        <v>0</v>
      </c>
      <c r="CF105" s="84" t="n">
        <f aca="false">CD105-CE105</f>
        <v>12000</v>
      </c>
      <c r="CG105" s="84" t="n">
        <f aca="false">BS105+$G105*(CD105+BS105)</f>
        <v>2024.448</v>
      </c>
      <c r="CH105" s="84" t="n">
        <f aca="false">MIN(CB105-CE105,CG105)</f>
        <v>0</v>
      </c>
      <c r="CI105" s="84" t="n">
        <f aca="false">CG105-CH105</f>
        <v>2024.448</v>
      </c>
      <c r="CJ105" s="84" t="n">
        <f aca="false">IF($H105=1,MIN(CB105-CE105-CH105,MAX(0,$F105/(1-$F105)*(BX105+CH105)-BY105)),0)</f>
        <v>0</v>
      </c>
      <c r="CK105" s="84" t="n">
        <f aca="false">CB105-CE105-CH105-CJ105</f>
        <v>0</v>
      </c>
      <c r="CL105" s="84" t="n">
        <f aca="false">CE105+CH105+(1-$F105)*CK105</f>
        <v>0</v>
      </c>
      <c r="CM105" s="84" t="n">
        <f aca="false">CJ105+$F105*CK105</f>
        <v>0</v>
      </c>
      <c r="CN105" s="84" t="n">
        <f aca="false">BX105+CH105+(1-$F105)*CK105</f>
        <v>0</v>
      </c>
      <c r="CO105" s="84" t="n">
        <f aca="false">BY105+CM105</f>
        <v>0</v>
      </c>
      <c r="CP105" s="133" t="n">
        <f aca="false">CC105+$D105*Inputs!$F$13-$D105*$E105</f>
        <v>20605.44504</v>
      </c>
      <c r="CQ105" s="84" t="n">
        <f aca="false">CP105*(1+$I105)</f>
        <v>25138.6429488</v>
      </c>
      <c r="CR105" s="133" t="n">
        <f aca="false">CQ105*Inputs!$F$14</f>
        <v>0</v>
      </c>
      <c r="CS105" s="84" t="n">
        <f aca="false">CQ105-CR105</f>
        <v>25138.6429488</v>
      </c>
      <c r="CT105" s="133" t="n">
        <f aca="false">CF105+$D105*Inputs!$F$13</f>
        <v>16000</v>
      </c>
      <c r="CU105" s="84" t="n">
        <f aca="false">MIN(CR105,CT105)</f>
        <v>0</v>
      </c>
      <c r="CV105" s="84" t="n">
        <f aca="false">CT105-CU105</f>
        <v>16000</v>
      </c>
      <c r="CW105" s="84" t="n">
        <f aca="false">CI105+$G105*(CT105+CI105)</f>
        <v>3466.40384</v>
      </c>
      <c r="CX105" s="84" t="n">
        <f aca="false">MIN(CR105-CU105,CW105)</f>
        <v>0</v>
      </c>
      <c r="CY105" s="84" t="n">
        <f aca="false">CW105-CX105</f>
        <v>3466.40384</v>
      </c>
      <c r="CZ105" s="84" t="n">
        <f aca="false">IF($H105=1,MIN(CR105-CU105-CX105,MAX(0,$F105/(1-$F105)*(CN105+CX105)-CO105)),0)</f>
        <v>0</v>
      </c>
      <c r="DA105" s="84" t="n">
        <f aca="false">CR105-CU105-CX105-CZ105</f>
        <v>0</v>
      </c>
      <c r="DB105" s="84" t="n">
        <f aca="false">CU105+CX105+(1-$F105)*DA105</f>
        <v>0</v>
      </c>
      <c r="DC105" s="84" t="n">
        <f aca="false">CZ105+$F105*DA105</f>
        <v>0</v>
      </c>
      <c r="DD105" s="84" t="n">
        <f aca="false">CN105+CX105+(1-$F105)*DA105</f>
        <v>0</v>
      </c>
      <c r="DE105" s="84" t="n">
        <f aca="false">CO105+DC105</f>
        <v>0</v>
      </c>
      <c r="DF105" s="133" t="n">
        <f aca="false">CS105+$D105*Inputs!$G$13-$D105*$E105</f>
        <v>28868.6429488</v>
      </c>
      <c r="DG105" s="84" t="n">
        <f aca="false">DF105*(1+$I105)</f>
        <v>35219.744397536</v>
      </c>
      <c r="DH105" s="133" t="n">
        <f aca="false">DG105*Inputs!$G$14</f>
        <v>7043.9488795072</v>
      </c>
      <c r="DI105" s="84" t="n">
        <f aca="false">DG105-DH105</f>
        <v>28175.7955180288</v>
      </c>
      <c r="DJ105" s="133" t="n">
        <f aca="false">CV105+$D105*Inputs!$G$13</f>
        <v>20000</v>
      </c>
      <c r="DK105" s="84" t="n">
        <f aca="false">MIN(DH105,DJ105)</f>
        <v>7043.9488795072</v>
      </c>
      <c r="DL105" s="84" t="n">
        <f aca="false">DJ105-DK105</f>
        <v>12956.0511204928</v>
      </c>
      <c r="DM105" s="84" t="n">
        <f aca="false">CY105+$G105*(DJ105+CY105)</f>
        <v>5343.7161472</v>
      </c>
      <c r="DN105" s="84" t="n">
        <f aca="false">MIN(DH105-DK105,DM105)</f>
        <v>0</v>
      </c>
      <c r="DO105" s="84" t="n">
        <f aca="false">DM105-DN105</f>
        <v>5343.7161472</v>
      </c>
      <c r="DP105" s="84" t="n">
        <f aca="false">IF($H105=1,MIN(DH105-DK105-DN105,MAX(0,$F105/(1-$F105)*(DD105+DN105)-DE105)),0)</f>
        <v>0</v>
      </c>
      <c r="DQ105" s="84" t="n">
        <f aca="false">DH105-DK105-DN105-DP105</f>
        <v>0</v>
      </c>
      <c r="DR105" s="84" t="n">
        <f aca="false">DK105+DN105+(1-$F105)*DQ105</f>
        <v>7043.9488795072</v>
      </c>
      <c r="DS105" s="84" t="n">
        <f aca="false">DP105+$F105*DQ105</f>
        <v>0</v>
      </c>
      <c r="DT105" s="84" t="n">
        <f aca="false">DD105+DN105+(1-$F105)*DQ105</f>
        <v>0</v>
      </c>
      <c r="DU105" s="84" t="n">
        <f aca="false">DE105+DS105</f>
        <v>0</v>
      </c>
      <c r="DV105" s="133" t="n">
        <f aca="false">DI105+$D105*Inputs!$H$13-$D105*$E105</f>
        <v>27905.7955180288</v>
      </c>
      <c r="DW105" s="84" t="n">
        <f aca="false">DV105*(1+$I105)</f>
        <v>34045.0705319951</v>
      </c>
      <c r="DX105" s="133" t="n">
        <f aca="false">DW105*Inputs!$H$14</f>
        <v>6809.01410639903</v>
      </c>
      <c r="DY105" s="84" t="n">
        <f aca="false">DW105-DX105</f>
        <v>27236.0564255961</v>
      </c>
      <c r="DZ105" s="133" t="n">
        <f aca="false">DL105+$D105*Inputs!$H$13</f>
        <v>12956.0511204928</v>
      </c>
      <c r="EA105" s="84" t="n">
        <f aca="false">MIN(DX105,DZ105)</f>
        <v>6809.01410639903</v>
      </c>
      <c r="EB105" s="84" t="n">
        <f aca="false">DZ105-EA105</f>
        <v>6147.03701409377</v>
      </c>
      <c r="EC105" s="84" t="n">
        <f aca="false">DO105+$G105*(DZ105+DO105)</f>
        <v>6807.69752861542</v>
      </c>
      <c r="ED105" s="84" t="n">
        <f aca="false">MIN(DX105-EA105,EC105)</f>
        <v>0</v>
      </c>
      <c r="EE105" s="84" t="n">
        <f aca="false">EC105-ED105</f>
        <v>6807.69752861542</v>
      </c>
      <c r="EF105" s="84" t="n">
        <f aca="false">IF($H105=1,MIN(DX105-EA105-ED105,MAX(0,$F105/(1-$F105)*(DT105+ED105)-DU105)),0)</f>
        <v>0</v>
      </c>
      <c r="EG105" s="84" t="n">
        <f aca="false">DX105-EA105-ED105-EF105</f>
        <v>0</v>
      </c>
      <c r="EH105" s="84" t="n">
        <f aca="false">EA105+ED105+(1-$F105)*EG105</f>
        <v>6809.01410639903</v>
      </c>
      <c r="EI105" s="84" t="n">
        <f aca="false">EF105+$F105*EG105</f>
        <v>0</v>
      </c>
      <c r="EJ105" s="84" t="n">
        <f aca="false">DT105+ED105+(1-$F105)*EG105</f>
        <v>0</v>
      </c>
      <c r="EK105" s="84" t="n">
        <f aca="false">DU105+EI105</f>
        <v>0</v>
      </c>
      <c r="EL105" s="133" t="n">
        <f aca="false">DY105+$D105*Inputs!$I$13-$D105*$E105</f>
        <v>26966.0564255961</v>
      </c>
      <c r="EM105" s="84" t="n">
        <f aca="false">EL105*(1+$I105)</f>
        <v>32898.5888392273</v>
      </c>
      <c r="EN105" s="133" t="n">
        <f aca="false">EM105*Inputs!$I$14</f>
        <v>6579.71776784545</v>
      </c>
      <c r="EO105" s="84" t="n">
        <f aca="false">EM105-EN105</f>
        <v>26318.8710713818</v>
      </c>
      <c r="EP105" s="133" t="n">
        <f aca="false">EB105+$D105*Inputs!$I$13</f>
        <v>6147.03701409377</v>
      </c>
      <c r="EQ105" s="84" t="n">
        <f aca="false">MIN(EN105,EP105)</f>
        <v>6147.03701409377</v>
      </c>
      <c r="ER105" s="84" t="n">
        <f aca="false">EP105-EQ105</f>
        <v>0</v>
      </c>
      <c r="ES105" s="84" t="n">
        <f aca="false">EE105+$G105*(EP105+EE105)</f>
        <v>7844.07629203216</v>
      </c>
      <c r="ET105" s="84" t="n">
        <f aca="false">MIN(EN105-EQ105,ES105)</f>
        <v>432.680753751678</v>
      </c>
      <c r="EU105" s="84" t="n">
        <f aca="false">ES105-ET105</f>
        <v>7411.39553828048</v>
      </c>
      <c r="EV105" s="84" t="n">
        <f aca="false">IF($H105=1,MIN(EN105-EQ105-ET105,MAX(0,$F105/(1-$F105)*(EJ105+ET105)-EK105)),0)</f>
        <v>0</v>
      </c>
      <c r="EW105" s="84" t="n">
        <f aca="false">EN105-EQ105-ET105-EV105</f>
        <v>0</v>
      </c>
      <c r="EX105" s="84" t="n">
        <f aca="false">EQ105+ET105+(1-$F105)*EW105</f>
        <v>6579.71776784545</v>
      </c>
      <c r="EY105" s="84" t="n">
        <f aca="false">EV105+$F105*EW105</f>
        <v>0</v>
      </c>
      <c r="EZ105" s="84" t="n">
        <f aca="false">EJ105+ET105+(1-$F105)*EW105</f>
        <v>432.680753751678</v>
      </c>
      <c r="FA105" s="84" t="n">
        <f aca="false">EK105+EY105</f>
        <v>0</v>
      </c>
      <c r="FB105" s="133" t="n">
        <f aca="false">EO105+$D105*Inputs!$J$13-$D105*$E105</f>
        <v>26048.8710713818</v>
      </c>
      <c r="FC105" s="84" t="n">
        <f aca="false">FB105*(1+$I105)</f>
        <v>31779.6227070858</v>
      </c>
      <c r="FD105" s="133" t="n">
        <f aca="false">FC105*Inputs!$J$14</f>
        <v>6355.92454141716</v>
      </c>
      <c r="FE105" s="84" t="n">
        <f aca="false">FC105-FD105</f>
        <v>25423.6981656686</v>
      </c>
      <c r="FF105" s="133" t="n">
        <f aca="false">ER105+$D105*Inputs!$J$13</f>
        <v>0</v>
      </c>
      <c r="FG105" s="84" t="n">
        <f aca="false">MIN(FD105,FF105)</f>
        <v>0</v>
      </c>
      <c r="FH105" s="84" t="n">
        <f aca="false">FF105-FG105</f>
        <v>0</v>
      </c>
      <c r="FI105" s="84" t="n">
        <f aca="false">EU105+$G105*(FF105+EU105)</f>
        <v>8004.30718134292</v>
      </c>
      <c r="FJ105" s="84" t="n">
        <f aca="false">MIN(FD105-FG105,FI105)</f>
        <v>6355.92454141716</v>
      </c>
      <c r="FK105" s="84" t="n">
        <f aca="false">FI105-FJ105</f>
        <v>1648.38263992576</v>
      </c>
      <c r="FL105" s="84" t="n">
        <f aca="false">IF($H105=1,MIN(FD105-FG105-FJ105,MAX(0,$F105/(1-$F105)*(EZ105+FJ105)-FA105)),0)</f>
        <v>0</v>
      </c>
      <c r="FM105" s="84" t="n">
        <f aca="false">FD105-FG105-FJ105-FL105</f>
        <v>0</v>
      </c>
      <c r="FN105" s="84" t="n">
        <f aca="false">FG105+FJ105+(1-$F105)*FM105</f>
        <v>6355.92454141716</v>
      </c>
      <c r="FO105" s="84" t="n">
        <f aca="false">FL105+$F105*FM105</f>
        <v>0</v>
      </c>
      <c r="FP105" s="84" t="n">
        <f aca="false">EZ105+FJ105+(1-$F105)*FM105</f>
        <v>6788.60529516884</v>
      </c>
      <c r="FQ105" s="84" t="n">
        <f aca="false">FA105+FO105</f>
        <v>0</v>
      </c>
      <c r="FR105" s="133" t="n">
        <f aca="false">FE105+$D105*Inputs!$K$13-$D105*$E105</f>
        <v>25153.6981656686</v>
      </c>
      <c r="FS105" s="84" t="n">
        <f aca="false">FR105*(1+$I105)</f>
        <v>30687.5117621157</v>
      </c>
      <c r="FT105" s="133" t="n">
        <f aca="false">FS105*Inputs!$K$14</f>
        <v>6137.50235242315</v>
      </c>
      <c r="FU105" s="84" t="n">
        <f aca="false">FS105-FT105</f>
        <v>24550.0094096926</v>
      </c>
      <c r="FV105" s="133" t="n">
        <f aca="false">FH105+$D105*Inputs!$K$13</f>
        <v>0</v>
      </c>
      <c r="FW105" s="84" t="n">
        <f aca="false">MIN(FT105,FV105)</f>
        <v>0</v>
      </c>
      <c r="FX105" s="84" t="n">
        <f aca="false">FV105-FW105</f>
        <v>0</v>
      </c>
      <c r="FY105" s="84" t="n">
        <f aca="false">FK105+$G105*(FV105+FK105)</f>
        <v>1780.25325111982</v>
      </c>
      <c r="FZ105" s="84" t="n">
        <f aca="false">MIN(FT105-FW105,FY105)</f>
        <v>1780.25325111982</v>
      </c>
      <c r="GA105" s="84" t="n">
        <f aca="false">FY105-FZ105</f>
        <v>0</v>
      </c>
      <c r="GB105" s="84" t="n">
        <f aca="false">IF($H105=1,MIN(FT105-FW105-FZ105,MAX(0,$F105/(1-$F105)*(FP105+FZ105)-FQ105)),0)</f>
        <v>0</v>
      </c>
      <c r="GC105" s="84" t="n">
        <f aca="false">FT105-FW105-FZ105-GB105</f>
        <v>4357.24910130333</v>
      </c>
      <c r="GD105" s="84" t="n">
        <f aca="false">FW105+FZ105+(1-$F105)*GC105</f>
        <v>5266.05253216248</v>
      </c>
      <c r="GE105" s="84" t="n">
        <f aca="false">GB105+$F105*GC105</f>
        <v>871.449820260666</v>
      </c>
      <c r="GF105" s="84" t="n">
        <f aca="false">FP105+FZ105+(1-$F105)*GC105</f>
        <v>12054.6578273313</v>
      </c>
      <c r="GG105" s="84" t="n">
        <f aca="false">FQ105+GE105</f>
        <v>871.449820260666</v>
      </c>
      <c r="GH105" s="133" t="n">
        <f aca="false">FU105+$D105*Inputs!$L$13-$D105*$E105</f>
        <v>24280.0094096926</v>
      </c>
      <c r="GI105" s="84" t="n">
        <f aca="false">GH105*(1+$I105)</f>
        <v>29621.611479825</v>
      </c>
      <c r="GJ105" s="133" t="n">
        <f aca="false">GI105*Inputs!$L$14</f>
        <v>29621.611479825</v>
      </c>
      <c r="GK105" s="84" t="n">
        <f aca="false">GI105-GJ105</f>
        <v>0</v>
      </c>
      <c r="GL105" s="133" t="n">
        <f aca="false">FX105+$D105*Inputs!$L$13</f>
        <v>0</v>
      </c>
      <c r="GM105" s="84" t="n">
        <f aca="false">MIN(GJ105,GL105)</f>
        <v>0</v>
      </c>
      <c r="GN105" s="84" t="n">
        <f aca="false">GL105-GM105</f>
        <v>0</v>
      </c>
      <c r="GO105" s="84" t="n">
        <f aca="false">GA105+$G105*(GL105+GA105)</f>
        <v>0</v>
      </c>
      <c r="GP105" s="84" t="n">
        <f aca="false">MIN(GJ105-GM105,GO105)</f>
        <v>0</v>
      </c>
      <c r="GQ105" s="84" t="n">
        <f aca="false">GO105-GP105</f>
        <v>0</v>
      </c>
      <c r="GR105" s="84" t="n">
        <f aca="false">IF($H105=1,MIN(GJ105-GM105-GP105,MAX(0,$F105/(1-$F105)*(GF105+GP105)-GG105)),0)</f>
        <v>0</v>
      </c>
      <c r="GS105" s="84" t="n">
        <f aca="false">GJ105-GM105-GP105-GR105</f>
        <v>29621.611479825</v>
      </c>
      <c r="GT105" s="84" t="n">
        <f aca="false">GM105+GP105+(1-$F105)*GS105</f>
        <v>23697.28918386</v>
      </c>
      <c r="GU105" s="84" t="n">
        <f aca="false">GR105+$F105*GS105</f>
        <v>5924.32229596499</v>
      </c>
      <c r="GV105" s="84" t="n">
        <f aca="false">GF105+GP105+(1-$F105)*GS105</f>
        <v>35751.9470111913</v>
      </c>
      <c r="GW105" s="84" t="n">
        <f aca="false">GG105+GU105</f>
        <v>6795.77211622566</v>
      </c>
    </row>
    <row r="106" customFormat="false" ht="15" hidden="false" customHeight="false" outlineLevel="0" collapsed="false">
      <c r="A106" s="5" t="s">
        <v>639</v>
      </c>
      <c r="B106" s="5" t="s">
        <v>427</v>
      </c>
      <c r="C106" s="135" t="n">
        <v>23</v>
      </c>
      <c r="D106" s="47" t="n">
        <f aca="false">Inputs!$C$6</f>
        <v>20000</v>
      </c>
      <c r="E106" s="35" t="n">
        <f aca="false">Inputs!$C$19</f>
        <v>0.0135</v>
      </c>
      <c r="F106" s="36" t="n">
        <f aca="false">Inputs!$C$20</f>
        <v>0.2</v>
      </c>
      <c r="G106" s="36" t="n">
        <f aca="false">Inputs!$C$22</f>
        <v>0.08</v>
      </c>
      <c r="H106" s="27" t="n">
        <v>0</v>
      </c>
      <c r="I106" s="132" t="n">
        <f aca="false">Inputs!$C$38+$C106*Inputs!$C$39</f>
        <v>0.23</v>
      </c>
      <c r="J106" s="36" t="n">
        <f aca="false">Inputs!$C$9</f>
        <v>0.15</v>
      </c>
      <c r="K106" s="89" t="n">
        <f aca="false">IRR(W106:AG106,0.1)</f>
        <v>0.193391832218415</v>
      </c>
      <c r="L106" s="45" t="n">
        <f aca="false">W106+NPV($J106,X106:AG106)</f>
        <v>3810.40684047031</v>
      </c>
      <c r="M106" s="45" t="n">
        <f aca="false">SUM(BF106,BV106,CL106,DB106,DR106,EH106,EX106,FN106,GD106,GT106)</f>
        <v>58641.5926823533</v>
      </c>
      <c r="N106" s="43" t="n">
        <f aca="false">IF($D106*SUM(Inputs!$C$13:$L$13)=0,0,M106/($D106*SUM(Inputs!$C$13:$L$13)))</f>
        <v>2.93207963411766</v>
      </c>
      <c r="O106" s="42" t="n">
        <f aca="false">$D106*$E106*COLUMNS(Inputs!$C$13:$L$13)</f>
        <v>2700</v>
      </c>
      <c r="P106" s="45" t="n">
        <f aca="false">SUM(BG106,BW106,CM106,DC106,DS106,EI106,EY106,FO106,GE106,GU106)</f>
        <v>7571.79918255065</v>
      </c>
      <c r="Q106" s="42" t="n">
        <f aca="false">PV($J106,COLUMNS(Inputs!$C$13:$L$13),-$D106*$E106,0,1)</f>
        <v>1558.32765832774</v>
      </c>
      <c r="R106" s="45" t="n">
        <f aca="false">NPV($J106,BG106,BW106,CM106,DC106,DS106,EI106,EY106,FO106,GE106,GU106)</f>
        <v>1916.58753630364</v>
      </c>
      <c r="S106" s="45" t="n">
        <f aca="false">Q106+R106</f>
        <v>3474.91519463138</v>
      </c>
      <c r="T106" s="32" t="n">
        <f aca="false">IF(S106=0,0,Q106/S106)</f>
        <v>0.448450558084208</v>
      </c>
      <c r="U106" s="45" t="n">
        <f aca="false">ROUND(ABS(GK106)+ABS(SUM(AV106,BL106,CB106,CR106,DH106,DX106,EN106,FD106,FT106,GJ106)-M106-P106)+ABS(S106-(AH106+NPV($J106,AI106:AR106))),6)</f>
        <v>0</v>
      </c>
      <c r="W106" s="133" t="n">
        <f aca="false">-$D106*Inputs!$C$13</f>
        <v>-4000</v>
      </c>
      <c r="X106" s="133" t="n">
        <f aca="false">BF106-$D106*Inputs!$D$13</f>
        <v>-4000</v>
      </c>
      <c r="Y106" s="133" t="n">
        <f aca="false">BV106-$D106*Inputs!$E$13</f>
        <v>-4000</v>
      </c>
      <c r="Z106" s="133" t="n">
        <f aca="false">CL106-$D106*Inputs!$F$13</f>
        <v>-4000</v>
      </c>
      <c r="AA106" s="133" t="n">
        <f aca="false">DB106-$D106*Inputs!$G$13</f>
        <v>-4000</v>
      </c>
      <c r="AB106" s="133" t="n">
        <f aca="false">DR106-$D106*Inputs!$H$13</f>
        <v>7242.1225643478</v>
      </c>
      <c r="AC106" s="133" t="n">
        <f aca="false">EH106-$D106*Inputs!$I$13</f>
        <v>7059.82860331824</v>
      </c>
      <c r="AD106" s="133" t="n">
        <f aca="false">EX106-$D106*Inputs!$J$13</f>
        <v>6880.45134566514</v>
      </c>
      <c r="AE106" s="133" t="n">
        <f aca="false">FN106-$D106*Inputs!$K$13</f>
        <v>6703.9441241345</v>
      </c>
      <c r="AF106" s="133" t="n">
        <f aca="false">GD106-$D106*Inputs!$L$13</f>
        <v>5317.81867745567</v>
      </c>
      <c r="AG106" s="84" t="n">
        <f aca="false">GT106</f>
        <v>25437.4273674319</v>
      </c>
      <c r="AH106" s="84" t="n">
        <f aca="false">$D106*$E106</f>
        <v>270</v>
      </c>
      <c r="AI106" s="84" t="n">
        <f aca="false">BG106+$D106*$E106</f>
        <v>270</v>
      </c>
      <c r="AJ106" s="84" t="n">
        <f aca="false">BW106+$D106*$E106</f>
        <v>270</v>
      </c>
      <c r="AK106" s="84" t="n">
        <f aca="false">CM106+$D106*$E106</f>
        <v>270</v>
      </c>
      <c r="AL106" s="84" t="n">
        <f aca="false">DC106+$D106*$E106</f>
        <v>270</v>
      </c>
      <c r="AM106" s="84" t="n">
        <f aca="false">DS106+$D106*$E106</f>
        <v>270</v>
      </c>
      <c r="AN106" s="84" t="n">
        <f aca="false">EI106+$D106*$E106</f>
        <v>270</v>
      </c>
      <c r="AO106" s="84" t="n">
        <f aca="false">EY106+$D106*$E106</f>
        <v>270</v>
      </c>
      <c r="AP106" s="84" t="n">
        <f aca="false">FO106+$D106*$E106</f>
        <v>270</v>
      </c>
      <c r="AQ106" s="84" t="n">
        <f aca="false">GE106+$D106*$E106</f>
        <v>1482.44234069268</v>
      </c>
      <c r="AR106" s="84" t="n">
        <f aca="false">GU106</f>
        <v>6359.35684185798</v>
      </c>
      <c r="AT106" s="133" t="n">
        <f aca="false">$D106*Inputs!$C$13-$D106*$E106</f>
        <v>3730</v>
      </c>
      <c r="AU106" s="84" t="n">
        <f aca="false">AT106*(1+$I106)</f>
        <v>4587.9</v>
      </c>
      <c r="AV106" s="133" t="n">
        <f aca="false">AU106*Inputs!$C$14</f>
        <v>0</v>
      </c>
      <c r="AW106" s="84" t="n">
        <f aca="false">AU106-AV106</f>
        <v>4587.9</v>
      </c>
      <c r="AX106" s="133" t="n">
        <f aca="false">$D106*Inputs!$C$13</f>
        <v>4000</v>
      </c>
      <c r="AY106" s="84" t="n">
        <f aca="false">MIN(AV106,AX106)</f>
        <v>0</v>
      </c>
      <c r="AZ106" s="84" t="n">
        <f aca="false">AX106-AY106</f>
        <v>4000</v>
      </c>
      <c r="BA106" s="84" t="n">
        <f aca="false">$G106*AX106</f>
        <v>320</v>
      </c>
      <c r="BB106" s="84" t="n">
        <f aca="false">MIN(AV106-AY106,BA106)</f>
        <v>0</v>
      </c>
      <c r="BC106" s="84" t="n">
        <f aca="false">BA106-BB106</f>
        <v>320</v>
      </c>
      <c r="BD106" s="84" t="n">
        <f aca="false">IF($H106=1,MIN(AV106-AY106-BB106,MAX(0,$F106/(1-$F106)*BB106)),0)</f>
        <v>0</v>
      </c>
      <c r="BE106" s="84" t="n">
        <f aca="false">AV106-AY106-BB106-BD106</f>
        <v>0</v>
      </c>
      <c r="BF106" s="84" t="n">
        <f aca="false">AY106+BB106+(1-$F106)*BE106</f>
        <v>0</v>
      </c>
      <c r="BG106" s="84" t="n">
        <f aca="false">BD106+$F106*BE106</f>
        <v>0</v>
      </c>
      <c r="BH106" s="84" t="n">
        <f aca="false">BB106+(1-$F106)*BE106</f>
        <v>0</v>
      </c>
      <c r="BI106" s="84" t="n">
        <f aca="false">BG106</f>
        <v>0</v>
      </c>
      <c r="BJ106" s="133" t="n">
        <f aca="false">AW106+$D106*Inputs!$D$13-$D106*$E106</f>
        <v>8317.9</v>
      </c>
      <c r="BK106" s="84" t="n">
        <f aca="false">BJ106*(1+$I106)</f>
        <v>10231.017</v>
      </c>
      <c r="BL106" s="133" t="n">
        <f aca="false">BK106*Inputs!$D$14</f>
        <v>0</v>
      </c>
      <c r="BM106" s="84" t="n">
        <f aca="false">BK106-BL106</f>
        <v>10231.017</v>
      </c>
      <c r="BN106" s="133" t="n">
        <f aca="false">AZ106+$D106*Inputs!$D$13</f>
        <v>8000</v>
      </c>
      <c r="BO106" s="84" t="n">
        <f aca="false">MIN(BL106,BN106)</f>
        <v>0</v>
      </c>
      <c r="BP106" s="84" t="n">
        <f aca="false">BN106-BO106</f>
        <v>8000</v>
      </c>
      <c r="BQ106" s="84" t="n">
        <f aca="false">BC106+$G106*(BN106+BC106)</f>
        <v>985.6</v>
      </c>
      <c r="BR106" s="84" t="n">
        <f aca="false">MIN(BL106-BO106,BQ106)</f>
        <v>0</v>
      </c>
      <c r="BS106" s="84" t="n">
        <f aca="false">BQ106-BR106</f>
        <v>985.6</v>
      </c>
      <c r="BT106" s="84" t="n">
        <f aca="false">IF($H106=1,MIN(BL106-BO106-BR106,MAX(0,$F106/(1-$F106)*(BH106+BR106)-BI106)),0)</f>
        <v>0</v>
      </c>
      <c r="BU106" s="84" t="n">
        <f aca="false">BL106-BO106-BR106-BT106</f>
        <v>0</v>
      </c>
      <c r="BV106" s="84" t="n">
        <f aca="false">BO106+BR106+(1-$F106)*BU106</f>
        <v>0</v>
      </c>
      <c r="BW106" s="84" t="n">
        <f aca="false">BT106+$F106*BU106</f>
        <v>0</v>
      </c>
      <c r="BX106" s="84" t="n">
        <f aca="false">BH106+BR106+(1-$F106)*BU106</f>
        <v>0</v>
      </c>
      <c r="BY106" s="84" t="n">
        <f aca="false">BI106+BW106</f>
        <v>0</v>
      </c>
      <c r="BZ106" s="133" t="n">
        <f aca="false">BM106+$D106*Inputs!$E$13-$D106*$E106</f>
        <v>13961.017</v>
      </c>
      <c r="CA106" s="84" t="n">
        <f aca="false">BZ106*(1+$I106)</f>
        <v>17172.05091</v>
      </c>
      <c r="CB106" s="133" t="n">
        <f aca="false">CA106*Inputs!$E$14</f>
        <v>0</v>
      </c>
      <c r="CC106" s="84" t="n">
        <f aca="false">CA106-CB106</f>
        <v>17172.05091</v>
      </c>
      <c r="CD106" s="133" t="n">
        <f aca="false">BP106+$D106*Inputs!$E$13</f>
        <v>12000</v>
      </c>
      <c r="CE106" s="84" t="n">
        <f aca="false">MIN(CB106,CD106)</f>
        <v>0</v>
      </c>
      <c r="CF106" s="84" t="n">
        <f aca="false">CD106-CE106</f>
        <v>12000</v>
      </c>
      <c r="CG106" s="84" t="n">
        <f aca="false">BS106+$G106*(CD106+BS106)</f>
        <v>2024.448</v>
      </c>
      <c r="CH106" s="84" t="n">
        <f aca="false">MIN(CB106-CE106,CG106)</f>
        <v>0</v>
      </c>
      <c r="CI106" s="84" t="n">
        <f aca="false">CG106-CH106</f>
        <v>2024.448</v>
      </c>
      <c r="CJ106" s="84" t="n">
        <f aca="false">IF($H106=1,MIN(CB106-CE106-CH106,MAX(0,$F106/(1-$F106)*(BX106+CH106)-BY106)),0)</f>
        <v>0</v>
      </c>
      <c r="CK106" s="84" t="n">
        <f aca="false">CB106-CE106-CH106-CJ106</f>
        <v>0</v>
      </c>
      <c r="CL106" s="84" t="n">
        <f aca="false">CE106+CH106+(1-$F106)*CK106</f>
        <v>0</v>
      </c>
      <c r="CM106" s="84" t="n">
        <f aca="false">CJ106+$F106*CK106</f>
        <v>0</v>
      </c>
      <c r="CN106" s="84" t="n">
        <f aca="false">BX106+CH106+(1-$F106)*CK106</f>
        <v>0</v>
      </c>
      <c r="CO106" s="84" t="n">
        <f aca="false">BY106+CM106</f>
        <v>0</v>
      </c>
      <c r="CP106" s="133" t="n">
        <f aca="false">CC106+$D106*Inputs!$F$13-$D106*$E106</f>
        <v>20902.05091</v>
      </c>
      <c r="CQ106" s="84" t="n">
        <f aca="false">CP106*(1+$I106)</f>
        <v>25709.5226193</v>
      </c>
      <c r="CR106" s="133" t="n">
        <f aca="false">CQ106*Inputs!$F$14</f>
        <v>0</v>
      </c>
      <c r="CS106" s="84" t="n">
        <f aca="false">CQ106-CR106</f>
        <v>25709.5226193</v>
      </c>
      <c r="CT106" s="133" t="n">
        <f aca="false">CF106+$D106*Inputs!$F$13</f>
        <v>16000</v>
      </c>
      <c r="CU106" s="84" t="n">
        <f aca="false">MIN(CR106,CT106)</f>
        <v>0</v>
      </c>
      <c r="CV106" s="84" t="n">
        <f aca="false">CT106-CU106</f>
        <v>16000</v>
      </c>
      <c r="CW106" s="84" t="n">
        <f aca="false">CI106+$G106*(CT106+CI106)</f>
        <v>3466.40384</v>
      </c>
      <c r="CX106" s="84" t="n">
        <f aca="false">MIN(CR106-CU106,CW106)</f>
        <v>0</v>
      </c>
      <c r="CY106" s="84" t="n">
        <f aca="false">CW106-CX106</f>
        <v>3466.40384</v>
      </c>
      <c r="CZ106" s="84" t="n">
        <f aca="false">IF($H106=1,MIN(CR106-CU106-CX106,MAX(0,$F106/(1-$F106)*(CN106+CX106)-CO106)),0)</f>
        <v>0</v>
      </c>
      <c r="DA106" s="84" t="n">
        <f aca="false">CR106-CU106-CX106-CZ106</f>
        <v>0</v>
      </c>
      <c r="DB106" s="84" t="n">
        <f aca="false">CU106+CX106+(1-$F106)*DA106</f>
        <v>0</v>
      </c>
      <c r="DC106" s="84" t="n">
        <f aca="false">CZ106+$F106*DA106</f>
        <v>0</v>
      </c>
      <c r="DD106" s="84" t="n">
        <f aca="false">CN106+CX106+(1-$F106)*DA106</f>
        <v>0</v>
      </c>
      <c r="DE106" s="84" t="n">
        <f aca="false">CO106+DC106</f>
        <v>0</v>
      </c>
      <c r="DF106" s="133" t="n">
        <f aca="false">CS106+$D106*Inputs!$G$13-$D106*$E106</f>
        <v>29439.5226193</v>
      </c>
      <c r="DG106" s="84" t="n">
        <f aca="false">DF106*(1+$I106)</f>
        <v>36210.612821739</v>
      </c>
      <c r="DH106" s="133" t="n">
        <f aca="false">DG106*Inputs!$G$14</f>
        <v>7242.1225643478</v>
      </c>
      <c r="DI106" s="84" t="n">
        <f aca="false">DG106-DH106</f>
        <v>28968.4902573912</v>
      </c>
      <c r="DJ106" s="133" t="n">
        <f aca="false">CV106+$D106*Inputs!$G$13</f>
        <v>20000</v>
      </c>
      <c r="DK106" s="84" t="n">
        <f aca="false">MIN(DH106,DJ106)</f>
        <v>7242.1225643478</v>
      </c>
      <c r="DL106" s="84" t="n">
        <f aca="false">DJ106-DK106</f>
        <v>12757.8774356522</v>
      </c>
      <c r="DM106" s="84" t="n">
        <f aca="false">CY106+$G106*(DJ106+CY106)</f>
        <v>5343.7161472</v>
      </c>
      <c r="DN106" s="84" t="n">
        <f aca="false">MIN(DH106-DK106,DM106)</f>
        <v>0</v>
      </c>
      <c r="DO106" s="84" t="n">
        <f aca="false">DM106-DN106</f>
        <v>5343.7161472</v>
      </c>
      <c r="DP106" s="84" t="n">
        <f aca="false">IF($H106=1,MIN(DH106-DK106-DN106,MAX(0,$F106/(1-$F106)*(DD106+DN106)-DE106)),0)</f>
        <v>0</v>
      </c>
      <c r="DQ106" s="84" t="n">
        <f aca="false">DH106-DK106-DN106-DP106</f>
        <v>0</v>
      </c>
      <c r="DR106" s="84" t="n">
        <f aca="false">DK106+DN106+(1-$F106)*DQ106</f>
        <v>7242.1225643478</v>
      </c>
      <c r="DS106" s="84" t="n">
        <f aca="false">DP106+$F106*DQ106</f>
        <v>0</v>
      </c>
      <c r="DT106" s="84" t="n">
        <f aca="false">DD106+DN106+(1-$F106)*DQ106</f>
        <v>0</v>
      </c>
      <c r="DU106" s="84" t="n">
        <f aca="false">DE106+DS106</f>
        <v>0</v>
      </c>
      <c r="DV106" s="133" t="n">
        <f aca="false">DI106+$D106*Inputs!$H$13-$D106*$E106</f>
        <v>28698.4902573912</v>
      </c>
      <c r="DW106" s="84" t="n">
        <f aca="false">DV106*(1+$I106)</f>
        <v>35299.1430165912</v>
      </c>
      <c r="DX106" s="133" t="n">
        <f aca="false">DW106*Inputs!$H$14</f>
        <v>7059.82860331824</v>
      </c>
      <c r="DY106" s="84" t="n">
        <f aca="false">DW106-DX106</f>
        <v>28239.3144132729</v>
      </c>
      <c r="DZ106" s="133" t="n">
        <f aca="false">DL106+$D106*Inputs!$H$13</f>
        <v>12757.8774356522</v>
      </c>
      <c r="EA106" s="84" t="n">
        <f aca="false">MIN(DX106,DZ106)</f>
        <v>7059.82860331824</v>
      </c>
      <c r="EB106" s="84" t="n">
        <f aca="false">DZ106-EA106</f>
        <v>5698.04883233397</v>
      </c>
      <c r="EC106" s="84" t="n">
        <f aca="false">DO106+$G106*(DZ106+DO106)</f>
        <v>6791.84363382818</v>
      </c>
      <c r="ED106" s="84" t="n">
        <f aca="false">MIN(DX106-EA106,EC106)</f>
        <v>0</v>
      </c>
      <c r="EE106" s="84" t="n">
        <f aca="false">EC106-ED106</f>
        <v>6791.84363382818</v>
      </c>
      <c r="EF106" s="84" t="n">
        <f aca="false">IF($H106=1,MIN(DX106-EA106-ED106,MAX(0,$F106/(1-$F106)*(DT106+ED106)-DU106)),0)</f>
        <v>0</v>
      </c>
      <c r="EG106" s="84" t="n">
        <f aca="false">DX106-EA106-ED106-EF106</f>
        <v>0</v>
      </c>
      <c r="EH106" s="84" t="n">
        <f aca="false">EA106+ED106+(1-$F106)*EG106</f>
        <v>7059.82860331824</v>
      </c>
      <c r="EI106" s="84" t="n">
        <f aca="false">EF106+$F106*EG106</f>
        <v>0</v>
      </c>
      <c r="EJ106" s="84" t="n">
        <f aca="false">DT106+ED106+(1-$F106)*EG106</f>
        <v>0</v>
      </c>
      <c r="EK106" s="84" t="n">
        <f aca="false">DU106+EI106</f>
        <v>0</v>
      </c>
      <c r="EL106" s="133" t="n">
        <f aca="false">DY106+$D106*Inputs!$I$13-$D106*$E106</f>
        <v>27969.3144132729</v>
      </c>
      <c r="EM106" s="84" t="n">
        <f aca="false">EL106*(1+$I106)</f>
        <v>34402.2567283257</v>
      </c>
      <c r="EN106" s="133" t="n">
        <f aca="false">EM106*Inputs!$I$14</f>
        <v>6880.45134566514</v>
      </c>
      <c r="EO106" s="84" t="n">
        <f aca="false">EM106-EN106</f>
        <v>27521.8053826606</v>
      </c>
      <c r="EP106" s="133" t="n">
        <f aca="false">EB106+$D106*Inputs!$I$13</f>
        <v>5698.04883233397</v>
      </c>
      <c r="EQ106" s="84" t="n">
        <f aca="false">MIN(EN106,EP106)</f>
        <v>5698.04883233397</v>
      </c>
      <c r="ER106" s="84" t="n">
        <f aca="false">EP106-EQ106</f>
        <v>0</v>
      </c>
      <c r="ES106" s="84" t="n">
        <f aca="false">EE106+$G106*(EP106+EE106)</f>
        <v>7791.03503112115</v>
      </c>
      <c r="ET106" s="84" t="n">
        <f aca="false">MIN(EN106-EQ106,ES106)</f>
        <v>1182.40251333118</v>
      </c>
      <c r="EU106" s="84" t="n">
        <f aca="false">ES106-ET106</f>
        <v>6608.63251778997</v>
      </c>
      <c r="EV106" s="84" t="n">
        <f aca="false">IF($H106=1,MIN(EN106-EQ106-ET106,MAX(0,$F106/(1-$F106)*(EJ106+ET106)-EK106)),0)</f>
        <v>0</v>
      </c>
      <c r="EW106" s="84" t="n">
        <f aca="false">EN106-EQ106-ET106-EV106</f>
        <v>0</v>
      </c>
      <c r="EX106" s="84" t="n">
        <f aca="false">EQ106+ET106+(1-$F106)*EW106</f>
        <v>6880.45134566514</v>
      </c>
      <c r="EY106" s="84" t="n">
        <f aca="false">EV106+$F106*EW106</f>
        <v>0</v>
      </c>
      <c r="EZ106" s="84" t="n">
        <f aca="false">EJ106+ET106+(1-$F106)*EW106</f>
        <v>1182.40251333118</v>
      </c>
      <c r="FA106" s="84" t="n">
        <f aca="false">EK106+EY106</f>
        <v>0</v>
      </c>
      <c r="FB106" s="133" t="n">
        <f aca="false">EO106+$D106*Inputs!$J$13-$D106*$E106</f>
        <v>27251.8053826606</v>
      </c>
      <c r="FC106" s="84" t="n">
        <f aca="false">FB106*(1+$I106)</f>
        <v>33519.7206206725</v>
      </c>
      <c r="FD106" s="133" t="n">
        <f aca="false">FC106*Inputs!$J$14</f>
        <v>6703.9441241345</v>
      </c>
      <c r="FE106" s="84" t="n">
        <f aca="false">FC106-FD106</f>
        <v>26815.776496538</v>
      </c>
      <c r="FF106" s="133" t="n">
        <f aca="false">ER106+$D106*Inputs!$J$13</f>
        <v>0</v>
      </c>
      <c r="FG106" s="84" t="n">
        <f aca="false">MIN(FD106,FF106)</f>
        <v>0</v>
      </c>
      <c r="FH106" s="84" t="n">
        <f aca="false">FF106-FG106</f>
        <v>0</v>
      </c>
      <c r="FI106" s="84" t="n">
        <f aca="false">EU106+$G106*(FF106+EU106)</f>
        <v>7137.32311921317</v>
      </c>
      <c r="FJ106" s="84" t="n">
        <f aca="false">MIN(FD106-FG106,FI106)</f>
        <v>6703.9441241345</v>
      </c>
      <c r="FK106" s="84" t="n">
        <f aca="false">FI106-FJ106</f>
        <v>433.378995078666</v>
      </c>
      <c r="FL106" s="84" t="n">
        <f aca="false">IF($H106=1,MIN(FD106-FG106-FJ106,MAX(0,$F106/(1-$F106)*(EZ106+FJ106)-FA106)),0)</f>
        <v>0</v>
      </c>
      <c r="FM106" s="84" t="n">
        <f aca="false">FD106-FG106-FJ106-FL106</f>
        <v>0</v>
      </c>
      <c r="FN106" s="84" t="n">
        <f aca="false">FG106+FJ106+(1-$F106)*FM106</f>
        <v>6703.9441241345</v>
      </c>
      <c r="FO106" s="84" t="n">
        <f aca="false">FL106+$F106*FM106</f>
        <v>0</v>
      </c>
      <c r="FP106" s="84" t="n">
        <f aca="false">EZ106+FJ106+(1-$F106)*FM106</f>
        <v>7886.34663746568</v>
      </c>
      <c r="FQ106" s="84" t="n">
        <f aca="false">FA106+FO106</f>
        <v>0</v>
      </c>
      <c r="FR106" s="133" t="n">
        <f aca="false">FE106+$D106*Inputs!$K$13-$D106*$E106</f>
        <v>26545.776496538</v>
      </c>
      <c r="FS106" s="84" t="n">
        <f aca="false">FR106*(1+$I106)</f>
        <v>32651.3050907417</v>
      </c>
      <c r="FT106" s="133" t="n">
        <f aca="false">FS106*Inputs!$K$14</f>
        <v>6530.26101814835</v>
      </c>
      <c r="FU106" s="84" t="n">
        <f aca="false">FS106-FT106</f>
        <v>26121.0440725934</v>
      </c>
      <c r="FV106" s="133" t="n">
        <f aca="false">FH106+$D106*Inputs!$K$13</f>
        <v>0</v>
      </c>
      <c r="FW106" s="84" t="n">
        <f aca="false">MIN(FT106,FV106)</f>
        <v>0</v>
      </c>
      <c r="FX106" s="84" t="n">
        <f aca="false">FV106-FW106</f>
        <v>0</v>
      </c>
      <c r="FY106" s="84" t="n">
        <f aca="false">FK106+$G106*(FV106+FK106)</f>
        <v>468.049314684959</v>
      </c>
      <c r="FZ106" s="84" t="n">
        <f aca="false">MIN(FT106-FW106,FY106)</f>
        <v>468.049314684959</v>
      </c>
      <c r="GA106" s="84" t="n">
        <f aca="false">FY106-FZ106</f>
        <v>0</v>
      </c>
      <c r="GB106" s="84" t="n">
        <f aca="false">IF($H106=1,MIN(FT106-FW106-FZ106,MAX(0,$F106/(1-$F106)*(FP106+FZ106)-FQ106)),0)</f>
        <v>0</v>
      </c>
      <c r="GC106" s="84" t="n">
        <f aca="false">FT106-FW106-FZ106-GB106</f>
        <v>6062.21170346339</v>
      </c>
      <c r="GD106" s="84" t="n">
        <f aca="false">FW106+FZ106+(1-$F106)*GC106</f>
        <v>5317.81867745567</v>
      </c>
      <c r="GE106" s="84" t="n">
        <f aca="false">GB106+$F106*GC106</f>
        <v>1212.44234069268</v>
      </c>
      <c r="GF106" s="84" t="n">
        <f aca="false">FP106+FZ106+(1-$F106)*GC106</f>
        <v>13204.1653149213</v>
      </c>
      <c r="GG106" s="84" t="n">
        <f aca="false">FQ106+GE106</f>
        <v>1212.44234069268</v>
      </c>
      <c r="GH106" s="133" t="n">
        <f aca="false">FU106+$D106*Inputs!$L$13-$D106*$E106</f>
        <v>25851.0440725934</v>
      </c>
      <c r="GI106" s="84" t="n">
        <f aca="false">GH106*(1+$I106)</f>
        <v>31796.7842092899</v>
      </c>
      <c r="GJ106" s="133" t="n">
        <f aca="false">GI106*Inputs!$L$14</f>
        <v>31796.7842092899</v>
      </c>
      <c r="GK106" s="84" t="n">
        <f aca="false">GI106-GJ106</f>
        <v>0</v>
      </c>
      <c r="GL106" s="133" t="n">
        <f aca="false">FX106+$D106*Inputs!$L$13</f>
        <v>0</v>
      </c>
      <c r="GM106" s="84" t="n">
        <f aca="false">MIN(GJ106,GL106)</f>
        <v>0</v>
      </c>
      <c r="GN106" s="84" t="n">
        <f aca="false">GL106-GM106</f>
        <v>0</v>
      </c>
      <c r="GO106" s="84" t="n">
        <f aca="false">GA106+$G106*(GL106+GA106)</f>
        <v>0</v>
      </c>
      <c r="GP106" s="84" t="n">
        <f aca="false">MIN(GJ106-GM106,GO106)</f>
        <v>0</v>
      </c>
      <c r="GQ106" s="84" t="n">
        <f aca="false">GO106-GP106</f>
        <v>0</v>
      </c>
      <c r="GR106" s="84" t="n">
        <f aca="false">IF($H106=1,MIN(GJ106-GM106-GP106,MAX(0,$F106/(1-$F106)*(GF106+GP106)-GG106)),0)</f>
        <v>0</v>
      </c>
      <c r="GS106" s="84" t="n">
        <f aca="false">GJ106-GM106-GP106-GR106</f>
        <v>31796.7842092899</v>
      </c>
      <c r="GT106" s="84" t="n">
        <f aca="false">GM106+GP106+(1-$F106)*GS106</f>
        <v>25437.4273674319</v>
      </c>
      <c r="GU106" s="84" t="n">
        <f aca="false">GR106+$F106*GS106</f>
        <v>6359.35684185798</v>
      </c>
      <c r="GV106" s="84" t="n">
        <f aca="false">GF106+GP106+(1-$F106)*GS106</f>
        <v>38641.5926823533</v>
      </c>
      <c r="GW106" s="84" t="n">
        <f aca="false">GG106+GU106</f>
        <v>7571.79918255065</v>
      </c>
    </row>
    <row r="107" customFormat="false" ht="15" hidden="false" customHeight="false" outlineLevel="0" collapsed="false">
      <c r="A107" s="5" t="s">
        <v>639</v>
      </c>
      <c r="B107" s="5" t="s">
        <v>427</v>
      </c>
      <c r="C107" s="135" t="n">
        <v>24</v>
      </c>
      <c r="D107" s="47" t="n">
        <f aca="false">Inputs!$C$6</f>
        <v>20000</v>
      </c>
      <c r="E107" s="35" t="n">
        <f aca="false">Inputs!$C$19</f>
        <v>0.0135</v>
      </c>
      <c r="F107" s="36" t="n">
        <f aca="false">Inputs!$C$20</f>
        <v>0.2</v>
      </c>
      <c r="G107" s="36" t="n">
        <f aca="false">Inputs!$C$22</f>
        <v>0.08</v>
      </c>
      <c r="H107" s="27" t="n">
        <v>0</v>
      </c>
      <c r="I107" s="132" t="n">
        <f aca="false">Inputs!$C$38+$C107*Inputs!$C$39</f>
        <v>0.24</v>
      </c>
      <c r="J107" s="36" t="n">
        <f aca="false">Inputs!$C$9</f>
        <v>0.15</v>
      </c>
      <c r="K107" s="89" t="n">
        <f aca="false">IRR(W107:AG107,0.1)</f>
        <v>0.202592347760605</v>
      </c>
      <c r="L107" s="45" t="n">
        <f aca="false">W107+NPV($J107,X107:AG107)</f>
        <v>4731.63003160953</v>
      </c>
      <c r="M107" s="45" t="n">
        <f aca="false">SUM(BF107,BV107,CL107,DB107,DR107,EH107,EX107,FN107,GD107,GT107)</f>
        <v>61706.4417966642</v>
      </c>
      <c r="N107" s="43" t="n">
        <f aca="false">IF($D107*SUM(Inputs!$C$13:$L$13)=0,0,M107/($D107*SUM(Inputs!$C$13:$L$13)))</f>
        <v>3.08532208983321</v>
      </c>
      <c r="O107" s="42" t="n">
        <f aca="false">$D107*$E107*COLUMNS(Inputs!$C$13:$L$13)</f>
        <v>2700</v>
      </c>
      <c r="P107" s="45" t="n">
        <f aca="false">SUM(BG107,BW107,CM107,DC107,DS107,EI107,EY107,FO107,GE107,GU107)</f>
        <v>8376.87775094453</v>
      </c>
      <c r="Q107" s="42" t="n">
        <f aca="false">PV($J107,COLUMNS(Inputs!$C$13:$L$13),-$D107*$E107,0,1)</f>
        <v>1558.32765832774</v>
      </c>
      <c r="R107" s="45" t="n">
        <f aca="false">NPV($J107,BG107,BW107,CM107,DC107,DS107,EI107,EY107,FO107,GE107,GU107)</f>
        <v>2135.31470800077</v>
      </c>
      <c r="S107" s="45" t="n">
        <f aca="false">Q107+R107</f>
        <v>3693.64236632851</v>
      </c>
      <c r="T107" s="32" t="n">
        <f aca="false">IF(S107=0,0,Q107/S107)</f>
        <v>0.421894570122316</v>
      </c>
      <c r="U107" s="45" t="n">
        <f aca="false">ROUND(ABS(GK107)+ABS(SUM(AV107,BL107,CB107,CR107,DH107,DX107,EN107,FD107,FT107,GJ107)-M107-P107)+ABS(S107-(AH107+NPV($J107,AI107:AR107))),6)</f>
        <v>0</v>
      </c>
      <c r="W107" s="133" t="n">
        <f aca="false">-$D107*Inputs!$C$13</f>
        <v>-4000</v>
      </c>
      <c r="X107" s="133" t="n">
        <f aca="false">BF107-$D107*Inputs!$D$13</f>
        <v>-4000</v>
      </c>
      <c r="Y107" s="133" t="n">
        <f aca="false">BV107-$D107*Inputs!$E$13</f>
        <v>-4000</v>
      </c>
      <c r="Z107" s="133" t="n">
        <f aca="false">CL107-$D107*Inputs!$F$13</f>
        <v>-4000</v>
      </c>
      <c r="AA107" s="133" t="n">
        <f aca="false">DB107-$D107*Inputs!$G$13</f>
        <v>-4000</v>
      </c>
      <c r="AB107" s="133" t="n">
        <f aca="false">DR107-$D107*Inputs!$H$13</f>
        <v>7445.1268655104</v>
      </c>
      <c r="AC107" s="133" t="n">
        <f aca="false">EH107-$D107*Inputs!$I$13</f>
        <v>7318.60585058632</v>
      </c>
      <c r="AD107" s="133" t="n">
        <f aca="false">EX107-$D107*Inputs!$J$13</f>
        <v>7193.09700378163</v>
      </c>
      <c r="AE107" s="133" t="n">
        <f aca="false">FN107-$D107*Inputs!$K$13</f>
        <v>6903.29399680265</v>
      </c>
      <c r="AF107" s="133" t="n">
        <f aca="false">GD107-$D107*Inputs!$L$13</f>
        <v>5556.06679194349</v>
      </c>
      <c r="AG107" s="84" t="n">
        <f aca="false">GT107</f>
        <v>27290.2512880397</v>
      </c>
      <c r="AH107" s="84" t="n">
        <f aca="false">$D107*$E107</f>
        <v>270</v>
      </c>
      <c r="AI107" s="84" t="n">
        <f aca="false">BG107+$D107*$E107</f>
        <v>270</v>
      </c>
      <c r="AJ107" s="84" t="n">
        <f aca="false">BW107+$D107*$E107</f>
        <v>270</v>
      </c>
      <c r="AK107" s="84" t="n">
        <f aca="false">CM107+$D107*$E107</f>
        <v>270</v>
      </c>
      <c r="AL107" s="84" t="n">
        <f aca="false">DC107+$D107*$E107</f>
        <v>270</v>
      </c>
      <c r="AM107" s="84" t="n">
        <f aca="false">DS107+$D107*$E107</f>
        <v>270</v>
      </c>
      <c r="AN107" s="84" t="n">
        <f aca="false">EI107+$D107*$E107</f>
        <v>270</v>
      </c>
      <c r="AO107" s="84" t="n">
        <f aca="false">EY107+$D107*$E107</f>
        <v>270</v>
      </c>
      <c r="AP107" s="84" t="n">
        <f aca="false">FO107+$D107*$E107</f>
        <v>435.298230948728</v>
      </c>
      <c r="AQ107" s="84" t="n">
        <f aca="false">GE107+$D107*$E107</f>
        <v>1659.01669798587</v>
      </c>
      <c r="AR107" s="84" t="n">
        <f aca="false">GU107</f>
        <v>6822.56282200993</v>
      </c>
      <c r="AT107" s="133" t="n">
        <f aca="false">$D107*Inputs!$C$13-$D107*$E107</f>
        <v>3730</v>
      </c>
      <c r="AU107" s="84" t="n">
        <f aca="false">AT107*(1+$I107)</f>
        <v>4625.2</v>
      </c>
      <c r="AV107" s="133" t="n">
        <f aca="false">AU107*Inputs!$C$14</f>
        <v>0</v>
      </c>
      <c r="AW107" s="84" t="n">
        <f aca="false">AU107-AV107</f>
        <v>4625.2</v>
      </c>
      <c r="AX107" s="133" t="n">
        <f aca="false">$D107*Inputs!$C$13</f>
        <v>4000</v>
      </c>
      <c r="AY107" s="84" t="n">
        <f aca="false">MIN(AV107,AX107)</f>
        <v>0</v>
      </c>
      <c r="AZ107" s="84" t="n">
        <f aca="false">AX107-AY107</f>
        <v>4000</v>
      </c>
      <c r="BA107" s="84" t="n">
        <f aca="false">$G107*AX107</f>
        <v>320</v>
      </c>
      <c r="BB107" s="84" t="n">
        <f aca="false">MIN(AV107-AY107,BA107)</f>
        <v>0</v>
      </c>
      <c r="BC107" s="84" t="n">
        <f aca="false">BA107-BB107</f>
        <v>320</v>
      </c>
      <c r="BD107" s="84" t="n">
        <f aca="false">IF($H107=1,MIN(AV107-AY107-BB107,MAX(0,$F107/(1-$F107)*BB107)),0)</f>
        <v>0</v>
      </c>
      <c r="BE107" s="84" t="n">
        <f aca="false">AV107-AY107-BB107-BD107</f>
        <v>0</v>
      </c>
      <c r="BF107" s="84" t="n">
        <f aca="false">AY107+BB107+(1-$F107)*BE107</f>
        <v>0</v>
      </c>
      <c r="BG107" s="84" t="n">
        <f aca="false">BD107+$F107*BE107</f>
        <v>0</v>
      </c>
      <c r="BH107" s="84" t="n">
        <f aca="false">BB107+(1-$F107)*BE107</f>
        <v>0</v>
      </c>
      <c r="BI107" s="84" t="n">
        <f aca="false">BG107</f>
        <v>0</v>
      </c>
      <c r="BJ107" s="133" t="n">
        <f aca="false">AW107+$D107*Inputs!$D$13-$D107*$E107</f>
        <v>8355.2</v>
      </c>
      <c r="BK107" s="84" t="n">
        <f aca="false">BJ107*(1+$I107)</f>
        <v>10360.448</v>
      </c>
      <c r="BL107" s="133" t="n">
        <f aca="false">BK107*Inputs!$D$14</f>
        <v>0</v>
      </c>
      <c r="BM107" s="84" t="n">
        <f aca="false">BK107-BL107</f>
        <v>10360.448</v>
      </c>
      <c r="BN107" s="133" t="n">
        <f aca="false">AZ107+$D107*Inputs!$D$13</f>
        <v>8000</v>
      </c>
      <c r="BO107" s="84" t="n">
        <f aca="false">MIN(BL107,BN107)</f>
        <v>0</v>
      </c>
      <c r="BP107" s="84" t="n">
        <f aca="false">BN107-BO107</f>
        <v>8000</v>
      </c>
      <c r="BQ107" s="84" t="n">
        <f aca="false">BC107+$G107*(BN107+BC107)</f>
        <v>985.6</v>
      </c>
      <c r="BR107" s="84" t="n">
        <f aca="false">MIN(BL107-BO107,BQ107)</f>
        <v>0</v>
      </c>
      <c r="BS107" s="84" t="n">
        <f aca="false">BQ107-BR107</f>
        <v>985.6</v>
      </c>
      <c r="BT107" s="84" t="n">
        <f aca="false">IF($H107=1,MIN(BL107-BO107-BR107,MAX(0,$F107/(1-$F107)*(BH107+BR107)-BI107)),0)</f>
        <v>0</v>
      </c>
      <c r="BU107" s="84" t="n">
        <f aca="false">BL107-BO107-BR107-BT107</f>
        <v>0</v>
      </c>
      <c r="BV107" s="84" t="n">
        <f aca="false">BO107+BR107+(1-$F107)*BU107</f>
        <v>0</v>
      </c>
      <c r="BW107" s="84" t="n">
        <f aca="false">BT107+$F107*BU107</f>
        <v>0</v>
      </c>
      <c r="BX107" s="84" t="n">
        <f aca="false">BH107+BR107+(1-$F107)*BU107</f>
        <v>0</v>
      </c>
      <c r="BY107" s="84" t="n">
        <f aca="false">BI107+BW107</f>
        <v>0</v>
      </c>
      <c r="BZ107" s="133" t="n">
        <f aca="false">BM107+$D107*Inputs!$E$13-$D107*$E107</f>
        <v>14090.448</v>
      </c>
      <c r="CA107" s="84" t="n">
        <f aca="false">BZ107*(1+$I107)</f>
        <v>17472.15552</v>
      </c>
      <c r="CB107" s="133" t="n">
        <f aca="false">CA107*Inputs!$E$14</f>
        <v>0</v>
      </c>
      <c r="CC107" s="84" t="n">
        <f aca="false">CA107-CB107</f>
        <v>17472.15552</v>
      </c>
      <c r="CD107" s="133" t="n">
        <f aca="false">BP107+$D107*Inputs!$E$13</f>
        <v>12000</v>
      </c>
      <c r="CE107" s="84" t="n">
        <f aca="false">MIN(CB107,CD107)</f>
        <v>0</v>
      </c>
      <c r="CF107" s="84" t="n">
        <f aca="false">CD107-CE107</f>
        <v>12000</v>
      </c>
      <c r="CG107" s="84" t="n">
        <f aca="false">BS107+$G107*(CD107+BS107)</f>
        <v>2024.448</v>
      </c>
      <c r="CH107" s="84" t="n">
        <f aca="false">MIN(CB107-CE107,CG107)</f>
        <v>0</v>
      </c>
      <c r="CI107" s="84" t="n">
        <f aca="false">CG107-CH107</f>
        <v>2024.448</v>
      </c>
      <c r="CJ107" s="84" t="n">
        <f aca="false">IF($H107=1,MIN(CB107-CE107-CH107,MAX(0,$F107/(1-$F107)*(BX107+CH107)-BY107)),0)</f>
        <v>0</v>
      </c>
      <c r="CK107" s="84" t="n">
        <f aca="false">CB107-CE107-CH107-CJ107</f>
        <v>0</v>
      </c>
      <c r="CL107" s="84" t="n">
        <f aca="false">CE107+CH107+(1-$F107)*CK107</f>
        <v>0</v>
      </c>
      <c r="CM107" s="84" t="n">
        <f aca="false">CJ107+$F107*CK107</f>
        <v>0</v>
      </c>
      <c r="CN107" s="84" t="n">
        <f aca="false">BX107+CH107+(1-$F107)*CK107</f>
        <v>0</v>
      </c>
      <c r="CO107" s="84" t="n">
        <f aca="false">BY107+CM107</f>
        <v>0</v>
      </c>
      <c r="CP107" s="133" t="n">
        <f aca="false">CC107+$D107*Inputs!$F$13-$D107*$E107</f>
        <v>21202.15552</v>
      </c>
      <c r="CQ107" s="84" t="n">
        <f aca="false">CP107*(1+$I107)</f>
        <v>26290.6728448</v>
      </c>
      <c r="CR107" s="133" t="n">
        <f aca="false">CQ107*Inputs!$F$14</f>
        <v>0</v>
      </c>
      <c r="CS107" s="84" t="n">
        <f aca="false">CQ107-CR107</f>
        <v>26290.6728448</v>
      </c>
      <c r="CT107" s="133" t="n">
        <f aca="false">CF107+$D107*Inputs!$F$13</f>
        <v>16000</v>
      </c>
      <c r="CU107" s="84" t="n">
        <f aca="false">MIN(CR107,CT107)</f>
        <v>0</v>
      </c>
      <c r="CV107" s="84" t="n">
        <f aca="false">CT107-CU107</f>
        <v>16000</v>
      </c>
      <c r="CW107" s="84" t="n">
        <f aca="false">CI107+$G107*(CT107+CI107)</f>
        <v>3466.40384</v>
      </c>
      <c r="CX107" s="84" t="n">
        <f aca="false">MIN(CR107-CU107,CW107)</f>
        <v>0</v>
      </c>
      <c r="CY107" s="84" t="n">
        <f aca="false">CW107-CX107</f>
        <v>3466.40384</v>
      </c>
      <c r="CZ107" s="84" t="n">
        <f aca="false">IF($H107=1,MIN(CR107-CU107-CX107,MAX(0,$F107/(1-$F107)*(CN107+CX107)-CO107)),0)</f>
        <v>0</v>
      </c>
      <c r="DA107" s="84" t="n">
        <f aca="false">CR107-CU107-CX107-CZ107</f>
        <v>0</v>
      </c>
      <c r="DB107" s="84" t="n">
        <f aca="false">CU107+CX107+(1-$F107)*DA107</f>
        <v>0</v>
      </c>
      <c r="DC107" s="84" t="n">
        <f aca="false">CZ107+$F107*DA107</f>
        <v>0</v>
      </c>
      <c r="DD107" s="84" t="n">
        <f aca="false">CN107+CX107+(1-$F107)*DA107</f>
        <v>0</v>
      </c>
      <c r="DE107" s="84" t="n">
        <f aca="false">CO107+DC107</f>
        <v>0</v>
      </c>
      <c r="DF107" s="133" t="n">
        <f aca="false">CS107+$D107*Inputs!$G$13-$D107*$E107</f>
        <v>30020.6728448</v>
      </c>
      <c r="DG107" s="84" t="n">
        <f aca="false">DF107*(1+$I107)</f>
        <v>37225.634327552</v>
      </c>
      <c r="DH107" s="133" t="n">
        <f aca="false">DG107*Inputs!$G$14</f>
        <v>7445.1268655104</v>
      </c>
      <c r="DI107" s="84" t="n">
        <f aca="false">DG107-DH107</f>
        <v>29780.5074620416</v>
      </c>
      <c r="DJ107" s="133" t="n">
        <f aca="false">CV107+$D107*Inputs!$G$13</f>
        <v>20000</v>
      </c>
      <c r="DK107" s="84" t="n">
        <f aca="false">MIN(DH107,DJ107)</f>
        <v>7445.1268655104</v>
      </c>
      <c r="DL107" s="84" t="n">
        <f aca="false">DJ107-DK107</f>
        <v>12554.8731344896</v>
      </c>
      <c r="DM107" s="84" t="n">
        <f aca="false">CY107+$G107*(DJ107+CY107)</f>
        <v>5343.7161472</v>
      </c>
      <c r="DN107" s="84" t="n">
        <f aca="false">MIN(DH107-DK107,DM107)</f>
        <v>0</v>
      </c>
      <c r="DO107" s="84" t="n">
        <f aca="false">DM107-DN107</f>
        <v>5343.7161472</v>
      </c>
      <c r="DP107" s="84" t="n">
        <f aca="false">IF($H107=1,MIN(DH107-DK107-DN107,MAX(0,$F107/(1-$F107)*(DD107+DN107)-DE107)),0)</f>
        <v>0</v>
      </c>
      <c r="DQ107" s="84" t="n">
        <f aca="false">DH107-DK107-DN107-DP107</f>
        <v>0</v>
      </c>
      <c r="DR107" s="84" t="n">
        <f aca="false">DK107+DN107+(1-$F107)*DQ107</f>
        <v>7445.1268655104</v>
      </c>
      <c r="DS107" s="84" t="n">
        <f aca="false">DP107+$F107*DQ107</f>
        <v>0</v>
      </c>
      <c r="DT107" s="84" t="n">
        <f aca="false">DD107+DN107+(1-$F107)*DQ107</f>
        <v>0</v>
      </c>
      <c r="DU107" s="84" t="n">
        <f aca="false">DE107+DS107</f>
        <v>0</v>
      </c>
      <c r="DV107" s="133" t="n">
        <f aca="false">DI107+$D107*Inputs!$H$13-$D107*$E107</f>
        <v>29510.5074620416</v>
      </c>
      <c r="DW107" s="84" t="n">
        <f aca="false">DV107*(1+$I107)</f>
        <v>36593.0292529316</v>
      </c>
      <c r="DX107" s="133" t="n">
        <f aca="false">DW107*Inputs!$H$14</f>
        <v>7318.60585058632</v>
      </c>
      <c r="DY107" s="84" t="n">
        <f aca="false">DW107-DX107</f>
        <v>29274.4234023453</v>
      </c>
      <c r="DZ107" s="133" t="n">
        <f aca="false">DL107+$D107*Inputs!$H$13</f>
        <v>12554.8731344896</v>
      </c>
      <c r="EA107" s="84" t="n">
        <f aca="false">MIN(DX107,DZ107)</f>
        <v>7318.60585058632</v>
      </c>
      <c r="EB107" s="84" t="n">
        <f aca="false">DZ107-EA107</f>
        <v>5236.26728390328</v>
      </c>
      <c r="EC107" s="84" t="n">
        <f aca="false">DO107+$G107*(DZ107+DO107)</f>
        <v>6775.60328973517</v>
      </c>
      <c r="ED107" s="84" t="n">
        <f aca="false">MIN(DX107-EA107,EC107)</f>
        <v>0</v>
      </c>
      <c r="EE107" s="84" t="n">
        <f aca="false">EC107-ED107</f>
        <v>6775.60328973517</v>
      </c>
      <c r="EF107" s="84" t="n">
        <f aca="false">IF($H107=1,MIN(DX107-EA107-ED107,MAX(0,$F107/(1-$F107)*(DT107+ED107)-DU107)),0)</f>
        <v>0</v>
      </c>
      <c r="EG107" s="84" t="n">
        <f aca="false">DX107-EA107-ED107-EF107</f>
        <v>0</v>
      </c>
      <c r="EH107" s="84" t="n">
        <f aca="false">EA107+ED107+(1-$F107)*EG107</f>
        <v>7318.60585058632</v>
      </c>
      <c r="EI107" s="84" t="n">
        <f aca="false">EF107+$F107*EG107</f>
        <v>0</v>
      </c>
      <c r="EJ107" s="84" t="n">
        <f aca="false">DT107+ED107+(1-$F107)*EG107</f>
        <v>0</v>
      </c>
      <c r="EK107" s="84" t="n">
        <f aca="false">DU107+EI107</f>
        <v>0</v>
      </c>
      <c r="EL107" s="133" t="n">
        <f aca="false">DY107+$D107*Inputs!$I$13-$D107*$E107</f>
        <v>29004.4234023453</v>
      </c>
      <c r="EM107" s="84" t="n">
        <f aca="false">EL107*(1+$I107)</f>
        <v>35965.4850189081</v>
      </c>
      <c r="EN107" s="133" t="n">
        <f aca="false">EM107*Inputs!$I$14</f>
        <v>7193.09700378163</v>
      </c>
      <c r="EO107" s="84" t="n">
        <f aca="false">EM107-EN107</f>
        <v>28772.3880151265</v>
      </c>
      <c r="EP107" s="133" t="n">
        <f aca="false">EB107+$D107*Inputs!$I$13</f>
        <v>5236.26728390328</v>
      </c>
      <c r="EQ107" s="84" t="n">
        <f aca="false">MIN(EN107,EP107)</f>
        <v>5236.26728390328</v>
      </c>
      <c r="ER107" s="84" t="n">
        <f aca="false">EP107-EQ107</f>
        <v>0</v>
      </c>
      <c r="ES107" s="84" t="n">
        <f aca="false">EE107+$G107*(EP107+EE107)</f>
        <v>7736.55293562624</v>
      </c>
      <c r="ET107" s="84" t="n">
        <f aca="false">MIN(EN107-EQ107,ES107)</f>
        <v>1956.82971987834</v>
      </c>
      <c r="EU107" s="84" t="n">
        <f aca="false">ES107-ET107</f>
        <v>5779.7232157479</v>
      </c>
      <c r="EV107" s="84" t="n">
        <f aca="false">IF($H107=1,MIN(EN107-EQ107-ET107,MAX(0,$F107/(1-$F107)*(EJ107+ET107)-EK107)),0)</f>
        <v>0</v>
      </c>
      <c r="EW107" s="84" t="n">
        <f aca="false">EN107-EQ107-ET107-EV107</f>
        <v>0</v>
      </c>
      <c r="EX107" s="84" t="n">
        <f aca="false">EQ107+ET107+(1-$F107)*EW107</f>
        <v>7193.09700378163</v>
      </c>
      <c r="EY107" s="84" t="n">
        <f aca="false">EV107+$F107*EW107</f>
        <v>0</v>
      </c>
      <c r="EZ107" s="84" t="n">
        <f aca="false">EJ107+ET107+(1-$F107)*EW107</f>
        <v>1956.82971987834</v>
      </c>
      <c r="FA107" s="84" t="n">
        <f aca="false">EK107+EY107</f>
        <v>0</v>
      </c>
      <c r="FB107" s="133" t="n">
        <f aca="false">EO107+$D107*Inputs!$J$13-$D107*$E107</f>
        <v>28502.3880151265</v>
      </c>
      <c r="FC107" s="84" t="n">
        <f aca="false">FB107*(1+$I107)</f>
        <v>35342.9611387569</v>
      </c>
      <c r="FD107" s="133" t="n">
        <f aca="false">FC107*Inputs!$J$14</f>
        <v>7068.59222775137</v>
      </c>
      <c r="FE107" s="84" t="n">
        <f aca="false">FC107-FD107</f>
        <v>28274.3689110055</v>
      </c>
      <c r="FF107" s="133" t="n">
        <f aca="false">ER107+$D107*Inputs!$J$13</f>
        <v>0</v>
      </c>
      <c r="FG107" s="84" t="n">
        <f aca="false">MIN(FD107,FF107)</f>
        <v>0</v>
      </c>
      <c r="FH107" s="84" t="n">
        <f aca="false">FF107-FG107</f>
        <v>0</v>
      </c>
      <c r="FI107" s="84" t="n">
        <f aca="false">EU107+$G107*(FF107+EU107)</f>
        <v>6242.10107300773</v>
      </c>
      <c r="FJ107" s="84" t="n">
        <f aca="false">MIN(FD107-FG107,FI107)</f>
        <v>6242.10107300773</v>
      </c>
      <c r="FK107" s="84" t="n">
        <f aca="false">FI107-FJ107</f>
        <v>0</v>
      </c>
      <c r="FL107" s="84" t="n">
        <f aca="false">IF($H107=1,MIN(FD107-FG107-FJ107,MAX(0,$F107/(1-$F107)*(EZ107+FJ107)-FA107)),0)</f>
        <v>0</v>
      </c>
      <c r="FM107" s="84" t="n">
        <f aca="false">FD107-FG107-FJ107-FL107</f>
        <v>826.491154743641</v>
      </c>
      <c r="FN107" s="84" t="n">
        <f aca="false">FG107+FJ107+(1-$F107)*FM107</f>
        <v>6903.29399680265</v>
      </c>
      <c r="FO107" s="84" t="n">
        <f aca="false">FL107+$F107*FM107</f>
        <v>165.298230948728</v>
      </c>
      <c r="FP107" s="84" t="n">
        <f aca="false">EZ107+FJ107+(1-$F107)*FM107</f>
        <v>8860.12371668099</v>
      </c>
      <c r="FQ107" s="84" t="n">
        <f aca="false">FA107+FO107</f>
        <v>165.298230948728</v>
      </c>
      <c r="FR107" s="133" t="n">
        <f aca="false">FE107+$D107*Inputs!$K$13-$D107*$E107</f>
        <v>28004.3689110055</v>
      </c>
      <c r="FS107" s="84" t="n">
        <f aca="false">FR107*(1+$I107)</f>
        <v>34725.4174496468</v>
      </c>
      <c r="FT107" s="133" t="n">
        <f aca="false">FS107*Inputs!$K$14</f>
        <v>6945.08348992936</v>
      </c>
      <c r="FU107" s="84" t="n">
        <f aca="false">FS107-FT107</f>
        <v>27780.3339597175</v>
      </c>
      <c r="FV107" s="133" t="n">
        <f aca="false">FH107+$D107*Inputs!$K$13</f>
        <v>0</v>
      </c>
      <c r="FW107" s="84" t="n">
        <f aca="false">MIN(FT107,FV107)</f>
        <v>0</v>
      </c>
      <c r="FX107" s="84" t="n">
        <f aca="false">FV107-FW107</f>
        <v>0</v>
      </c>
      <c r="FY107" s="84" t="n">
        <f aca="false">FK107+$G107*(FV107+FK107)</f>
        <v>0</v>
      </c>
      <c r="FZ107" s="84" t="n">
        <f aca="false">MIN(FT107-FW107,FY107)</f>
        <v>0</v>
      </c>
      <c r="GA107" s="84" t="n">
        <f aca="false">FY107-FZ107</f>
        <v>0</v>
      </c>
      <c r="GB107" s="84" t="n">
        <f aca="false">IF($H107=1,MIN(FT107-FW107-FZ107,MAX(0,$F107/(1-$F107)*(FP107+FZ107)-FQ107)),0)</f>
        <v>0</v>
      </c>
      <c r="GC107" s="84" t="n">
        <f aca="false">FT107-FW107-FZ107-GB107</f>
        <v>6945.08348992936</v>
      </c>
      <c r="GD107" s="84" t="n">
        <f aca="false">FW107+FZ107+(1-$F107)*GC107</f>
        <v>5556.06679194349</v>
      </c>
      <c r="GE107" s="84" t="n">
        <f aca="false">GB107+$F107*GC107</f>
        <v>1389.01669798587</v>
      </c>
      <c r="GF107" s="84" t="n">
        <f aca="false">FP107+FZ107+(1-$F107)*GC107</f>
        <v>14416.1905086245</v>
      </c>
      <c r="GG107" s="84" t="n">
        <f aca="false">FQ107+GE107</f>
        <v>1554.3149289346</v>
      </c>
      <c r="GH107" s="133" t="n">
        <f aca="false">FU107+$D107*Inputs!$L$13-$D107*$E107</f>
        <v>27510.3339597175</v>
      </c>
      <c r="GI107" s="84" t="n">
        <f aca="false">GH107*(1+$I107)</f>
        <v>34112.8141100496</v>
      </c>
      <c r="GJ107" s="133" t="n">
        <f aca="false">GI107*Inputs!$L$14</f>
        <v>34112.8141100496</v>
      </c>
      <c r="GK107" s="84" t="n">
        <f aca="false">GI107-GJ107</f>
        <v>0</v>
      </c>
      <c r="GL107" s="133" t="n">
        <f aca="false">FX107+$D107*Inputs!$L$13</f>
        <v>0</v>
      </c>
      <c r="GM107" s="84" t="n">
        <f aca="false">MIN(GJ107,GL107)</f>
        <v>0</v>
      </c>
      <c r="GN107" s="84" t="n">
        <f aca="false">GL107-GM107</f>
        <v>0</v>
      </c>
      <c r="GO107" s="84" t="n">
        <f aca="false">GA107+$G107*(GL107+GA107)</f>
        <v>0</v>
      </c>
      <c r="GP107" s="84" t="n">
        <f aca="false">MIN(GJ107-GM107,GO107)</f>
        <v>0</v>
      </c>
      <c r="GQ107" s="84" t="n">
        <f aca="false">GO107-GP107</f>
        <v>0</v>
      </c>
      <c r="GR107" s="84" t="n">
        <f aca="false">IF($H107=1,MIN(GJ107-GM107-GP107,MAX(0,$F107/(1-$F107)*(GF107+GP107)-GG107)),0)</f>
        <v>0</v>
      </c>
      <c r="GS107" s="84" t="n">
        <f aca="false">GJ107-GM107-GP107-GR107</f>
        <v>34112.8141100496</v>
      </c>
      <c r="GT107" s="84" t="n">
        <f aca="false">GM107+GP107+(1-$F107)*GS107</f>
        <v>27290.2512880397</v>
      </c>
      <c r="GU107" s="84" t="n">
        <f aca="false">GR107+$F107*GS107</f>
        <v>6822.56282200993</v>
      </c>
      <c r="GV107" s="84" t="n">
        <f aca="false">GF107+GP107+(1-$F107)*GS107</f>
        <v>41706.4417966642</v>
      </c>
      <c r="GW107" s="84" t="n">
        <f aca="false">GG107+GU107</f>
        <v>8376.87775094453</v>
      </c>
    </row>
    <row r="108" customFormat="false" ht="15" hidden="false" customHeight="false" outlineLevel="0" collapsed="false">
      <c r="A108" s="5" t="s">
        <v>639</v>
      </c>
      <c r="B108" s="5" t="s">
        <v>427</v>
      </c>
      <c r="C108" s="135" t="n">
        <v>25</v>
      </c>
      <c r="D108" s="47" t="n">
        <f aca="false">Inputs!$C$6</f>
        <v>20000</v>
      </c>
      <c r="E108" s="35" t="n">
        <f aca="false">Inputs!$C$19</f>
        <v>0.0135</v>
      </c>
      <c r="F108" s="36" t="n">
        <f aca="false">Inputs!$C$20</f>
        <v>0.2</v>
      </c>
      <c r="G108" s="36" t="n">
        <f aca="false">Inputs!$C$22</f>
        <v>0.08</v>
      </c>
      <c r="H108" s="27" t="n">
        <v>0</v>
      </c>
      <c r="I108" s="132" t="n">
        <f aca="false">Inputs!$C$38+$C108*Inputs!$C$39</f>
        <v>0.25</v>
      </c>
      <c r="J108" s="36" t="n">
        <f aca="false">Inputs!$C$9</f>
        <v>0.15</v>
      </c>
      <c r="K108" s="89" t="n">
        <f aca="false">IRR(W108:AG108,0.1)</f>
        <v>0.211801586330238</v>
      </c>
      <c r="L108" s="45" t="n">
        <f aca="false">W108+NPV($J108,X108:AG108)</f>
        <v>5699.0874727676</v>
      </c>
      <c r="M108" s="45" t="n">
        <f aca="false">SUM(BF108,BV108,CL108,DB108,DR108,EH108,EX108,FN108,GD108,GT108)</f>
        <v>64949.3554355443</v>
      </c>
      <c r="N108" s="43" t="n">
        <f aca="false">IF($D108*SUM(Inputs!$C$13:$L$13)=0,0,M108/($D108*SUM(Inputs!$C$13:$L$13)))</f>
        <v>3.24746777177722</v>
      </c>
      <c r="O108" s="42" t="n">
        <f aca="false">$D108*$E108*COLUMNS(Inputs!$C$13:$L$13)</f>
        <v>2700</v>
      </c>
      <c r="P108" s="45" t="n">
        <f aca="false">SUM(BG108,BW108,CM108,DC108,DS108,EI108,EY108,FO108,GE108,GU108)</f>
        <v>9218.71097070568</v>
      </c>
      <c r="Q108" s="42" t="n">
        <f aca="false">PV($J108,COLUMNS(Inputs!$C$13:$L$13),-$D108*$E108,0,1)</f>
        <v>1558.32765832774</v>
      </c>
      <c r="R108" s="45" t="n">
        <f aca="false">NPV($J108,BG108,BW108,CM108,DC108,DS108,EI108,EY108,FO108,GE108,GU108)</f>
        <v>2367.47648007035</v>
      </c>
      <c r="S108" s="45" t="n">
        <f aca="false">Q108+R108</f>
        <v>3925.80413839809</v>
      </c>
      <c r="T108" s="32" t="n">
        <f aca="false">IF(S108=0,0,Q108/S108)</f>
        <v>0.396944830508943</v>
      </c>
      <c r="U108" s="45" t="n">
        <f aca="false">ROUND(ABS(GK108)+ABS(SUM(AV108,BL108,CB108,CR108,DH108,DX108,EN108,FD108,FT108,GJ108)-M108-P108)+ABS(S108-(AH108+NPV($J108,AI108:AR108))),6)</f>
        <v>0</v>
      </c>
      <c r="W108" s="133" t="n">
        <f aca="false">-$D108*Inputs!$C$13</f>
        <v>-4000</v>
      </c>
      <c r="X108" s="133" t="n">
        <f aca="false">BF108-$D108*Inputs!$D$13</f>
        <v>-4000</v>
      </c>
      <c r="Y108" s="133" t="n">
        <f aca="false">BV108-$D108*Inputs!$E$13</f>
        <v>-4000</v>
      </c>
      <c r="Z108" s="133" t="n">
        <f aca="false">CL108-$D108*Inputs!$F$13</f>
        <v>-4000</v>
      </c>
      <c r="AA108" s="133" t="n">
        <f aca="false">DB108-$D108*Inputs!$G$13</f>
        <v>-4000</v>
      </c>
      <c r="AB108" s="133" t="n">
        <f aca="false">DR108-$D108*Inputs!$H$13</f>
        <v>7653.056640625</v>
      </c>
      <c r="AC108" s="133" t="n">
        <f aca="false">EH108-$D108*Inputs!$I$13</f>
        <v>7585.556640625</v>
      </c>
      <c r="AD108" s="133" t="n">
        <f aca="false">EX108-$D108*Inputs!$J$13</f>
        <v>7518.056640625</v>
      </c>
      <c r="AE108" s="133" t="n">
        <f aca="false">FN108-$D108*Inputs!$K$13</f>
        <v>7024.01363866932</v>
      </c>
      <c r="AF108" s="133" t="n">
        <f aca="false">GD108-$D108*Inputs!$L$13</f>
        <v>5906.4453125</v>
      </c>
      <c r="AG108" s="84" t="n">
        <f aca="false">GT108</f>
        <v>29262.2265625</v>
      </c>
      <c r="AH108" s="84" t="n">
        <f aca="false">$D108*$E108</f>
        <v>270</v>
      </c>
      <c r="AI108" s="84" t="n">
        <f aca="false">BG108+$D108*$E108</f>
        <v>270</v>
      </c>
      <c r="AJ108" s="84" t="n">
        <f aca="false">BW108+$D108*$E108</f>
        <v>270</v>
      </c>
      <c r="AK108" s="84" t="n">
        <f aca="false">CM108+$D108*$E108</f>
        <v>270</v>
      </c>
      <c r="AL108" s="84" t="n">
        <f aca="false">DC108+$D108*$E108</f>
        <v>270</v>
      </c>
      <c r="AM108" s="84" t="n">
        <f aca="false">DS108+$D108*$E108</f>
        <v>270</v>
      </c>
      <c r="AN108" s="84" t="n">
        <f aca="false">EI108+$D108*$E108</f>
        <v>270</v>
      </c>
      <c r="AO108" s="84" t="n">
        <f aca="false">EY108+$D108*$E108</f>
        <v>270</v>
      </c>
      <c r="AP108" s="84" t="n">
        <f aca="false">FO108+$D108*$E108</f>
        <v>696.543001955679</v>
      </c>
      <c r="AQ108" s="84" t="n">
        <f aca="false">GE108+$D108*$E108</f>
        <v>1746.611328125</v>
      </c>
      <c r="AR108" s="84" t="n">
        <f aca="false">GU108</f>
        <v>7315.556640625</v>
      </c>
      <c r="AT108" s="133" t="n">
        <f aca="false">$D108*Inputs!$C$13-$D108*$E108</f>
        <v>3730</v>
      </c>
      <c r="AU108" s="84" t="n">
        <f aca="false">AT108*(1+$I108)</f>
        <v>4662.5</v>
      </c>
      <c r="AV108" s="133" t="n">
        <f aca="false">AU108*Inputs!$C$14</f>
        <v>0</v>
      </c>
      <c r="AW108" s="84" t="n">
        <f aca="false">AU108-AV108</f>
        <v>4662.5</v>
      </c>
      <c r="AX108" s="133" t="n">
        <f aca="false">$D108*Inputs!$C$13</f>
        <v>4000</v>
      </c>
      <c r="AY108" s="84" t="n">
        <f aca="false">MIN(AV108,AX108)</f>
        <v>0</v>
      </c>
      <c r="AZ108" s="84" t="n">
        <f aca="false">AX108-AY108</f>
        <v>4000</v>
      </c>
      <c r="BA108" s="84" t="n">
        <f aca="false">$G108*AX108</f>
        <v>320</v>
      </c>
      <c r="BB108" s="84" t="n">
        <f aca="false">MIN(AV108-AY108,BA108)</f>
        <v>0</v>
      </c>
      <c r="BC108" s="84" t="n">
        <f aca="false">BA108-BB108</f>
        <v>320</v>
      </c>
      <c r="BD108" s="84" t="n">
        <f aca="false">IF($H108=1,MIN(AV108-AY108-BB108,MAX(0,$F108/(1-$F108)*BB108)),0)</f>
        <v>0</v>
      </c>
      <c r="BE108" s="84" t="n">
        <f aca="false">AV108-AY108-BB108-BD108</f>
        <v>0</v>
      </c>
      <c r="BF108" s="84" t="n">
        <f aca="false">AY108+BB108+(1-$F108)*BE108</f>
        <v>0</v>
      </c>
      <c r="BG108" s="84" t="n">
        <f aca="false">BD108+$F108*BE108</f>
        <v>0</v>
      </c>
      <c r="BH108" s="84" t="n">
        <f aca="false">BB108+(1-$F108)*BE108</f>
        <v>0</v>
      </c>
      <c r="BI108" s="84" t="n">
        <f aca="false">BG108</f>
        <v>0</v>
      </c>
      <c r="BJ108" s="133" t="n">
        <f aca="false">AW108+$D108*Inputs!$D$13-$D108*$E108</f>
        <v>8392.5</v>
      </c>
      <c r="BK108" s="84" t="n">
        <f aca="false">BJ108*(1+$I108)</f>
        <v>10490.625</v>
      </c>
      <c r="BL108" s="133" t="n">
        <f aca="false">BK108*Inputs!$D$14</f>
        <v>0</v>
      </c>
      <c r="BM108" s="84" t="n">
        <f aca="false">BK108-BL108</f>
        <v>10490.625</v>
      </c>
      <c r="BN108" s="133" t="n">
        <f aca="false">AZ108+$D108*Inputs!$D$13</f>
        <v>8000</v>
      </c>
      <c r="BO108" s="84" t="n">
        <f aca="false">MIN(BL108,BN108)</f>
        <v>0</v>
      </c>
      <c r="BP108" s="84" t="n">
        <f aca="false">BN108-BO108</f>
        <v>8000</v>
      </c>
      <c r="BQ108" s="84" t="n">
        <f aca="false">BC108+$G108*(BN108+BC108)</f>
        <v>985.6</v>
      </c>
      <c r="BR108" s="84" t="n">
        <f aca="false">MIN(BL108-BO108,BQ108)</f>
        <v>0</v>
      </c>
      <c r="BS108" s="84" t="n">
        <f aca="false">BQ108-BR108</f>
        <v>985.6</v>
      </c>
      <c r="BT108" s="84" t="n">
        <f aca="false">IF($H108=1,MIN(BL108-BO108-BR108,MAX(0,$F108/(1-$F108)*(BH108+BR108)-BI108)),0)</f>
        <v>0</v>
      </c>
      <c r="BU108" s="84" t="n">
        <f aca="false">BL108-BO108-BR108-BT108</f>
        <v>0</v>
      </c>
      <c r="BV108" s="84" t="n">
        <f aca="false">BO108+BR108+(1-$F108)*BU108</f>
        <v>0</v>
      </c>
      <c r="BW108" s="84" t="n">
        <f aca="false">BT108+$F108*BU108</f>
        <v>0</v>
      </c>
      <c r="BX108" s="84" t="n">
        <f aca="false">BH108+BR108+(1-$F108)*BU108</f>
        <v>0</v>
      </c>
      <c r="BY108" s="84" t="n">
        <f aca="false">BI108+BW108</f>
        <v>0</v>
      </c>
      <c r="BZ108" s="133" t="n">
        <f aca="false">BM108+$D108*Inputs!$E$13-$D108*$E108</f>
        <v>14220.625</v>
      </c>
      <c r="CA108" s="84" t="n">
        <f aca="false">BZ108*(1+$I108)</f>
        <v>17775.78125</v>
      </c>
      <c r="CB108" s="133" t="n">
        <f aca="false">CA108*Inputs!$E$14</f>
        <v>0</v>
      </c>
      <c r="CC108" s="84" t="n">
        <f aca="false">CA108-CB108</f>
        <v>17775.78125</v>
      </c>
      <c r="CD108" s="133" t="n">
        <f aca="false">BP108+$D108*Inputs!$E$13</f>
        <v>12000</v>
      </c>
      <c r="CE108" s="84" t="n">
        <f aca="false">MIN(CB108,CD108)</f>
        <v>0</v>
      </c>
      <c r="CF108" s="84" t="n">
        <f aca="false">CD108-CE108</f>
        <v>12000</v>
      </c>
      <c r="CG108" s="84" t="n">
        <f aca="false">BS108+$G108*(CD108+BS108)</f>
        <v>2024.448</v>
      </c>
      <c r="CH108" s="84" t="n">
        <f aca="false">MIN(CB108-CE108,CG108)</f>
        <v>0</v>
      </c>
      <c r="CI108" s="84" t="n">
        <f aca="false">CG108-CH108</f>
        <v>2024.448</v>
      </c>
      <c r="CJ108" s="84" t="n">
        <f aca="false">IF($H108=1,MIN(CB108-CE108-CH108,MAX(0,$F108/(1-$F108)*(BX108+CH108)-BY108)),0)</f>
        <v>0</v>
      </c>
      <c r="CK108" s="84" t="n">
        <f aca="false">CB108-CE108-CH108-CJ108</f>
        <v>0</v>
      </c>
      <c r="CL108" s="84" t="n">
        <f aca="false">CE108+CH108+(1-$F108)*CK108</f>
        <v>0</v>
      </c>
      <c r="CM108" s="84" t="n">
        <f aca="false">CJ108+$F108*CK108</f>
        <v>0</v>
      </c>
      <c r="CN108" s="84" t="n">
        <f aca="false">BX108+CH108+(1-$F108)*CK108</f>
        <v>0</v>
      </c>
      <c r="CO108" s="84" t="n">
        <f aca="false">BY108+CM108</f>
        <v>0</v>
      </c>
      <c r="CP108" s="133" t="n">
        <f aca="false">CC108+$D108*Inputs!$F$13-$D108*$E108</f>
        <v>21505.78125</v>
      </c>
      <c r="CQ108" s="84" t="n">
        <f aca="false">CP108*(1+$I108)</f>
        <v>26882.2265625</v>
      </c>
      <c r="CR108" s="133" t="n">
        <f aca="false">CQ108*Inputs!$F$14</f>
        <v>0</v>
      </c>
      <c r="CS108" s="84" t="n">
        <f aca="false">CQ108-CR108</f>
        <v>26882.2265625</v>
      </c>
      <c r="CT108" s="133" t="n">
        <f aca="false">CF108+$D108*Inputs!$F$13</f>
        <v>16000</v>
      </c>
      <c r="CU108" s="84" t="n">
        <f aca="false">MIN(CR108,CT108)</f>
        <v>0</v>
      </c>
      <c r="CV108" s="84" t="n">
        <f aca="false">CT108-CU108</f>
        <v>16000</v>
      </c>
      <c r="CW108" s="84" t="n">
        <f aca="false">CI108+$G108*(CT108+CI108)</f>
        <v>3466.40384</v>
      </c>
      <c r="CX108" s="84" t="n">
        <f aca="false">MIN(CR108-CU108,CW108)</f>
        <v>0</v>
      </c>
      <c r="CY108" s="84" t="n">
        <f aca="false">CW108-CX108</f>
        <v>3466.40384</v>
      </c>
      <c r="CZ108" s="84" t="n">
        <f aca="false">IF($H108=1,MIN(CR108-CU108-CX108,MAX(0,$F108/(1-$F108)*(CN108+CX108)-CO108)),0)</f>
        <v>0</v>
      </c>
      <c r="DA108" s="84" t="n">
        <f aca="false">CR108-CU108-CX108-CZ108</f>
        <v>0</v>
      </c>
      <c r="DB108" s="84" t="n">
        <f aca="false">CU108+CX108+(1-$F108)*DA108</f>
        <v>0</v>
      </c>
      <c r="DC108" s="84" t="n">
        <f aca="false">CZ108+$F108*DA108</f>
        <v>0</v>
      </c>
      <c r="DD108" s="84" t="n">
        <f aca="false">CN108+CX108+(1-$F108)*DA108</f>
        <v>0</v>
      </c>
      <c r="DE108" s="84" t="n">
        <f aca="false">CO108+DC108</f>
        <v>0</v>
      </c>
      <c r="DF108" s="133" t="n">
        <f aca="false">CS108+$D108*Inputs!$G$13-$D108*$E108</f>
        <v>30612.2265625</v>
      </c>
      <c r="DG108" s="84" t="n">
        <f aca="false">DF108*(1+$I108)</f>
        <v>38265.283203125</v>
      </c>
      <c r="DH108" s="133" t="n">
        <f aca="false">DG108*Inputs!$G$14</f>
        <v>7653.056640625</v>
      </c>
      <c r="DI108" s="84" t="n">
        <f aca="false">DG108-DH108</f>
        <v>30612.2265625</v>
      </c>
      <c r="DJ108" s="133" t="n">
        <f aca="false">CV108+$D108*Inputs!$G$13</f>
        <v>20000</v>
      </c>
      <c r="DK108" s="84" t="n">
        <f aca="false">MIN(DH108,DJ108)</f>
        <v>7653.056640625</v>
      </c>
      <c r="DL108" s="84" t="n">
        <f aca="false">DJ108-DK108</f>
        <v>12346.943359375</v>
      </c>
      <c r="DM108" s="84" t="n">
        <f aca="false">CY108+$G108*(DJ108+CY108)</f>
        <v>5343.7161472</v>
      </c>
      <c r="DN108" s="84" t="n">
        <f aca="false">MIN(DH108-DK108,DM108)</f>
        <v>0</v>
      </c>
      <c r="DO108" s="84" t="n">
        <f aca="false">DM108-DN108</f>
        <v>5343.7161472</v>
      </c>
      <c r="DP108" s="84" t="n">
        <f aca="false">IF($H108=1,MIN(DH108-DK108-DN108,MAX(0,$F108/(1-$F108)*(DD108+DN108)-DE108)),0)</f>
        <v>0</v>
      </c>
      <c r="DQ108" s="84" t="n">
        <f aca="false">DH108-DK108-DN108-DP108</f>
        <v>0</v>
      </c>
      <c r="DR108" s="84" t="n">
        <f aca="false">DK108+DN108+(1-$F108)*DQ108</f>
        <v>7653.056640625</v>
      </c>
      <c r="DS108" s="84" t="n">
        <f aca="false">DP108+$F108*DQ108</f>
        <v>0</v>
      </c>
      <c r="DT108" s="84" t="n">
        <f aca="false">DD108+DN108+(1-$F108)*DQ108</f>
        <v>0</v>
      </c>
      <c r="DU108" s="84" t="n">
        <f aca="false">DE108+DS108</f>
        <v>0</v>
      </c>
      <c r="DV108" s="133" t="n">
        <f aca="false">DI108+$D108*Inputs!$H$13-$D108*$E108</f>
        <v>30342.2265625</v>
      </c>
      <c r="DW108" s="84" t="n">
        <f aca="false">DV108*(1+$I108)</f>
        <v>37927.783203125</v>
      </c>
      <c r="DX108" s="133" t="n">
        <f aca="false">DW108*Inputs!$H$14</f>
        <v>7585.556640625</v>
      </c>
      <c r="DY108" s="84" t="n">
        <f aca="false">DW108-DX108</f>
        <v>30342.2265625</v>
      </c>
      <c r="DZ108" s="133" t="n">
        <f aca="false">DL108+$D108*Inputs!$H$13</f>
        <v>12346.943359375</v>
      </c>
      <c r="EA108" s="84" t="n">
        <f aca="false">MIN(DX108,DZ108)</f>
        <v>7585.556640625</v>
      </c>
      <c r="EB108" s="84" t="n">
        <f aca="false">DZ108-EA108</f>
        <v>4761.38671875</v>
      </c>
      <c r="EC108" s="84" t="n">
        <f aca="false">DO108+$G108*(DZ108+DO108)</f>
        <v>6758.968907726</v>
      </c>
      <c r="ED108" s="84" t="n">
        <f aca="false">MIN(DX108-EA108,EC108)</f>
        <v>0</v>
      </c>
      <c r="EE108" s="84" t="n">
        <f aca="false">EC108-ED108</f>
        <v>6758.968907726</v>
      </c>
      <c r="EF108" s="84" t="n">
        <f aca="false">IF($H108=1,MIN(DX108-EA108-ED108,MAX(0,$F108/(1-$F108)*(DT108+ED108)-DU108)),0)</f>
        <v>0</v>
      </c>
      <c r="EG108" s="84" t="n">
        <f aca="false">DX108-EA108-ED108-EF108</f>
        <v>0</v>
      </c>
      <c r="EH108" s="84" t="n">
        <f aca="false">EA108+ED108+(1-$F108)*EG108</f>
        <v>7585.556640625</v>
      </c>
      <c r="EI108" s="84" t="n">
        <f aca="false">EF108+$F108*EG108</f>
        <v>0</v>
      </c>
      <c r="EJ108" s="84" t="n">
        <f aca="false">DT108+ED108+(1-$F108)*EG108</f>
        <v>0</v>
      </c>
      <c r="EK108" s="84" t="n">
        <f aca="false">DU108+EI108</f>
        <v>0</v>
      </c>
      <c r="EL108" s="133" t="n">
        <f aca="false">DY108+$D108*Inputs!$I$13-$D108*$E108</f>
        <v>30072.2265625</v>
      </c>
      <c r="EM108" s="84" t="n">
        <f aca="false">EL108*(1+$I108)</f>
        <v>37590.283203125</v>
      </c>
      <c r="EN108" s="133" t="n">
        <f aca="false">EM108*Inputs!$I$14</f>
        <v>7518.056640625</v>
      </c>
      <c r="EO108" s="84" t="n">
        <f aca="false">EM108-EN108</f>
        <v>30072.2265625</v>
      </c>
      <c r="EP108" s="133" t="n">
        <f aca="false">EB108+$D108*Inputs!$I$13</f>
        <v>4761.38671875</v>
      </c>
      <c r="EQ108" s="84" t="n">
        <f aca="false">MIN(EN108,EP108)</f>
        <v>4761.38671875</v>
      </c>
      <c r="ER108" s="84" t="n">
        <f aca="false">EP108-EQ108</f>
        <v>0</v>
      </c>
      <c r="ES108" s="84" t="n">
        <f aca="false">EE108+$G108*(EP108+EE108)</f>
        <v>7680.59735784408</v>
      </c>
      <c r="ET108" s="84" t="n">
        <f aca="false">MIN(EN108-EQ108,ES108)</f>
        <v>2756.669921875</v>
      </c>
      <c r="EU108" s="84" t="n">
        <f aca="false">ES108-ET108</f>
        <v>4923.92743596908</v>
      </c>
      <c r="EV108" s="84" t="n">
        <f aca="false">IF($H108=1,MIN(EN108-EQ108-ET108,MAX(0,$F108/(1-$F108)*(EJ108+ET108)-EK108)),0)</f>
        <v>0</v>
      </c>
      <c r="EW108" s="84" t="n">
        <f aca="false">EN108-EQ108-ET108-EV108</f>
        <v>0</v>
      </c>
      <c r="EX108" s="84" t="n">
        <f aca="false">EQ108+ET108+(1-$F108)*EW108</f>
        <v>7518.056640625</v>
      </c>
      <c r="EY108" s="84" t="n">
        <f aca="false">EV108+$F108*EW108</f>
        <v>0</v>
      </c>
      <c r="EZ108" s="84" t="n">
        <f aca="false">EJ108+ET108+(1-$F108)*EW108</f>
        <v>2756.669921875</v>
      </c>
      <c r="FA108" s="84" t="n">
        <f aca="false">EK108+EY108</f>
        <v>0</v>
      </c>
      <c r="FB108" s="133" t="n">
        <f aca="false">EO108+$D108*Inputs!$J$13-$D108*$E108</f>
        <v>29802.2265625</v>
      </c>
      <c r="FC108" s="84" t="n">
        <f aca="false">FB108*(1+$I108)</f>
        <v>37252.783203125</v>
      </c>
      <c r="FD108" s="133" t="n">
        <f aca="false">FC108*Inputs!$J$14</f>
        <v>7450.556640625</v>
      </c>
      <c r="FE108" s="84" t="n">
        <f aca="false">FC108-FD108</f>
        <v>29802.2265625</v>
      </c>
      <c r="FF108" s="133" t="n">
        <f aca="false">ER108+$D108*Inputs!$J$13</f>
        <v>0</v>
      </c>
      <c r="FG108" s="84" t="n">
        <f aca="false">MIN(FD108,FF108)</f>
        <v>0</v>
      </c>
      <c r="FH108" s="84" t="n">
        <f aca="false">FF108-FG108</f>
        <v>0</v>
      </c>
      <c r="FI108" s="84" t="n">
        <f aca="false">EU108+$G108*(FF108+EU108)</f>
        <v>5317.84163084661</v>
      </c>
      <c r="FJ108" s="84" t="n">
        <f aca="false">MIN(FD108-FG108,FI108)</f>
        <v>5317.84163084661</v>
      </c>
      <c r="FK108" s="84" t="n">
        <f aca="false">FI108-FJ108</f>
        <v>0</v>
      </c>
      <c r="FL108" s="84" t="n">
        <f aca="false">IF($H108=1,MIN(FD108-FG108-FJ108,MAX(0,$F108/(1-$F108)*(EZ108+FJ108)-FA108)),0)</f>
        <v>0</v>
      </c>
      <c r="FM108" s="84" t="n">
        <f aca="false">FD108-FG108-FJ108-FL108</f>
        <v>2132.71500977839</v>
      </c>
      <c r="FN108" s="84" t="n">
        <f aca="false">FG108+FJ108+(1-$F108)*FM108</f>
        <v>7024.01363866932</v>
      </c>
      <c r="FO108" s="84" t="n">
        <f aca="false">FL108+$F108*FM108</f>
        <v>426.543001955679</v>
      </c>
      <c r="FP108" s="84" t="n">
        <f aca="false">EZ108+FJ108+(1-$F108)*FM108</f>
        <v>9780.68356054432</v>
      </c>
      <c r="FQ108" s="84" t="n">
        <f aca="false">FA108+FO108</f>
        <v>426.543001955679</v>
      </c>
      <c r="FR108" s="133" t="n">
        <f aca="false">FE108+$D108*Inputs!$K$13-$D108*$E108</f>
        <v>29532.2265625</v>
      </c>
      <c r="FS108" s="84" t="n">
        <f aca="false">FR108*(1+$I108)</f>
        <v>36915.283203125</v>
      </c>
      <c r="FT108" s="133" t="n">
        <f aca="false">FS108*Inputs!$K$14</f>
        <v>7383.056640625</v>
      </c>
      <c r="FU108" s="84" t="n">
        <f aca="false">FS108-FT108</f>
        <v>29532.2265625</v>
      </c>
      <c r="FV108" s="133" t="n">
        <f aca="false">FH108+$D108*Inputs!$K$13</f>
        <v>0</v>
      </c>
      <c r="FW108" s="84" t="n">
        <f aca="false">MIN(FT108,FV108)</f>
        <v>0</v>
      </c>
      <c r="FX108" s="84" t="n">
        <f aca="false">FV108-FW108</f>
        <v>0</v>
      </c>
      <c r="FY108" s="84" t="n">
        <f aca="false">FK108+$G108*(FV108+FK108)</f>
        <v>0</v>
      </c>
      <c r="FZ108" s="84" t="n">
        <f aca="false">MIN(FT108-FW108,FY108)</f>
        <v>0</v>
      </c>
      <c r="GA108" s="84" t="n">
        <f aca="false">FY108-FZ108</f>
        <v>0</v>
      </c>
      <c r="GB108" s="84" t="n">
        <f aca="false">IF($H108=1,MIN(FT108-FW108-FZ108,MAX(0,$F108/(1-$F108)*(FP108+FZ108)-FQ108)),0)</f>
        <v>0</v>
      </c>
      <c r="GC108" s="84" t="n">
        <f aca="false">FT108-FW108-FZ108-GB108</f>
        <v>7383.056640625</v>
      </c>
      <c r="GD108" s="84" t="n">
        <f aca="false">FW108+FZ108+(1-$F108)*GC108</f>
        <v>5906.4453125</v>
      </c>
      <c r="GE108" s="84" t="n">
        <f aca="false">GB108+$F108*GC108</f>
        <v>1476.611328125</v>
      </c>
      <c r="GF108" s="84" t="n">
        <f aca="false">FP108+FZ108+(1-$F108)*GC108</f>
        <v>15687.1288730443</v>
      </c>
      <c r="GG108" s="84" t="n">
        <f aca="false">FQ108+GE108</f>
        <v>1903.15433008068</v>
      </c>
      <c r="GH108" s="133" t="n">
        <f aca="false">FU108+$D108*Inputs!$L$13-$D108*$E108</f>
        <v>29262.2265625</v>
      </c>
      <c r="GI108" s="84" t="n">
        <f aca="false">GH108*(1+$I108)</f>
        <v>36577.783203125</v>
      </c>
      <c r="GJ108" s="133" t="n">
        <f aca="false">GI108*Inputs!$L$14</f>
        <v>36577.783203125</v>
      </c>
      <c r="GK108" s="84" t="n">
        <f aca="false">GI108-GJ108</f>
        <v>0</v>
      </c>
      <c r="GL108" s="133" t="n">
        <f aca="false">FX108+$D108*Inputs!$L$13</f>
        <v>0</v>
      </c>
      <c r="GM108" s="84" t="n">
        <f aca="false">MIN(GJ108,GL108)</f>
        <v>0</v>
      </c>
      <c r="GN108" s="84" t="n">
        <f aca="false">GL108-GM108</f>
        <v>0</v>
      </c>
      <c r="GO108" s="84" t="n">
        <f aca="false">GA108+$G108*(GL108+GA108)</f>
        <v>0</v>
      </c>
      <c r="GP108" s="84" t="n">
        <f aca="false">MIN(GJ108-GM108,GO108)</f>
        <v>0</v>
      </c>
      <c r="GQ108" s="84" t="n">
        <f aca="false">GO108-GP108</f>
        <v>0</v>
      </c>
      <c r="GR108" s="84" t="n">
        <f aca="false">IF($H108=1,MIN(GJ108-GM108-GP108,MAX(0,$F108/(1-$F108)*(GF108+GP108)-GG108)),0)</f>
        <v>0</v>
      </c>
      <c r="GS108" s="84" t="n">
        <f aca="false">GJ108-GM108-GP108-GR108</f>
        <v>36577.783203125</v>
      </c>
      <c r="GT108" s="84" t="n">
        <f aca="false">GM108+GP108+(1-$F108)*GS108</f>
        <v>29262.2265625</v>
      </c>
      <c r="GU108" s="84" t="n">
        <f aca="false">GR108+$F108*GS108</f>
        <v>7315.556640625</v>
      </c>
      <c r="GV108" s="84" t="n">
        <f aca="false">GF108+GP108+(1-$F108)*GS108</f>
        <v>44949.3554355443</v>
      </c>
      <c r="GW108" s="84" t="n">
        <f aca="false">GG108+GU108</f>
        <v>9218.71097070568</v>
      </c>
    </row>
    <row r="109" customFormat="false" ht="15" hidden="false" customHeight="false" outlineLevel="0" collapsed="false">
      <c r="A109" s="5" t="s">
        <v>639</v>
      </c>
      <c r="B109" s="5" t="s">
        <v>427</v>
      </c>
      <c r="C109" s="135" t="n">
        <v>26</v>
      </c>
      <c r="D109" s="47" t="n">
        <f aca="false">Inputs!$C$6</f>
        <v>20000</v>
      </c>
      <c r="E109" s="35" t="n">
        <f aca="false">Inputs!$C$19</f>
        <v>0.0135</v>
      </c>
      <c r="F109" s="36" t="n">
        <f aca="false">Inputs!$C$20</f>
        <v>0.2</v>
      </c>
      <c r="G109" s="36" t="n">
        <f aca="false">Inputs!$C$22</f>
        <v>0.08</v>
      </c>
      <c r="H109" s="27" t="n">
        <v>0</v>
      </c>
      <c r="I109" s="132" t="n">
        <f aca="false">Inputs!$C$38+$C109*Inputs!$C$39</f>
        <v>0.26</v>
      </c>
      <c r="J109" s="36" t="n">
        <f aca="false">Inputs!$C$9</f>
        <v>0.15</v>
      </c>
      <c r="K109" s="89" t="n">
        <f aca="false">IRR(W109:AG109,0.1)</f>
        <v>0.221045358325208</v>
      </c>
      <c r="L109" s="45" t="n">
        <f aca="false">W109+NPV($J109,X109:AG109)</f>
        <v>6716.8690109056</v>
      </c>
      <c r="M109" s="45" t="n">
        <f aca="false">SUM(BF109,BV109,CL109,DB109,DR109,EH109,EX109,FN109,GD109,GT109)</f>
        <v>68372.2274790561</v>
      </c>
      <c r="N109" s="43" t="n">
        <f aca="false">IF($D109*SUM(Inputs!$C$13:$L$13)=0,0,M109/($D109*SUM(Inputs!$C$13:$L$13)))</f>
        <v>3.41861137395281</v>
      </c>
      <c r="O109" s="42" t="n">
        <f aca="false">$D109*$E109*COLUMNS(Inputs!$C$13:$L$13)</f>
        <v>2700</v>
      </c>
      <c r="P109" s="45" t="n">
        <f aca="false">SUM(BG109,BW109,CM109,DC109,DS109,EI109,EY109,FO109,GE109,GU109)</f>
        <v>10106.4633439259</v>
      </c>
      <c r="Q109" s="42" t="n">
        <f aca="false">PV($J109,COLUMNS(Inputs!$C$13:$L$13),-$D109*$E109,0,1)</f>
        <v>1558.32765832774</v>
      </c>
      <c r="R109" s="45" t="n">
        <f aca="false">NPV($J109,BG109,BW109,CM109,DC109,DS109,EI109,EY109,FO109,GE109,GU109)</f>
        <v>2611.93227114564</v>
      </c>
      <c r="S109" s="45" t="n">
        <f aca="false">Q109+R109</f>
        <v>4170.25992947337</v>
      </c>
      <c r="T109" s="32" t="n">
        <f aca="false">IF(S109=0,0,Q109/S109)</f>
        <v>0.373676385808528</v>
      </c>
      <c r="U109" s="45" t="n">
        <f aca="false">ROUND(ABS(GK109)+ABS(SUM(AV109,BL109,CB109,CR109,DH109,DX109,EN109,FD109,FT109,GJ109)-M109-P109)+ABS(S109-(AH109+NPV($J109,AI109:AR109))),6)</f>
        <v>0</v>
      </c>
      <c r="W109" s="133" t="n">
        <f aca="false">-$D109*Inputs!$C$13</f>
        <v>-4000</v>
      </c>
      <c r="X109" s="133" t="n">
        <f aca="false">BF109-$D109*Inputs!$D$13</f>
        <v>-4000</v>
      </c>
      <c r="Y109" s="133" t="n">
        <f aca="false">BV109-$D109*Inputs!$E$13</f>
        <v>-4000</v>
      </c>
      <c r="Z109" s="133" t="n">
        <f aca="false">CL109-$D109*Inputs!$F$13</f>
        <v>-4000</v>
      </c>
      <c r="AA109" s="133" t="n">
        <f aca="false">DB109-$D109*Inputs!$G$13</f>
        <v>-4000</v>
      </c>
      <c r="AB109" s="133" t="n">
        <f aca="false">DR109-$D109*Inputs!$H$13</f>
        <v>7866.0080364096</v>
      </c>
      <c r="AC109" s="133" t="n">
        <f aca="false">EH109-$D109*Inputs!$I$13</f>
        <v>7860.89610070088</v>
      </c>
      <c r="AD109" s="133" t="n">
        <f aca="false">EX109-$D109*Inputs!$J$13</f>
        <v>7855.74326950648</v>
      </c>
      <c r="AE109" s="133" t="n">
        <f aca="false">FN109-$D109*Inputs!$K$13</f>
        <v>7153.18471187713</v>
      </c>
      <c r="AF109" s="133" t="n">
        <f aca="false">GD109-$D109*Inputs!$L$13</f>
        <v>6276.25088751027</v>
      </c>
      <c r="AG109" s="84" t="n">
        <f aca="false">GT109</f>
        <v>31360.1444730518</v>
      </c>
      <c r="AH109" s="84" t="n">
        <f aca="false">$D109*$E109</f>
        <v>270</v>
      </c>
      <c r="AI109" s="84" t="n">
        <f aca="false">BG109+$D109*$E109</f>
        <v>270</v>
      </c>
      <c r="AJ109" s="84" t="n">
        <f aca="false">BW109+$D109*$E109</f>
        <v>270</v>
      </c>
      <c r="AK109" s="84" t="n">
        <f aca="false">CM109+$D109*$E109</f>
        <v>270</v>
      </c>
      <c r="AL109" s="84" t="n">
        <f aca="false">DC109+$D109*$E109</f>
        <v>270</v>
      </c>
      <c r="AM109" s="84" t="n">
        <f aca="false">DS109+$D109*$E109</f>
        <v>270</v>
      </c>
      <c r="AN109" s="84" t="n">
        <f aca="false">EI109+$D109*$E109</f>
        <v>270</v>
      </c>
      <c r="AO109" s="84" t="n">
        <f aca="false">EY109+$D109*$E109</f>
        <v>270</v>
      </c>
      <c r="AP109" s="84" t="n">
        <f aca="false">FO109+$D109*$E109</f>
        <v>967.364503785409</v>
      </c>
      <c r="AQ109" s="84" t="n">
        <f aca="false">GE109+$D109*$E109</f>
        <v>1839.06272187757</v>
      </c>
      <c r="AR109" s="84" t="n">
        <f aca="false">GU109</f>
        <v>7840.03611826294</v>
      </c>
      <c r="AT109" s="133" t="n">
        <f aca="false">$D109*Inputs!$C$13-$D109*$E109</f>
        <v>3730</v>
      </c>
      <c r="AU109" s="84" t="n">
        <f aca="false">AT109*(1+$I109)</f>
        <v>4699.8</v>
      </c>
      <c r="AV109" s="133" t="n">
        <f aca="false">AU109*Inputs!$C$14</f>
        <v>0</v>
      </c>
      <c r="AW109" s="84" t="n">
        <f aca="false">AU109-AV109</f>
        <v>4699.8</v>
      </c>
      <c r="AX109" s="133" t="n">
        <f aca="false">$D109*Inputs!$C$13</f>
        <v>4000</v>
      </c>
      <c r="AY109" s="84" t="n">
        <f aca="false">MIN(AV109,AX109)</f>
        <v>0</v>
      </c>
      <c r="AZ109" s="84" t="n">
        <f aca="false">AX109-AY109</f>
        <v>4000</v>
      </c>
      <c r="BA109" s="84" t="n">
        <f aca="false">$G109*AX109</f>
        <v>320</v>
      </c>
      <c r="BB109" s="84" t="n">
        <f aca="false">MIN(AV109-AY109,BA109)</f>
        <v>0</v>
      </c>
      <c r="BC109" s="84" t="n">
        <f aca="false">BA109-BB109</f>
        <v>320</v>
      </c>
      <c r="BD109" s="84" t="n">
        <f aca="false">IF($H109=1,MIN(AV109-AY109-BB109,MAX(0,$F109/(1-$F109)*BB109)),0)</f>
        <v>0</v>
      </c>
      <c r="BE109" s="84" t="n">
        <f aca="false">AV109-AY109-BB109-BD109</f>
        <v>0</v>
      </c>
      <c r="BF109" s="84" t="n">
        <f aca="false">AY109+BB109+(1-$F109)*BE109</f>
        <v>0</v>
      </c>
      <c r="BG109" s="84" t="n">
        <f aca="false">BD109+$F109*BE109</f>
        <v>0</v>
      </c>
      <c r="BH109" s="84" t="n">
        <f aca="false">BB109+(1-$F109)*BE109</f>
        <v>0</v>
      </c>
      <c r="BI109" s="84" t="n">
        <f aca="false">BG109</f>
        <v>0</v>
      </c>
      <c r="BJ109" s="133" t="n">
        <f aca="false">AW109+$D109*Inputs!$D$13-$D109*$E109</f>
        <v>8429.8</v>
      </c>
      <c r="BK109" s="84" t="n">
        <f aca="false">BJ109*(1+$I109)</f>
        <v>10621.548</v>
      </c>
      <c r="BL109" s="133" t="n">
        <f aca="false">BK109*Inputs!$D$14</f>
        <v>0</v>
      </c>
      <c r="BM109" s="84" t="n">
        <f aca="false">BK109-BL109</f>
        <v>10621.548</v>
      </c>
      <c r="BN109" s="133" t="n">
        <f aca="false">AZ109+$D109*Inputs!$D$13</f>
        <v>8000</v>
      </c>
      <c r="BO109" s="84" t="n">
        <f aca="false">MIN(BL109,BN109)</f>
        <v>0</v>
      </c>
      <c r="BP109" s="84" t="n">
        <f aca="false">BN109-BO109</f>
        <v>8000</v>
      </c>
      <c r="BQ109" s="84" t="n">
        <f aca="false">BC109+$G109*(BN109+BC109)</f>
        <v>985.6</v>
      </c>
      <c r="BR109" s="84" t="n">
        <f aca="false">MIN(BL109-BO109,BQ109)</f>
        <v>0</v>
      </c>
      <c r="BS109" s="84" t="n">
        <f aca="false">BQ109-BR109</f>
        <v>985.6</v>
      </c>
      <c r="BT109" s="84" t="n">
        <f aca="false">IF($H109=1,MIN(BL109-BO109-BR109,MAX(0,$F109/(1-$F109)*(BH109+BR109)-BI109)),0)</f>
        <v>0</v>
      </c>
      <c r="BU109" s="84" t="n">
        <f aca="false">BL109-BO109-BR109-BT109</f>
        <v>0</v>
      </c>
      <c r="BV109" s="84" t="n">
        <f aca="false">BO109+BR109+(1-$F109)*BU109</f>
        <v>0</v>
      </c>
      <c r="BW109" s="84" t="n">
        <f aca="false">BT109+$F109*BU109</f>
        <v>0</v>
      </c>
      <c r="BX109" s="84" t="n">
        <f aca="false">BH109+BR109+(1-$F109)*BU109</f>
        <v>0</v>
      </c>
      <c r="BY109" s="84" t="n">
        <f aca="false">BI109+BW109</f>
        <v>0</v>
      </c>
      <c r="BZ109" s="133" t="n">
        <f aca="false">BM109+$D109*Inputs!$E$13-$D109*$E109</f>
        <v>14351.548</v>
      </c>
      <c r="CA109" s="84" t="n">
        <f aca="false">BZ109*(1+$I109)</f>
        <v>18082.95048</v>
      </c>
      <c r="CB109" s="133" t="n">
        <f aca="false">CA109*Inputs!$E$14</f>
        <v>0</v>
      </c>
      <c r="CC109" s="84" t="n">
        <f aca="false">CA109-CB109</f>
        <v>18082.95048</v>
      </c>
      <c r="CD109" s="133" t="n">
        <f aca="false">BP109+$D109*Inputs!$E$13</f>
        <v>12000</v>
      </c>
      <c r="CE109" s="84" t="n">
        <f aca="false">MIN(CB109,CD109)</f>
        <v>0</v>
      </c>
      <c r="CF109" s="84" t="n">
        <f aca="false">CD109-CE109</f>
        <v>12000</v>
      </c>
      <c r="CG109" s="84" t="n">
        <f aca="false">BS109+$G109*(CD109+BS109)</f>
        <v>2024.448</v>
      </c>
      <c r="CH109" s="84" t="n">
        <f aca="false">MIN(CB109-CE109,CG109)</f>
        <v>0</v>
      </c>
      <c r="CI109" s="84" t="n">
        <f aca="false">CG109-CH109</f>
        <v>2024.448</v>
      </c>
      <c r="CJ109" s="84" t="n">
        <f aca="false">IF($H109=1,MIN(CB109-CE109-CH109,MAX(0,$F109/(1-$F109)*(BX109+CH109)-BY109)),0)</f>
        <v>0</v>
      </c>
      <c r="CK109" s="84" t="n">
        <f aca="false">CB109-CE109-CH109-CJ109</f>
        <v>0</v>
      </c>
      <c r="CL109" s="84" t="n">
        <f aca="false">CE109+CH109+(1-$F109)*CK109</f>
        <v>0</v>
      </c>
      <c r="CM109" s="84" t="n">
        <f aca="false">CJ109+$F109*CK109</f>
        <v>0</v>
      </c>
      <c r="CN109" s="84" t="n">
        <f aca="false">BX109+CH109+(1-$F109)*CK109</f>
        <v>0</v>
      </c>
      <c r="CO109" s="84" t="n">
        <f aca="false">BY109+CM109</f>
        <v>0</v>
      </c>
      <c r="CP109" s="133" t="n">
        <f aca="false">CC109+$D109*Inputs!$F$13-$D109*$E109</f>
        <v>21812.95048</v>
      </c>
      <c r="CQ109" s="84" t="n">
        <f aca="false">CP109*(1+$I109)</f>
        <v>27484.3176048</v>
      </c>
      <c r="CR109" s="133" t="n">
        <f aca="false">CQ109*Inputs!$F$14</f>
        <v>0</v>
      </c>
      <c r="CS109" s="84" t="n">
        <f aca="false">CQ109-CR109</f>
        <v>27484.3176048</v>
      </c>
      <c r="CT109" s="133" t="n">
        <f aca="false">CF109+$D109*Inputs!$F$13</f>
        <v>16000</v>
      </c>
      <c r="CU109" s="84" t="n">
        <f aca="false">MIN(CR109,CT109)</f>
        <v>0</v>
      </c>
      <c r="CV109" s="84" t="n">
        <f aca="false">CT109-CU109</f>
        <v>16000</v>
      </c>
      <c r="CW109" s="84" t="n">
        <f aca="false">CI109+$G109*(CT109+CI109)</f>
        <v>3466.40384</v>
      </c>
      <c r="CX109" s="84" t="n">
        <f aca="false">MIN(CR109-CU109,CW109)</f>
        <v>0</v>
      </c>
      <c r="CY109" s="84" t="n">
        <f aca="false">CW109-CX109</f>
        <v>3466.40384</v>
      </c>
      <c r="CZ109" s="84" t="n">
        <f aca="false">IF($H109=1,MIN(CR109-CU109-CX109,MAX(0,$F109/(1-$F109)*(CN109+CX109)-CO109)),0)</f>
        <v>0</v>
      </c>
      <c r="DA109" s="84" t="n">
        <f aca="false">CR109-CU109-CX109-CZ109</f>
        <v>0</v>
      </c>
      <c r="DB109" s="84" t="n">
        <f aca="false">CU109+CX109+(1-$F109)*DA109</f>
        <v>0</v>
      </c>
      <c r="DC109" s="84" t="n">
        <f aca="false">CZ109+$F109*DA109</f>
        <v>0</v>
      </c>
      <c r="DD109" s="84" t="n">
        <f aca="false">CN109+CX109+(1-$F109)*DA109</f>
        <v>0</v>
      </c>
      <c r="DE109" s="84" t="n">
        <f aca="false">CO109+DC109</f>
        <v>0</v>
      </c>
      <c r="DF109" s="133" t="n">
        <f aca="false">CS109+$D109*Inputs!$G$13-$D109*$E109</f>
        <v>31214.3176048</v>
      </c>
      <c r="DG109" s="84" t="n">
        <f aca="false">DF109*(1+$I109)</f>
        <v>39330.040182048</v>
      </c>
      <c r="DH109" s="133" t="n">
        <f aca="false">DG109*Inputs!$G$14</f>
        <v>7866.0080364096</v>
      </c>
      <c r="DI109" s="84" t="n">
        <f aca="false">DG109-DH109</f>
        <v>31464.0321456384</v>
      </c>
      <c r="DJ109" s="133" t="n">
        <f aca="false">CV109+$D109*Inputs!$G$13</f>
        <v>20000</v>
      </c>
      <c r="DK109" s="84" t="n">
        <f aca="false">MIN(DH109,DJ109)</f>
        <v>7866.0080364096</v>
      </c>
      <c r="DL109" s="84" t="n">
        <f aca="false">DJ109-DK109</f>
        <v>12133.9919635904</v>
      </c>
      <c r="DM109" s="84" t="n">
        <f aca="false">CY109+$G109*(DJ109+CY109)</f>
        <v>5343.7161472</v>
      </c>
      <c r="DN109" s="84" t="n">
        <f aca="false">MIN(DH109-DK109,DM109)</f>
        <v>0</v>
      </c>
      <c r="DO109" s="84" t="n">
        <f aca="false">DM109-DN109</f>
        <v>5343.7161472</v>
      </c>
      <c r="DP109" s="84" t="n">
        <f aca="false">IF($H109=1,MIN(DH109-DK109-DN109,MAX(0,$F109/(1-$F109)*(DD109+DN109)-DE109)),0)</f>
        <v>0</v>
      </c>
      <c r="DQ109" s="84" t="n">
        <f aca="false">DH109-DK109-DN109-DP109</f>
        <v>0</v>
      </c>
      <c r="DR109" s="84" t="n">
        <f aca="false">DK109+DN109+(1-$F109)*DQ109</f>
        <v>7866.0080364096</v>
      </c>
      <c r="DS109" s="84" t="n">
        <f aca="false">DP109+$F109*DQ109</f>
        <v>0</v>
      </c>
      <c r="DT109" s="84" t="n">
        <f aca="false">DD109+DN109+(1-$F109)*DQ109</f>
        <v>0</v>
      </c>
      <c r="DU109" s="84" t="n">
        <f aca="false">DE109+DS109</f>
        <v>0</v>
      </c>
      <c r="DV109" s="133" t="n">
        <f aca="false">DI109+$D109*Inputs!$H$13-$D109*$E109</f>
        <v>31194.0321456384</v>
      </c>
      <c r="DW109" s="84" t="n">
        <f aca="false">DV109*(1+$I109)</f>
        <v>39304.4805035044</v>
      </c>
      <c r="DX109" s="133" t="n">
        <f aca="false">DW109*Inputs!$H$14</f>
        <v>7860.89610070088</v>
      </c>
      <c r="DY109" s="84" t="n">
        <f aca="false">DW109-DX109</f>
        <v>31443.5844028035</v>
      </c>
      <c r="DZ109" s="133" t="n">
        <f aca="false">DL109+$D109*Inputs!$H$13</f>
        <v>12133.9919635904</v>
      </c>
      <c r="EA109" s="84" t="n">
        <f aca="false">MIN(DX109,DZ109)</f>
        <v>7860.89610070088</v>
      </c>
      <c r="EB109" s="84" t="n">
        <f aca="false">DZ109-EA109</f>
        <v>4273.09586288952</v>
      </c>
      <c r="EC109" s="84" t="n">
        <f aca="false">DO109+$G109*(DZ109+DO109)</f>
        <v>6741.93279606323</v>
      </c>
      <c r="ED109" s="84" t="n">
        <f aca="false">MIN(DX109-EA109,EC109)</f>
        <v>0</v>
      </c>
      <c r="EE109" s="84" t="n">
        <f aca="false">EC109-ED109</f>
        <v>6741.93279606323</v>
      </c>
      <c r="EF109" s="84" t="n">
        <f aca="false">IF($H109=1,MIN(DX109-EA109-ED109,MAX(0,$F109/(1-$F109)*(DT109+ED109)-DU109)),0)</f>
        <v>0</v>
      </c>
      <c r="EG109" s="84" t="n">
        <f aca="false">DX109-EA109-ED109-EF109</f>
        <v>0</v>
      </c>
      <c r="EH109" s="84" t="n">
        <f aca="false">EA109+ED109+(1-$F109)*EG109</f>
        <v>7860.89610070088</v>
      </c>
      <c r="EI109" s="84" t="n">
        <f aca="false">EF109+$F109*EG109</f>
        <v>0</v>
      </c>
      <c r="EJ109" s="84" t="n">
        <f aca="false">DT109+ED109+(1-$F109)*EG109</f>
        <v>0</v>
      </c>
      <c r="EK109" s="84" t="n">
        <f aca="false">DU109+EI109</f>
        <v>0</v>
      </c>
      <c r="EL109" s="133" t="n">
        <f aca="false">DY109+$D109*Inputs!$I$13-$D109*$E109</f>
        <v>31173.5844028035</v>
      </c>
      <c r="EM109" s="84" t="n">
        <f aca="false">EL109*(1+$I109)</f>
        <v>39278.7163475324</v>
      </c>
      <c r="EN109" s="133" t="n">
        <f aca="false">EM109*Inputs!$I$14</f>
        <v>7855.74326950648</v>
      </c>
      <c r="EO109" s="84" t="n">
        <f aca="false">EM109-EN109</f>
        <v>31422.9730780259</v>
      </c>
      <c r="EP109" s="133" t="n">
        <f aca="false">EB109+$D109*Inputs!$I$13</f>
        <v>4273.09586288952</v>
      </c>
      <c r="EQ109" s="84" t="n">
        <f aca="false">MIN(EN109,EP109)</f>
        <v>4273.09586288952</v>
      </c>
      <c r="ER109" s="84" t="n">
        <f aca="false">EP109-EQ109</f>
        <v>0</v>
      </c>
      <c r="ES109" s="84" t="n">
        <f aca="false">EE109+$G109*(EP109+EE109)</f>
        <v>7623.13508877945</v>
      </c>
      <c r="ET109" s="84" t="n">
        <f aca="false">MIN(EN109-EQ109,ES109)</f>
        <v>3582.64740661696</v>
      </c>
      <c r="EU109" s="84" t="n">
        <f aca="false">ES109-ET109</f>
        <v>4040.48768216249</v>
      </c>
      <c r="EV109" s="84" t="n">
        <f aca="false">IF($H109=1,MIN(EN109-EQ109-ET109,MAX(0,$F109/(1-$F109)*(EJ109+ET109)-EK109)),0)</f>
        <v>0</v>
      </c>
      <c r="EW109" s="84" t="n">
        <f aca="false">EN109-EQ109-ET109-EV109</f>
        <v>0</v>
      </c>
      <c r="EX109" s="84" t="n">
        <f aca="false">EQ109+ET109+(1-$F109)*EW109</f>
        <v>7855.74326950648</v>
      </c>
      <c r="EY109" s="84" t="n">
        <f aca="false">EV109+$F109*EW109</f>
        <v>0</v>
      </c>
      <c r="EZ109" s="84" t="n">
        <f aca="false">EJ109+ET109+(1-$F109)*EW109</f>
        <v>3582.64740661696</v>
      </c>
      <c r="FA109" s="84" t="n">
        <f aca="false">EK109+EY109</f>
        <v>0</v>
      </c>
      <c r="FB109" s="133" t="n">
        <f aca="false">EO109+$D109*Inputs!$J$13-$D109*$E109</f>
        <v>31152.9730780259</v>
      </c>
      <c r="FC109" s="84" t="n">
        <f aca="false">FB109*(1+$I109)</f>
        <v>39252.7460783127</v>
      </c>
      <c r="FD109" s="133" t="n">
        <f aca="false">FC109*Inputs!$J$14</f>
        <v>7850.54921566254</v>
      </c>
      <c r="FE109" s="84" t="n">
        <f aca="false">FC109-FD109</f>
        <v>31402.1968626501</v>
      </c>
      <c r="FF109" s="133" t="n">
        <f aca="false">ER109+$D109*Inputs!$J$13</f>
        <v>0</v>
      </c>
      <c r="FG109" s="84" t="n">
        <f aca="false">MIN(FD109,FF109)</f>
        <v>0</v>
      </c>
      <c r="FH109" s="84" t="n">
        <f aca="false">FF109-FG109</f>
        <v>0</v>
      </c>
      <c r="FI109" s="84" t="n">
        <f aca="false">EU109+$G109*(FF109+EU109)</f>
        <v>4363.72669673549</v>
      </c>
      <c r="FJ109" s="84" t="n">
        <f aca="false">MIN(FD109-FG109,FI109)</f>
        <v>4363.72669673549</v>
      </c>
      <c r="FK109" s="84" t="n">
        <f aca="false">FI109-FJ109</f>
        <v>0</v>
      </c>
      <c r="FL109" s="84" t="n">
        <f aca="false">IF($H109=1,MIN(FD109-FG109-FJ109,MAX(0,$F109/(1-$F109)*(EZ109+FJ109)-FA109)),0)</f>
        <v>0</v>
      </c>
      <c r="FM109" s="84" t="n">
        <f aca="false">FD109-FG109-FJ109-FL109</f>
        <v>3486.82251892705</v>
      </c>
      <c r="FN109" s="84" t="n">
        <f aca="false">FG109+FJ109+(1-$F109)*FM109</f>
        <v>7153.18471187713</v>
      </c>
      <c r="FO109" s="84" t="n">
        <f aca="false">FL109+$F109*FM109</f>
        <v>697.364503785409</v>
      </c>
      <c r="FP109" s="84" t="n">
        <f aca="false">EZ109+FJ109+(1-$F109)*FM109</f>
        <v>10735.8321184941</v>
      </c>
      <c r="FQ109" s="84" t="n">
        <f aca="false">FA109+FO109</f>
        <v>697.364503785409</v>
      </c>
      <c r="FR109" s="133" t="n">
        <f aca="false">FE109+$D109*Inputs!$K$13-$D109*$E109</f>
        <v>31132.1968626501</v>
      </c>
      <c r="FS109" s="84" t="n">
        <f aca="false">FR109*(1+$I109)</f>
        <v>39226.5680469392</v>
      </c>
      <c r="FT109" s="133" t="n">
        <f aca="false">FS109*Inputs!$K$14</f>
        <v>7845.31360938784</v>
      </c>
      <c r="FU109" s="84" t="n">
        <f aca="false">FS109-FT109</f>
        <v>31381.2544375513</v>
      </c>
      <c r="FV109" s="133" t="n">
        <f aca="false">FH109+$D109*Inputs!$K$13</f>
        <v>0</v>
      </c>
      <c r="FW109" s="84" t="n">
        <f aca="false">MIN(FT109,FV109)</f>
        <v>0</v>
      </c>
      <c r="FX109" s="84" t="n">
        <f aca="false">FV109-FW109</f>
        <v>0</v>
      </c>
      <c r="FY109" s="84" t="n">
        <f aca="false">FK109+$G109*(FV109+FK109)</f>
        <v>0</v>
      </c>
      <c r="FZ109" s="84" t="n">
        <f aca="false">MIN(FT109-FW109,FY109)</f>
        <v>0</v>
      </c>
      <c r="GA109" s="84" t="n">
        <f aca="false">FY109-FZ109</f>
        <v>0</v>
      </c>
      <c r="GB109" s="84" t="n">
        <f aca="false">IF($H109=1,MIN(FT109-FW109-FZ109,MAX(0,$F109/(1-$F109)*(FP109+FZ109)-FQ109)),0)</f>
        <v>0</v>
      </c>
      <c r="GC109" s="84" t="n">
        <f aca="false">FT109-FW109-FZ109-GB109</f>
        <v>7845.31360938784</v>
      </c>
      <c r="GD109" s="84" t="n">
        <f aca="false">FW109+FZ109+(1-$F109)*GC109</f>
        <v>6276.25088751027</v>
      </c>
      <c r="GE109" s="84" t="n">
        <f aca="false">GB109+$F109*GC109</f>
        <v>1569.06272187757</v>
      </c>
      <c r="GF109" s="84" t="n">
        <f aca="false">FP109+FZ109+(1-$F109)*GC109</f>
        <v>17012.0830060044</v>
      </c>
      <c r="GG109" s="84" t="n">
        <f aca="false">FQ109+GE109</f>
        <v>2266.42722566298</v>
      </c>
      <c r="GH109" s="133" t="n">
        <f aca="false">FU109+$D109*Inputs!$L$13-$D109*$E109</f>
        <v>31111.2544375513</v>
      </c>
      <c r="GI109" s="84" t="n">
        <f aca="false">GH109*(1+$I109)</f>
        <v>39200.1805913147</v>
      </c>
      <c r="GJ109" s="133" t="n">
        <f aca="false">GI109*Inputs!$L$14</f>
        <v>39200.1805913147</v>
      </c>
      <c r="GK109" s="84" t="n">
        <f aca="false">GI109-GJ109</f>
        <v>0</v>
      </c>
      <c r="GL109" s="133" t="n">
        <f aca="false">FX109+$D109*Inputs!$L$13</f>
        <v>0</v>
      </c>
      <c r="GM109" s="84" t="n">
        <f aca="false">MIN(GJ109,GL109)</f>
        <v>0</v>
      </c>
      <c r="GN109" s="84" t="n">
        <f aca="false">GL109-GM109</f>
        <v>0</v>
      </c>
      <c r="GO109" s="84" t="n">
        <f aca="false">GA109+$G109*(GL109+GA109)</f>
        <v>0</v>
      </c>
      <c r="GP109" s="84" t="n">
        <f aca="false">MIN(GJ109-GM109,GO109)</f>
        <v>0</v>
      </c>
      <c r="GQ109" s="84" t="n">
        <f aca="false">GO109-GP109</f>
        <v>0</v>
      </c>
      <c r="GR109" s="84" t="n">
        <f aca="false">IF($H109=1,MIN(GJ109-GM109-GP109,MAX(0,$F109/(1-$F109)*(GF109+GP109)-GG109)),0)</f>
        <v>0</v>
      </c>
      <c r="GS109" s="84" t="n">
        <f aca="false">GJ109-GM109-GP109-GR109</f>
        <v>39200.1805913147</v>
      </c>
      <c r="GT109" s="84" t="n">
        <f aca="false">GM109+GP109+(1-$F109)*GS109</f>
        <v>31360.1444730518</v>
      </c>
      <c r="GU109" s="84" t="n">
        <f aca="false">GR109+$F109*GS109</f>
        <v>7840.03611826294</v>
      </c>
      <c r="GV109" s="84" t="n">
        <f aca="false">GF109+GP109+(1-$F109)*GS109</f>
        <v>48372.2274790561</v>
      </c>
      <c r="GW109" s="84" t="n">
        <f aca="false">GG109+GU109</f>
        <v>10106.4633439259</v>
      </c>
    </row>
    <row r="110" customFormat="false" ht="15" hidden="false" customHeight="false" outlineLevel="0" collapsed="false">
      <c r="A110" s="5" t="s">
        <v>639</v>
      </c>
      <c r="B110" s="5" t="s">
        <v>427</v>
      </c>
      <c r="C110" s="135" t="n">
        <v>27</v>
      </c>
      <c r="D110" s="47" t="n">
        <f aca="false">Inputs!$C$6</f>
        <v>20000</v>
      </c>
      <c r="E110" s="35" t="n">
        <f aca="false">Inputs!$C$19</f>
        <v>0.0135</v>
      </c>
      <c r="F110" s="36" t="n">
        <f aca="false">Inputs!$C$20</f>
        <v>0.2</v>
      </c>
      <c r="G110" s="36" t="n">
        <f aca="false">Inputs!$C$22</f>
        <v>0.08</v>
      </c>
      <c r="H110" s="27" t="n">
        <v>0</v>
      </c>
      <c r="I110" s="132" t="n">
        <f aca="false">Inputs!$C$38+$C110*Inputs!$C$39</f>
        <v>0.27</v>
      </c>
      <c r="J110" s="36" t="n">
        <f aca="false">Inputs!$C$9</f>
        <v>0.15</v>
      </c>
      <c r="K110" s="89" t="n">
        <f aca="false">IRR(W110:AG110,0.1)</f>
        <v>0.230321755582457</v>
      </c>
      <c r="L110" s="45" t="n">
        <f aca="false">W110+NPV($J110,X110:AG110)</f>
        <v>7787.44671902918</v>
      </c>
      <c r="M110" s="45" t="n">
        <f aca="false">SUM(BF110,BV110,CL110,DB110,DR110,EH110,EX110,FN110,GD110,GT110)</f>
        <v>71984.2970491808</v>
      </c>
      <c r="N110" s="43" t="n">
        <f aca="false">IF($D110*SUM(Inputs!$C$13:$L$13)=0,0,M110/($D110*SUM(Inputs!$C$13:$L$13)))</f>
        <v>3.59921485245904</v>
      </c>
      <c r="O110" s="42" t="n">
        <f aca="false">$D110*$E110*COLUMNS(Inputs!$C$13:$L$13)</f>
        <v>2700</v>
      </c>
      <c r="P110" s="45" t="n">
        <f aca="false">SUM(BG110,BW110,CM110,DC110,DS110,EI110,EY110,FO110,GE110,GU110)</f>
        <v>11042.4685974053</v>
      </c>
      <c r="Q110" s="42" t="n">
        <f aca="false">PV($J110,COLUMNS(Inputs!$C$13:$L$13),-$D110*$E110,0,1)</f>
        <v>1558.32765832774</v>
      </c>
      <c r="R110" s="45" t="n">
        <f aca="false">NPV($J110,BG110,BW110,CM110,DC110,DS110,EI110,EY110,FO110,GE110,GU110)</f>
        <v>2869.29279143402</v>
      </c>
      <c r="S110" s="45" t="n">
        <f aca="false">Q110+R110</f>
        <v>4427.62044976176</v>
      </c>
      <c r="T110" s="32" t="n">
        <f aca="false">IF(S110=0,0,Q110/S110)</f>
        <v>0.35195601700945</v>
      </c>
      <c r="U110" s="45" t="n">
        <f aca="false">ROUND(ABS(GK110)+ABS(SUM(AV110,BL110,CB110,CR110,DH110,DX110,EN110,FD110,FT110,GJ110)-M110-P110)+ABS(S110-(AH110+NPV($J110,AI110:AR110))),6)</f>
        <v>0</v>
      </c>
      <c r="W110" s="133" t="n">
        <f aca="false">-$D110*Inputs!$C$13</f>
        <v>-4000</v>
      </c>
      <c r="X110" s="133" t="n">
        <f aca="false">BF110-$D110*Inputs!$D$13</f>
        <v>-4000</v>
      </c>
      <c r="Y110" s="133" t="n">
        <f aca="false">BV110-$D110*Inputs!$E$13</f>
        <v>-4000</v>
      </c>
      <c r="Z110" s="133" t="n">
        <f aca="false">CL110-$D110*Inputs!$F$13</f>
        <v>-4000</v>
      </c>
      <c r="AA110" s="133" t="n">
        <f aca="false">DB110-$D110*Inputs!$G$13</f>
        <v>-4000</v>
      </c>
      <c r="AB110" s="133" t="n">
        <f aca="false">DR110-$D110*Inputs!$H$13</f>
        <v>8084.0784976222</v>
      </c>
      <c r="AC110" s="133" t="n">
        <f aca="false">EH110-$D110*Inputs!$I$13</f>
        <v>8144.84375358416</v>
      </c>
      <c r="AD110" s="133" t="n">
        <f aca="false">EX110-$D110*Inputs!$J$13</f>
        <v>8206.5812536415</v>
      </c>
      <c r="AE110" s="133" t="n">
        <f aca="false">FN110-$D110*Inputs!$K$13</f>
        <v>7291.22907390213</v>
      </c>
      <c r="AF110" s="133" t="n">
        <f aca="false">GD110-$D110*Inputs!$L$13</f>
        <v>6666.42836684717</v>
      </c>
      <c r="AG110" s="84" t="n">
        <f aca="false">GT110</f>
        <v>33591.1361035836</v>
      </c>
      <c r="AH110" s="84" t="n">
        <f aca="false">$D110*$E110</f>
        <v>270</v>
      </c>
      <c r="AI110" s="84" t="n">
        <f aca="false">BG110+$D110*$E110</f>
        <v>270</v>
      </c>
      <c r="AJ110" s="84" t="n">
        <f aca="false">BW110+$D110*$E110</f>
        <v>270</v>
      </c>
      <c r="AK110" s="84" t="n">
        <f aca="false">CM110+$D110*$E110</f>
        <v>270</v>
      </c>
      <c r="AL110" s="84" t="n">
        <f aca="false">DC110+$D110*$E110</f>
        <v>270</v>
      </c>
      <c r="AM110" s="84" t="n">
        <f aca="false">DS110+$D110*$E110</f>
        <v>270</v>
      </c>
      <c r="AN110" s="84" t="n">
        <f aca="false">EI110+$D110*$E110</f>
        <v>270</v>
      </c>
      <c r="AO110" s="84" t="n">
        <f aca="false">EY110+$D110*$E110</f>
        <v>270</v>
      </c>
      <c r="AP110" s="84" t="n">
        <f aca="false">FO110+$D110*$E110</f>
        <v>1248.07747979764</v>
      </c>
      <c r="AQ110" s="84" t="n">
        <f aca="false">GE110+$D110*$E110</f>
        <v>1936.60709171179</v>
      </c>
      <c r="AR110" s="84" t="n">
        <f aca="false">GU110</f>
        <v>8397.78402589591</v>
      </c>
      <c r="AT110" s="133" t="n">
        <f aca="false">$D110*Inputs!$C$13-$D110*$E110</f>
        <v>3730</v>
      </c>
      <c r="AU110" s="84" t="n">
        <f aca="false">AT110*(1+$I110)</f>
        <v>4737.1</v>
      </c>
      <c r="AV110" s="133" t="n">
        <f aca="false">AU110*Inputs!$C$14</f>
        <v>0</v>
      </c>
      <c r="AW110" s="84" t="n">
        <f aca="false">AU110-AV110</f>
        <v>4737.1</v>
      </c>
      <c r="AX110" s="133" t="n">
        <f aca="false">$D110*Inputs!$C$13</f>
        <v>4000</v>
      </c>
      <c r="AY110" s="84" t="n">
        <f aca="false">MIN(AV110,AX110)</f>
        <v>0</v>
      </c>
      <c r="AZ110" s="84" t="n">
        <f aca="false">AX110-AY110</f>
        <v>4000</v>
      </c>
      <c r="BA110" s="84" t="n">
        <f aca="false">$G110*AX110</f>
        <v>320</v>
      </c>
      <c r="BB110" s="84" t="n">
        <f aca="false">MIN(AV110-AY110,BA110)</f>
        <v>0</v>
      </c>
      <c r="BC110" s="84" t="n">
        <f aca="false">BA110-BB110</f>
        <v>320</v>
      </c>
      <c r="BD110" s="84" t="n">
        <f aca="false">IF($H110=1,MIN(AV110-AY110-BB110,MAX(0,$F110/(1-$F110)*BB110)),0)</f>
        <v>0</v>
      </c>
      <c r="BE110" s="84" t="n">
        <f aca="false">AV110-AY110-BB110-BD110</f>
        <v>0</v>
      </c>
      <c r="BF110" s="84" t="n">
        <f aca="false">AY110+BB110+(1-$F110)*BE110</f>
        <v>0</v>
      </c>
      <c r="BG110" s="84" t="n">
        <f aca="false">BD110+$F110*BE110</f>
        <v>0</v>
      </c>
      <c r="BH110" s="84" t="n">
        <f aca="false">BB110+(1-$F110)*BE110</f>
        <v>0</v>
      </c>
      <c r="BI110" s="84" t="n">
        <f aca="false">BG110</f>
        <v>0</v>
      </c>
      <c r="BJ110" s="133" t="n">
        <f aca="false">AW110+$D110*Inputs!$D$13-$D110*$E110</f>
        <v>8467.1</v>
      </c>
      <c r="BK110" s="84" t="n">
        <f aca="false">BJ110*(1+$I110)</f>
        <v>10753.217</v>
      </c>
      <c r="BL110" s="133" t="n">
        <f aca="false">BK110*Inputs!$D$14</f>
        <v>0</v>
      </c>
      <c r="BM110" s="84" t="n">
        <f aca="false">BK110-BL110</f>
        <v>10753.217</v>
      </c>
      <c r="BN110" s="133" t="n">
        <f aca="false">AZ110+$D110*Inputs!$D$13</f>
        <v>8000</v>
      </c>
      <c r="BO110" s="84" t="n">
        <f aca="false">MIN(BL110,BN110)</f>
        <v>0</v>
      </c>
      <c r="BP110" s="84" t="n">
        <f aca="false">BN110-BO110</f>
        <v>8000</v>
      </c>
      <c r="BQ110" s="84" t="n">
        <f aca="false">BC110+$G110*(BN110+BC110)</f>
        <v>985.6</v>
      </c>
      <c r="BR110" s="84" t="n">
        <f aca="false">MIN(BL110-BO110,BQ110)</f>
        <v>0</v>
      </c>
      <c r="BS110" s="84" t="n">
        <f aca="false">BQ110-BR110</f>
        <v>985.6</v>
      </c>
      <c r="BT110" s="84" t="n">
        <f aca="false">IF($H110=1,MIN(BL110-BO110-BR110,MAX(0,$F110/(1-$F110)*(BH110+BR110)-BI110)),0)</f>
        <v>0</v>
      </c>
      <c r="BU110" s="84" t="n">
        <f aca="false">BL110-BO110-BR110-BT110</f>
        <v>0</v>
      </c>
      <c r="BV110" s="84" t="n">
        <f aca="false">BO110+BR110+(1-$F110)*BU110</f>
        <v>0</v>
      </c>
      <c r="BW110" s="84" t="n">
        <f aca="false">BT110+$F110*BU110</f>
        <v>0</v>
      </c>
      <c r="BX110" s="84" t="n">
        <f aca="false">BH110+BR110+(1-$F110)*BU110</f>
        <v>0</v>
      </c>
      <c r="BY110" s="84" t="n">
        <f aca="false">BI110+BW110</f>
        <v>0</v>
      </c>
      <c r="BZ110" s="133" t="n">
        <f aca="false">BM110+$D110*Inputs!$E$13-$D110*$E110</f>
        <v>14483.217</v>
      </c>
      <c r="CA110" s="84" t="n">
        <f aca="false">BZ110*(1+$I110)</f>
        <v>18393.68559</v>
      </c>
      <c r="CB110" s="133" t="n">
        <f aca="false">CA110*Inputs!$E$14</f>
        <v>0</v>
      </c>
      <c r="CC110" s="84" t="n">
        <f aca="false">CA110-CB110</f>
        <v>18393.68559</v>
      </c>
      <c r="CD110" s="133" t="n">
        <f aca="false">BP110+$D110*Inputs!$E$13</f>
        <v>12000</v>
      </c>
      <c r="CE110" s="84" t="n">
        <f aca="false">MIN(CB110,CD110)</f>
        <v>0</v>
      </c>
      <c r="CF110" s="84" t="n">
        <f aca="false">CD110-CE110</f>
        <v>12000</v>
      </c>
      <c r="CG110" s="84" t="n">
        <f aca="false">BS110+$G110*(CD110+BS110)</f>
        <v>2024.448</v>
      </c>
      <c r="CH110" s="84" t="n">
        <f aca="false">MIN(CB110-CE110,CG110)</f>
        <v>0</v>
      </c>
      <c r="CI110" s="84" t="n">
        <f aca="false">CG110-CH110</f>
        <v>2024.448</v>
      </c>
      <c r="CJ110" s="84" t="n">
        <f aca="false">IF($H110=1,MIN(CB110-CE110-CH110,MAX(0,$F110/(1-$F110)*(BX110+CH110)-BY110)),0)</f>
        <v>0</v>
      </c>
      <c r="CK110" s="84" t="n">
        <f aca="false">CB110-CE110-CH110-CJ110</f>
        <v>0</v>
      </c>
      <c r="CL110" s="84" t="n">
        <f aca="false">CE110+CH110+(1-$F110)*CK110</f>
        <v>0</v>
      </c>
      <c r="CM110" s="84" t="n">
        <f aca="false">CJ110+$F110*CK110</f>
        <v>0</v>
      </c>
      <c r="CN110" s="84" t="n">
        <f aca="false">BX110+CH110+(1-$F110)*CK110</f>
        <v>0</v>
      </c>
      <c r="CO110" s="84" t="n">
        <f aca="false">BY110+CM110</f>
        <v>0</v>
      </c>
      <c r="CP110" s="133" t="n">
        <f aca="false">CC110+$D110*Inputs!$F$13-$D110*$E110</f>
        <v>22123.68559</v>
      </c>
      <c r="CQ110" s="84" t="n">
        <f aca="false">CP110*(1+$I110)</f>
        <v>28097.0806993</v>
      </c>
      <c r="CR110" s="133" t="n">
        <f aca="false">CQ110*Inputs!$F$14</f>
        <v>0</v>
      </c>
      <c r="CS110" s="84" t="n">
        <f aca="false">CQ110-CR110</f>
        <v>28097.0806993</v>
      </c>
      <c r="CT110" s="133" t="n">
        <f aca="false">CF110+$D110*Inputs!$F$13</f>
        <v>16000</v>
      </c>
      <c r="CU110" s="84" t="n">
        <f aca="false">MIN(CR110,CT110)</f>
        <v>0</v>
      </c>
      <c r="CV110" s="84" t="n">
        <f aca="false">CT110-CU110</f>
        <v>16000</v>
      </c>
      <c r="CW110" s="84" t="n">
        <f aca="false">CI110+$G110*(CT110+CI110)</f>
        <v>3466.40384</v>
      </c>
      <c r="CX110" s="84" t="n">
        <f aca="false">MIN(CR110-CU110,CW110)</f>
        <v>0</v>
      </c>
      <c r="CY110" s="84" t="n">
        <f aca="false">CW110-CX110</f>
        <v>3466.40384</v>
      </c>
      <c r="CZ110" s="84" t="n">
        <f aca="false">IF($H110=1,MIN(CR110-CU110-CX110,MAX(0,$F110/(1-$F110)*(CN110+CX110)-CO110)),0)</f>
        <v>0</v>
      </c>
      <c r="DA110" s="84" t="n">
        <f aca="false">CR110-CU110-CX110-CZ110</f>
        <v>0</v>
      </c>
      <c r="DB110" s="84" t="n">
        <f aca="false">CU110+CX110+(1-$F110)*DA110</f>
        <v>0</v>
      </c>
      <c r="DC110" s="84" t="n">
        <f aca="false">CZ110+$F110*DA110</f>
        <v>0</v>
      </c>
      <c r="DD110" s="84" t="n">
        <f aca="false">CN110+CX110+(1-$F110)*DA110</f>
        <v>0</v>
      </c>
      <c r="DE110" s="84" t="n">
        <f aca="false">CO110+DC110</f>
        <v>0</v>
      </c>
      <c r="DF110" s="133" t="n">
        <f aca="false">CS110+$D110*Inputs!$G$13-$D110*$E110</f>
        <v>31827.0806993</v>
      </c>
      <c r="DG110" s="84" t="n">
        <f aca="false">DF110*(1+$I110)</f>
        <v>40420.392488111</v>
      </c>
      <c r="DH110" s="133" t="n">
        <f aca="false">DG110*Inputs!$G$14</f>
        <v>8084.0784976222</v>
      </c>
      <c r="DI110" s="84" t="n">
        <f aca="false">DG110-DH110</f>
        <v>32336.3139904888</v>
      </c>
      <c r="DJ110" s="133" t="n">
        <f aca="false">CV110+$D110*Inputs!$G$13</f>
        <v>20000</v>
      </c>
      <c r="DK110" s="84" t="n">
        <f aca="false">MIN(DH110,DJ110)</f>
        <v>8084.0784976222</v>
      </c>
      <c r="DL110" s="84" t="n">
        <f aca="false">DJ110-DK110</f>
        <v>11915.9215023778</v>
      </c>
      <c r="DM110" s="84" t="n">
        <f aca="false">CY110+$G110*(DJ110+CY110)</f>
        <v>5343.7161472</v>
      </c>
      <c r="DN110" s="84" t="n">
        <f aca="false">MIN(DH110-DK110,DM110)</f>
        <v>0</v>
      </c>
      <c r="DO110" s="84" t="n">
        <f aca="false">DM110-DN110</f>
        <v>5343.7161472</v>
      </c>
      <c r="DP110" s="84" t="n">
        <f aca="false">IF($H110=1,MIN(DH110-DK110-DN110,MAX(0,$F110/(1-$F110)*(DD110+DN110)-DE110)),0)</f>
        <v>0</v>
      </c>
      <c r="DQ110" s="84" t="n">
        <f aca="false">DH110-DK110-DN110-DP110</f>
        <v>0</v>
      </c>
      <c r="DR110" s="84" t="n">
        <f aca="false">DK110+DN110+(1-$F110)*DQ110</f>
        <v>8084.0784976222</v>
      </c>
      <c r="DS110" s="84" t="n">
        <f aca="false">DP110+$F110*DQ110</f>
        <v>0</v>
      </c>
      <c r="DT110" s="84" t="n">
        <f aca="false">DD110+DN110+(1-$F110)*DQ110</f>
        <v>0</v>
      </c>
      <c r="DU110" s="84" t="n">
        <f aca="false">DE110+DS110</f>
        <v>0</v>
      </c>
      <c r="DV110" s="133" t="n">
        <f aca="false">DI110+$D110*Inputs!$H$13-$D110*$E110</f>
        <v>32066.3139904888</v>
      </c>
      <c r="DW110" s="84" t="n">
        <f aca="false">DV110*(1+$I110)</f>
        <v>40724.2187679208</v>
      </c>
      <c r="DX110" s="133" t="n">
        <f aca="false">DW110*Inputs!$H$14</f>
        <v>8144.84375358416</v>
      </c>
      <c r="DY110" s="84" t="n">
        <f aca="false">DW110-DX110</f>
        <v>32579.3750143366</v>
      </c>
      <c r="DZ110" s="133" t="n">
        <f aca="false">DL110+$D110*Inputs!$H$13</f>
        <v>11915.9215023778</v>
      </c>
      <c r="EA110" s="84" t="n">
        <f aca="false">MIN(DX110,DZ110)</f>
        <v>8144.84375358416</v>
      </c>
      <c r="EB110" s="84" t="n">
        <f aca="false">DZ110-EA110</f>
        <v>3771.07774879364</v>
      </c>
      <c r="EC110" s="84" t="n">
        <f aca="false">DO110+$G110*(DZ110+DO110)</f>
        <v>6724.48715916622</v>
      </c>
      <c r="ED110" s="84" t="n">
        <f aca="false">MIN(DX110-EA110,EC110)</f>
        <v>0</v>
      </c>
      <c r="EE110" s="84" t="n">
        <f aca="false">EC110-ED110</f>
        <v>6724.48715916622</v>
      </c>
      <c r="EF110" s="84" t="n">
        <f aca="false">IF($H110=1,MIN(DX110-EA110-ED110,MAX(0,$F110/(1-$F110)*(DT110+ED110)-DU110)),0)</f>
        <v>0</v>
      </c>
      <c r="EG110" s="84" t="n">
        <f aca="false">DX110-EA110-ED110-EF110</f>
        <v>0</v>
      </c>
      <c r="EH110" s="84" t="n">
        <f aca="false">EA110+ED110+(1-$F110)*EG110</f>
        <v>8144.84375358416</v>
      </c>
      <c r="EI110" s="84" t="n">
        <f aca="false">EF110+$F110*EG110</f>
        <v>0</v>
      </c>
      <c r="EJ110" s="84" t="n">
        <f aca="false">DT110+ED110+(1-$F110)*EG110</f>
        <v>0</v>
      </c>
      <c r="EK110" s="84" t="n">
        <f aca="false">DU110+EI110</f>
        <v>0</v>
      </c>
      <c r="EL110" s="133" t="n">
        <f aca="false">DY110+$D110*Inputs!$I$13-$D110*$E110</f>
        <v>32309.3750143366</v>
      </c>
      <c r="EM110" s="84" t="n">
        <f aca="false">EL110*(1+$I110)</f>
        <v>41032.9062682075</v>
      </c>
      <c r="EN110" s="133" t="n">
        <f aca="false">EM110*Inputs!$I$14</f>
        <v>8206.5812536415</v>
      </c>
      <c r="EO110" s="84" t="n">
        <f aca="false">EM110-EN110</f>
        <v>32826.325014566</v>
      </c>
      <c r="EP110" s="133" t="n">
        <f aca="false">EB110+$D110*Inputs!$I$13</f>
        <v>3771.07774879364</v>
      </c>
      <c r="EQ110" s="84" t="n">
        <f aca="false">MIN(EN110,EP110)</f>
        <v>3771.07774879364</v>
      </c>
      <c r="ER110" s="84" t="n">
        <f aca="false">EP110-EQ110</f>
        <v>0</v>
      </c>
      <c r="ES110" s="84" t="n">
        <f aca="false">EE110+$G110*(EP110+EE110)</f>
        <v>7564.13235180301</v>
      </c>
      <c r="ET110" s="84" t="n">
        <f aca="false">MIN(EN110-EQ110,ES110)</f>
        <v>4435.50350484786</v>
      </c>
      <c r="EU110" s="84" t="n">
        <f aca="false">ES110-ET110</f>
        <v>3128.62884695516</v>
      </c>
      <c r="EV110" s="84" t="n">
        <f aca="false">IF($H110=1,MIN(EN110-EQ110-ET110,MAX(0,$F110/(1-$F110)*(EJ110+ET110)-EK110)),0)</f>
        <v>0</v>
      </c>
      <c r="EW110" s="84" t="n">
        <f aca="false">EN110-EQ110-ET110-EV110</f>
        <v>0</v>
      </c>
      <c r="EX110" s="84" t="n">
        <f aca="false">EQ110+ET110+(1-$F110)*EW110</f>
        <v>8206.5812536415</v>
      </c>
      <c r="EY110" s="84" t="n">
        <f aca="false">EV110+$F110*EW110</f>
        <v>0</v>
      </c>
      <c r="EZ110" s="84" t="n">
        <f aca="false">EJ110+ET110+(1-$F110)*EW110</f>
        <v>4435.50350484786</v>
      </c>
      <c r="FA110" s="84" t="n">
        <f aca="false">EK110+EY110</f>
        <v>0</v>
      </c>
      <c r="FB110" s="133" t="n">
        <f aca="false">EO110+$D110*Inputs!$J$13-$D110*$E110</f>
        <v>32556.325014566</v>
      </c>
      <c r="FC110" s="84" t="n">
        <f aca="false">FB110*(1+$I110)</f>
        <v>41346.5327684988</v>
      </c>
      <c r="FD110" s="133" t="n">
        <f aca="false">FC110*Inputs!$J$14</f>
        <v>8269.30655369977</v>
      </c>
      <c r="FE110" s="84" t="n">
        <f aca="false">FC110-FD110</f>
        <v>33077.2262147991</v>
      </c>
      <c r="FF110" s="133" t="n">
        <f aca="false">ER110+$D110*Inputs!$J$13</f>
        <v>0</v>
      </c>
      <c r="FG110" s="84" t="n">
        <f aca="false">MIN(FD110,FF110)</f>
        <v>0</v>
      </c>
      <c r="FH110" s="84" t="n">
        <f aca="false">FF110-FG110</f>
        <v>0</v>
      </c>
      <c r="FI110" s="84" t="n">
        <f aca="false">EU110+$G110*(FF110+EU110)</f>
        <v>3378.91915471157</v>
      </c>
      <c r="FJ110" s="84" t="n">
        <f aca="false">MIN(FD110-FG110,FI110)</f>
        <v>3378.91915471157</v>
      </c>
      <c r="FK110" s="84" t="n">
        <f aca="false">FI110-FJ110</f>
        <v>0</v>
      </c>
      <c r="FL110" s="84" t="n">
        <f aca="false">IF($H110=1,MIN(FD110-FG110-FJ110,MAX(0,$F110/(1-$F110)*(EZ110+FJ110)-FA110)),0)</f>
        <v>0</v>
      </c>
      <c r="FM110" s="84" t="n">
        <f aca="false">FD110-FG110-FJ110-FL110</f>
        <v>4890.3873989882</v>
      </c>
      <c r="FN110" s="84" t="n">
        <f aca="false">FG110+FJ110+(1-$F110)*FM110</f>
        <v>7291.22907390213</v>
      </c>
      <c r="FO110" s="84" t="n">
        <f aca="false">FL110+$F110*FM110</f>
        <v>978.07747979764</v>
      </c>
      <c r="FP110" s="84" t="n">
        <f aca="false">EZ110+FJ110+(1-$F110)*FM110</f>
        <v>11726.73257875</v>
      </c>
      <c r="FQ110" s="84" t="n">
        <f aca="false">FA110+FO110</f>
        <v>978.07747979764</v>
      </c>
      <c r="FR110" s="133" t="n">
        <f aca="false">FE110+$D110*Inputs!$K$13-$D110*$E110</f>
        <v>32807.2262147991</v>
      </c>
      <c r="FS110" s="84" t="n">
        <f aca="false">FR110*(1+$I110)</f>
        <v>41665.1772927948</v>
      </c>
      <c r="FT110" s="133" t="n">
        <f aca="false">FS110*Inputs!$K$14</f>
        <v>8333.03545855896</v>
      </c>
      <c r="FU110" s="84" t="n">
        <f aca="false">FS110-FT110</f>
        <v>33332.1418342359</v>
      </c>
      <c r="FV110" s="133" t="n">
        <f aca="false">FH110+$D110*Inputs!$K$13</f>
        <v>0</v>
      </c>
      <c r="FW110" s="84" t="n">
        <f aca="false">MIN(FT110,FV110)</f>
        <v>0</v>
      </c>
      <c r="FX110" s="84" t="n">
        <f aca="false">FV110-FW110</f>
        <v>0</v>
      </c>
      <c r="FY110" s="84" t="n">
        <f aca="false">FK110+$G110*(FV110+FK110)</f>
        <v>0</v>
      </c>
      <c r="FZ110" s="84" t="n">
        <f aca="false">MIN(FT110-FW110,FY110)</f>
        <v>0</v>
      </c>
      <c r="GA110" s="84" t="n">
        <f aca="false">FY110-FZ110</f>
        <v>0</v>
      </c>
      <c r="GB110" s="84" t="n">
        <f aca="false">IF($H110=1,MIN(FT110-FW110-FZ110,MAX(0,$F110/(1-$F110)*(FP110+FZ110)-FQ110)),0)</f>
        <v>0</v>
      </c>
      <c r="GC110" s="84" t="n">
        <f aca="false">FT110-FW110-FZ110-GB110</f>
        <v>8333.03545855896</v>
      </c>
      <c r="GD110" s="84" t="n">
        <f aca="false">FW110+FZ110+(1-$F110)*GC110</f>
        <v>6666.42836684717</v>
      </c>
      <c r="GE110" s="84" t="n">
        <f aca="false">GB110+$F110*GC110</f>
        <v>1666.60709171179</v>
      </c>
      <c r="GF110" s="84" t="n">
        <f aca="false">FP110+FZ110+(1-$F110)*GC110</f>
        <v>18393.1609455972</v>
      </c>
      <c r="GG110" s="84" t="n">
        <f aca="false">FQ110+GE110</f>
        <v>2644.68457150943</v>
      </c>
      <c r="GH110" s="133" t="n">
        <f aca="false">FU110+$D110*Inputs!$L$13-$D110*$E110</f>
        <v>33062.1418342359</v>
      </c>
      <c r="GI110" s="84" t="n">
        <f aca="false">GH110*(1+$I110)</f>
        <v>41988.9201294795</v>
      </c>
      <c r="GJ110" s="133" t="n">
        <f aca="false">GI110*Inputs!$L$14</f>
        <v>41988.9201294795</v>
      </c>
      <c r="GK110" s="84" t="n">
        <f aca="false">GI110-GJ110</f>
        <v>0</v>
      </c>
      <c r="GL110" s="133" t="n">
        <f aca="false">FX110+$D110*Inputs!$L$13</f>
        <v>0</v>
      </c>
      <c r="GM110" s="84" t="n">
        <f aca="false">MIN(GJ110,GL110)</f>
        <v>0</v>
      </c>
      <c r="GN110" s="84" t="n">
        <f aca="false">GL110-GM110</f>
        <v>0</v>
      </c>
      <c r="GO110" s="84" t="n">
        <f aca="false">GA110+$G110*(GL110+GA110)</f>
        <v>0</v>
      </c>
      <c r="GP110" s="84" t="n">
        <f aca="false">MIN(GJ110-GM110,GO110)</f>
        <v>0</v>
      </c>
      <c r="GQ110" s="84" t="n">
        <f aca="false">GO110-GP110</f>
        <v>0</v>
      </c>
      <c r="GR110" s="84" t="n">
        <f aca="false">IF($H110=1,MIN(GJ110-GM110-GP110,MAX(0,$F110/(1-$F110)*(GF110+GP110)-GG110)),0)</f>
        <v>0</v>
      </c>
      <c r="GS110" s="84" t="n">
        <f aca="false">GJ110-GM110-GP110-GR110</f>
        <v>41988.9201294795</v>
      </c>
      <c r="GT110" s="84" t="n">
        <f aca="false">GM110+GP110+(1-$F110)*GS110</f>
        <v>33591.1361035836</v>
      </c>
      <c r="GU110" s="84" t="n">
        <f aca="false">GR110+$F110*GS110</f>
        <v>8397.78402589591</v>
      </c>
      <c r="GV110" s="84" t="n">
        <f aca="false">GF110+GP110+(1-$F110)*GS110</f>
        <v>51984.2970491808</v>
      </c>
      <c r="GW110" s="84" t="n">
        <f aca="false">GG110+GU110</f>
        <v>11042.4685974053</v>
      </c>
    </row>
    <row r="111" customFormat="false" ht="15" hidden="false" customHeight="false" outlineLevel="0" collapsed="false">
      <c r="A111" s="5" t="s">
        <v>639</v>
      </c>
      <c r="B111" s="5" t="s">
        <v>427</v>
      </c>
      <c r="C111" s="135" t="n">
        <v>28</v>
      </c>
      <c r="D111" s="47" t="n">
        <f aca="false">Inputs!$C$6</f>
        <v>20000</v>
      </c>
      <c r="E111" s="35" t="n">
        <f aca="false">Inputs!$C$19</f>
        <v>0.0135</v>
      </c>
      <c r="F111" s="36" t="n">
        <f aca="false">Inputs!$C$20</f>
        <v>0.2</v>
      </c>
      <c r="G111" s="36" t="n">
        <f aca="false">Inputs!$C$22</f>
        <v>0.08</v>
      </c>
      <c r="H111" s="27" t="n">
        <v>0</v>
      </c>
      <c r="I111" s="132" t="n">
        <f aca="false">Inputs!$C$38+$C111*Inputs!$C$39</f>
        <v>0.28</v>
      </c>
      <c r="J111" s="36" t="n">
        <f aca="false">Inputs!$C$9</f>
        <v>0.15</v>
      </c>
      <c r="K111" s="89" t="n">
        <f aca="false">IRR(W111:AG111,0.1)</f>
        <v>0.239628970075568</v>
      </c>
      <c r="L111" s="45" t="n">
        <f aca="false">W111+NPV($J111,X111:AG111)</f>
        <v>8913.40389306022</v>
      </c>
      <c r="M111" s="45" t="n">
        <f aca="false">SUM(BF111,BV111,CL111,DB111,DR111,EH111,EX111,FN111,GD111,GT111)</f>
        <v>75795.2312590216</v>
      </c>
      <c r="N111" s="43" t="n">
        <f aca="false">IF($D111*SUM(Inputs!$C$13:$L$13)=0,0,M111/($D111*SUM(Inputs!$C$13:$L$13)))</f>
        <v>3.78976156295108</v>
      </c>
      <c r="O111" s="42" t="n">
        <f aca="false">$D111*$E111*COLUMNS(Inputs!$C$13:$L$13)</f>
        <v>2700</v>
      </c>
      <c r="P111" s="45" t="n">
        <f aca="false">SUM(BG111,BW111,CM111,DC111,DS111,EI111,EY111,FO111,GE111,GU111)</f>
        <v>12029.1679577447</v>
      </c>
      <c r="Q111" s="42" t="n">
        <f aca="false">PV($J111,COLUMNS(Inputs!$C$13:$L$13),-$D111*$E111,0,1)</f>
        <v>1558.32765832774</v>
      </c>
      <c r="R111" s="45" t="n">
        <f aca="false">NPV($J111,BG111,BW111,CM111,DC111,DS111,EI111,EY111,FO111,GE111,GU111)</f>
        <v>3140.1964058277</v>
      </c>
      <c r="S111" s="45" t="n">
        <f aca="false">Q111+R111</f>
        <v>4698.52406415544</v>
      </c>
      <c r="T111" s="32" t="n">
        <f aca="false">IF(S111=0,0,Q111/S111)</f>
        <v>0.331663228079656</v>
      </c>
      <c r="U111" s="45" t="n">
        <f aca="false">ROUND(ABS(GK111)+ABS(SUM(AV111,BL111,CB111,CR111,DH111,DX111,EN111,FD111,FT111,GJ111)-M111-P111)+ABS(S111-(AH111+NPV($J111,AI111:AR111))),6)</f>
        <v>0</v>
      </c>
      <c r="W111" s="133" t="n">
        <f aca="false">-$D111*Inputs!$C$13</f>
        <v>-4000</v>
      </c>
      <c r="X111" s="133" t="n">
        <f aca="false">BF111-$D111*Inputs!$D$13</f>
        <v>-4000</v>
      </c>
      <c r="Y111" s="133" t="n">
        <f aca="false">BV111-$D111*Inputs!$E$13</f>
        <v>-4000</v>
      </c>
      <c r="Z111" s="133" t="n">
        <f aca="false">CL111-$D111*Inputs!$F$13</f>
        <v>-4000</v>
      </c>
      <c r="AA111" s="133" t="n">
        <f aca="false">DB111-$D111*Inputs!$G$13</f>
        <v>-4000</v>
      </c>
      <c r="AB111" s="133" t="n">
        <f aca="false">DR111-$D111*Inputs!$H$13</f>
        <v>8307.3667760128</v>
      </c>
      <c r="AC111" s="133" t="n">
        <f aca="false">EH111-$D111*Inputs!$I$13</f>
        <v>8437.62357863711</v>
      </c>
      <c r="AD111" s="133" t="n">
        <f aca="false">EX111-$D111*Inputs!$J$13</f>
        <v>8571.0065445244</v>
      </c>
      <c r="AE111" s="133" t="n">
        <f aca="false">FN111-$D111*Inputs!$K$13</f>
        <v>7438.58506704805</v>
      </c>
      <c r="AF111" s="133" t="n">
        <f aca="false">GD111-$D111*Inputs!$L$13</f>
        <v>7077.96230274497</v>
      </c>
      <c r="AG111" s="84" t="n">
        <f aca="false">GT111</f>
        <v>35962.6869900543</v>
      </c>
      <c r="AH111" s="84" t="n">
        <f aca="false">$D111*$E111</f>
        <v>270</v>
      </c>
      <c r="AI111" s="84" t="n">
        <f aca="false">BG111+$D111*$E111</f>
        <v>270</v>
      </c>
      <c r="AJ111" s="84" t="n">
        <f aca="false">BW111+$D111*$E111</f>
        <v>270</v>
      </c>
      <c r="AK111" s="84" t="n">
        <f aca="false">CM111+$D111*$E111</f>
        <v>270</v>
      </c>
      <c r="AL111" s="84" t="n">
        <f aca="false">DC111+$D111*$E111</f>
        <v>270</v>
      </c>
      <c r="AM111" s="84" t="n">
        <f aca="false">DS111+$D111*$E111</f>
        <v>270</v>
      </c>
      <c r="AN111" s="84" t="n">
        <f aca="false">EI111+$D111*$E111</f>
        <v>270</v>
      </c>
      <c r="AO111" s="84" t="n">
        <f aca="false">EY111+$D111*$E111</f>
        <v>270</v>
      </c>
      <c r="AP111" s="84" t="n">
        <f aca="false">FO111+$D111*$E111</f>
        <v>1539.00563454494</v>
      </c>
      <c r="AQ111" s="84" t="n">
        <f aca="false">GE111+$D111*$E111</f>
        <v>2039.49057568624</v>
      </c>
      <c r="AR111" s="84" t="n">
        <f aca="false">GU111</f>
        <v>8990.67174751357</v>
      </c>
      <c r="AT111" s="133" t="n">
        <f aca="false">$D111*Inputs!$C$13-$D111*$E111</f>
        <v>3730</v>
      </c>
      <c r="AU111" s="84" t="n">
        <f aca="false">AT111*(1+$I111)</f>
        <v>4774.4</v>
      </c>
      <c r="AV111" s="133" t="n">
        <f aca="false">AU111*Inputs!$C$14</f>
        <v>0</v>
      </c>
      <c r="AW111" s="84" t="n">
        <f aca="false">AU111-AV111</f>
        <v>4774.4</v>
      </c>
      <c r="AX111" s="133" t="n">
        <f aca="false">$D111*Inputs!$C$13</f>
        <v>4000</v>
      </c>
      <c r="AY111" s="84" t="n">
        <f aca="false">MIN(AV111,AX111)</f>
        <v>0</v>
      </c>
      <c r="AZ111" s="84" t="n">
        <f aca="false">AX111-AY111</f>
        <v>4000</v>
      </c>
      <c r="BA111" s="84" t="n">
        <f aca="false">$G111*AX111</f>
        <v>320</v>
      </c>
      <c r="BB111" s="84" t="n">
        <f aca="false">MIN(AV111-AY111,BA111)</f>
        <v>0</v>
      </c>
      <c r="BC111" s="84" t="n">
        <f aca="false">BA111-BB111</f>
        <v>320</v>
      </c>
      <c r="BD111" s="84" t="n">
        <f aca="false">IF($H111=1,MIN(AV111-AY111-BB111,MAX(0,$F111/(1-$F111)*BB111)),0)</f>
        <v>0</v>
      </c>
      <c r="BE111" s="84" t="n">
        <f aca="false">AV111-AY111-BB111-BD111</f>
        <v>0</v>
      </c>
      <c r="BF111" s="84" t="n">
        <f aca="false">AY111+BB111+(1-$F111)*BE111</f>
        <v>0</v>
      </c>
      <c r="BG111" s="84" t="n">
        <f aca="false">BD111+$F111*BE111</f>
        <v>0</v>
      </c>
      <c r="BH111" s="84" t="n">
        <f aca="false">BB111+(1-$F111)*BE111</f>
        <v>0</v>
      </c>
      <c r="BI111" s="84" t="n">
        <f aca="false">BG111</f>
        <v>0</v>
      </c>
      <c r="BJ111" s="133" t="n">
        <f aca="false">AW111+$D111*Inputs!$D$13-$D111*$E111</f>
        <v>8504.4</v>
      </c>
      <c r="BK111" s="84" t="n">
        <f aca="false">BJ111*(1+$I111)</f>
        <v>10885.632</v>
      </c>
      <c r="BL111" s="133" t="n">
        <f aca="false">BK111*Inputs!$D$14</f>
        <v>0</v>
      </c>
      <c r="BM111" s="84" t="n">
        <f aca="false">BK111-BL111</f>
        <v>10885.632</v>
      </c>
      <c r="BN111" s="133" t="n">
        <f aca="false">AZ111+$D111*Inputs!$D$13</f>
        <v>8000</v>
      </c>
      <c r="BO111" s="84" t="n">
        <f aca="false">MIN(BL111,BN111)</f>
        <v>0</v>
      </c>
      <c r="BP111" s="84" t="n">
        <f aca="false">BN111-BO111</f>
        <v>8000</v>
      </c>
      <c r="BQ111" s="84" t="n">
        <f aca="false">BC111+$G111*(BN111+BC111)</f>
        <v>985.6</v>
      </c>
      <c r="BR111" s="84" t="n">
        <f aca="false">MIN(BL111-BO111,BQ111)</f>
        <v>0</v>
      </c>
      <c r="BS111" s="84" t="n">
        <f aca="false">BQ111-BR111</f>
        <v>985.6</v>
      </c>
      <c r="BT111" s="84" t="n">
        <f aca="false">IF($H111=1,MIN(BL111-BO111-BR111,MAX(0,$F111/(1-$F111)*(BH111+BR111)-BI111)),0)</f>
        <v>0</v>
      </c>
      <c r="BU111" s="84" t="n">
        <f aca="false">BL111-BO111-BR111-BT111</f>
        <v>0</v>
      </c>
      <c r="BV111" s="84" t="n">
        <f aca="false">BO111+BR111+(1-$F111)*BU111</f>
        <v>0</v>
      </c>
      <c r="BW111" s="84" t="n">
        <f aca="false">BT111+$F111*BU111</f>
        <v>0</v>
      </c>
      <c r="BX111" s="84" t="n">
        <f aca="false">BH111+BR111+(1-$F111)*BU111</f>
        <v>0</v>
      </c>
      <c r="BY111" s="84" t="n">
        <f aca="false">BI111+BW111</f>
        <v>0</v>
      </c>
      <c r="BZ111" s="133" t="n">
        <f aca="false">BM111+$D111*Inputs!$E$13-$D111*$E111</f>
        <v>14615.632</v>
      </c>
      <c r="CA111" s="84" t="n">
        <f aca="false">BZ111*(1+$I111)</f>
        <v>18708.00896</v>
      </c>
      <c r="CB111" s="133" t="n">
        <f aca="false">CA111*Inputs!$E$14</f>
        <v>0</v>
      </c>
      <c r="CC111" s="84" t="n">
        <f aca="false">CA111-CB111</f>
        <v>18708.00896</v>
      </c>
      <c r="CD111" s="133" t="n">
        <f aca="false">BP111+$D111*Inputs!$E$13</f>
        <v>12000</v>
      </c>
      <c r="CE111" s="84" t="n">
        <f aca="false">MIN(CB111,CD111)</f>
        <v>0</v>
      </c>
      <c r="CF111" s="84" t="n">
        <f aca="false">CD111-CE111</f>
        <v>12000</v>
      </c>
      <c r="CG111" s="84" t="n">
        <f aca="false">BS111+$G111*(CD111+BS111)</f>
        <v>2024.448</v>
      </c>
      <c r="CH111" s="84" t="n">
        <f aca="false">MIN(CB111-CE111,CG111)</f>
        <v>0</v>
      </c>
      <c r="CI111" s="84" t="n">
        <f aca="false">CG111-CH111</f>
        <v>2024.448</v>
      </c>
      <c r="CJ111" s="84" t="n">
        <f aca="false">IF($H111=1,MIN(CB111-CE111-CH111,MAX(0,$F111/(1-$F111)*(BX111+CH111)-BY111)),0)</f>
        <v>0</v>
      </c>
      <c r="CK111" s="84" t="n">
        <f aca="false">CB111-CE111-CH111-CJ111</f>
        <v>0</v>
      </c>
      <c r="CL111" s="84" t="n">
        <f aca="false">CE111+CH111+(1-$F111)*CK111</f>
        <v>0</v>
      </c>
      <c r="CM111" s="84" t="n">
        <f aca="false">CJ111+$F111*CK111</f>
        <v>0</v>
      </c>
      <c r="CN111" s="84" t="n">
        <f aca="false">BX111+CH111+(1-$F111)*CK111</f>
        <v>0</v>
      </c>
      <c r="CO111" s="84" t="n">
        <f aca="false">BY111+CM111</f>
        <v>0</v>
      </c>
      <c r="CP111" s="133" t="n">
        <f aca="false">CC111+$D111*Inputs!$F$13-$D111*$E111</f>
        <v>22438.00896</v>
      </c>
      <c r="CQ111" s="84" t="n">
        <f aca="false">CP111*(1+$I111)</f>
        <v>28720.6514688</v>
      </c>
      <c r="CR111" s="133" t="n">
        <f aca="false">CQ111*Inputs!$F$14</f>
        <v>0</v>
      </c>
      <c r="CS111" s="84" t="n">
        <f aca="false">CQ111-CR111</f>
        <v>28720.6514688</v>
      </c>
      <c r="CT111" s="133" t="n">
        <f aca="false">CF111+$D111*Inputs!$F$13</f>
        <v>16000</v>
      </c>
      <c r="CU111" s="84" t="n">
        <f aca="false">MIN(CR111,CT111)</f>
        <v>0</v>
      </c>
      <c r="CV111" s="84" t="n">
        <f aca="false">CT111-CU111</f>
        <v>16000</v>
      </c>
      <c r="CW111" s="84" t="n">
        <f aca="false">CI111+$G111*(CT111+CI111)</f>
        <v>3466.40384</v>
      </c>
      <c r="CX111" s="84" t="n">
        <f aca="false">MIN(CR111-CU111,CW111)</f>
        <v>0</v>
      </c>
      <c r="CY111" s="84" t="n">
        <f aca="false">CW111-CX111</f>
        <v>3466.40384</v>
      </c>
      <c r="CZ111" s="84" t="n">
        <f aca="false">IF($H111=1,MIN(CR111-CU111-CX111,MAX(0,$F111/(1-$F111)*(CN111+CX111)-CO111)),0)</f>
        <v>0</v>
      </c>
      <c r="DA111" s="84" t="n">
        <f aca="false">CR111-CU111-CX111-CZ111</f>
        <v>0</v>
      </c>
      <c r="DB111" s="84" t="n">
        <f aca="false">CU111+CX111+(1-$F111)*DA111</f>
        <v>0</v>
      </c>
      <c r="DC111" s="84" t="n">
        <f aca="false">CZ111+$F111*DA111</f>
        <v>0</v>
      </c>
      <c r="DD111" s="84" t="n">
        <f aca="false">CN111+CX111+(1-$F111)*DA111</f>
        <v>0</v>
      </c>
      <c r="DE111" s="84" t="n">
        <f aca="false">CO111+DC111</f>
        <v>0</v>
      </c>
      <c r="DF111" s="133" t="n">
        <f aca="false">CS111+$D111*Inputs!$G$13-$D111*$E111</f>
        <v>32450.6514688</v>
      </c>
      <c r="DG111" s="84" t="n">
        <f aca="false">DF111*(1+$I111)</f>
        <v>41536.833880064</v>
      </c>
      <c r="DH111" s="133" t="n">
        <f aca="false">DG111*Inputs!$G$14</f>
        <v>8307.3667760128</v>
      </c>
      <c r="DI111" s="84" t="n">
        <f aca="false">DG111-DH111</f>
        <v>33229.4671040512</v>
      </c>
      <c r="DJ111" s="133" t="n">
        <f aca="false">CV111+$D111*Inputs!$G$13</f>
        <v>20000</v>
      </c>
      <c r="DK111" s="84" t="n">
        <f aca="false">MIN(DH111,DJ111)</f>
        <v>8307.3667760128</v>
      </c>
      <c r="DL111" s="84" t="n">
        <f aca="false">DJ111-DK111</f>
        <v>11692.6332239872</v>
      </c>
      <c r="DM111" s="84" t="n">
        <f aca="false">CY111+$G111*(DJ111+CY111)</f>
        <v>5343.7161472</v>
      </c>
      <c r="DN111" s="84" t="n">
        <f aca="false">MIN(DH111-DK111,DM111)</f>
        <v>0</v>
      </c>
      <c r="DO111" s="84" t="n">
        <f aca="false">DM111-DN111</f>
        <v>5343.7161472</v>
      </c>
      <c r="DP111" s="84" t="n">
        <f aca="false">IF($H111=1,MIN(DH111-DK111-DN111,MAX(0,$F111/(1-$F111)*(DD111+DN111)-DE111)),0)</f>
        <v>0</v>
      </c>
      <c r="DQ111" s="84" t="n">
        <f aca="false">DH111-DK111-DN111-DP111</f>
        <v>0</v>
      </c>
      <c r="DR111" s="84" t="n">
        <f aca="false">DK111+DN111+(1-$F111)*DQ111</f>
        <v>8307.3667760128</v>
      </c>
      <c r="DS111" s="84" t="n">
        <f aca="false">DP111+$F111*DQ111</f>
        <v>0</v>
      </c>
      <c r="DT111" s="84" t="n">
        <f aca="false">DD111+DN111+(1-$F111)*DQ111</f>
        <v>0</v>
      </c>
      <c r="DU111" s="84" t="n">
        <f aca="false">DE111+DS111</f>
        <v>0</v>
      </c>
      <c r="DV111" s="133" t="n">
        <f aca="false">DI111+$D111*Inputs!$H$13-$D111*$E111</f>
        <v>32959.4671040512</v>
      </c>
      <c r="DW111" s="84" t="n">
        <f aca="false">DV111*(1+$I111)</f>
        <v>42188.1178931855</v>
      </c>
      <c r="DX111" s="133" t="n">
        <f aca="false">DW111*Inputs!$H$14</f>
        <v>8437.62357863711</v>
      </c>
      <c r="DY111" s="84" t="n">
        <f aca="false">DW111-DX111</f>
        <v>33750.4943145484</v>
      </c>
      <c r="DZ111" s="133" t="n">
        <f aca="false">DL111+$D111*Inputs!$H$13</f>
        <v>11692.6332239872</v>
      </c>
      <c r="EA111" s="84" t="n">
        <f aca="false">MIN(DX111,DZ111)</f>
        <v>8437.62357863711</v>
      </c>
      <c r="EB111" s="84" t="n">
        <f aca="false">DZ111-EA111</f>
        <v>3255.00964535009</v>
      </c>
      <c r="EC111" s="84" t="n">
        <f aca="false">DO111+$G111*(DZ111+DO111)</f>
        <v>6706.62409689498</v>
      </c>
      <c r="ED111" s="84" t="n">
        <f aca="false">MIN(DX111-EA111,EC111)</f>
        <v>0</v>
      </c>
      <c r="EE111" s="84" t="n">
        <f aca="false">EC111-ED111</f>
        <v>6706.62409689498</v>
      </c>
      <c r="EF111" s="84" t="n">
        <f aca="false">IF($H111=1,MIN(DX111-EA111-ED111,MAX(0,$F111/(1-$F111)*(DT111+ED111)-DU111)),0)</f>
        <v>0</v>
      </c>
      <c r="EG111" s="84" t="n">
        <f aca="false">DX111-EA111-ED111-EF111</f>
        <v>0</v>
      </c>
      <c r="EH111" s="84" t="n">
        <f aca="false">EA111+ED111+(1-$F111)*EG111</f>
        <v>8437.62357863711</v>
      </c>
      <c r="EI111" s="84" t="n">
        <f aca="false">EF111+$F111*EG111</f>
        <v>0</v>
      </c>
      <c r="EJ111" s="84" t="n">
        <f aca="false">DT111+ED111+(1-$F111)*EG111</f>
        <v>0</v>
      </c>
      <c r="EK111" s="84" t="n">
        <f aca="false">DU111+EI111</f>
        <v>0</v>
      </c>
      <c r="EL111" s="133" t="n">
        <f aca="false">DY111+$D111*Inputs!$I$13-$D111*$E111</f>
        <v>33480.4943145484</v>
      </c>
      <c r="EM111" s="84" t="n">
        <f aca="false">EL111*(1+$I111)</f>
        <v>42855.032722622</v>
      </c>
      <c r="EN111" s="133" t="n">
        <f aca="false">EM111*Inputs!$I$14</f>
        <v>8571.0065445244</v>
      </c>
      <c r="EO111" s="84" t="n">
        <f aca="false">EM111-EN111</f>
        <v>34284.0261780976</v>
      </c>
      <c r="EP111" s="133" t="n">
        <f aca="false">EB111+$D111*Inputs!$I$13</f>
        <v>3255.00964535009</v>
      </c>
      <c r="EQ111" s="84" t="n">
        <f aca="false">MIN(EN111,EP111)</f>
        <v>3255.00964535009</v>
      </c>
      <c r="ER111" s="84" t="n">
        <f aca="false">EP111-EQ111</f>
        <v>0</v>
      </c>
      <c r="ES111" s="84" t="n">
        <f aca="false">EE111+$G111*(EP111+EE111)</f>
        <v>7503.55479627458</v>
      </c>
      <c r="ET111" s="84" t="n">
        <f aca="false">MIN(EN111-EQ111,ES111)</f>
        <v>5315.99689917431</v>
      </c>
      <c r="EU111" s="84" t="n">
        <f aca="false">ES111-ET111</f>
        <v>2187.55789710027</v>
      </c>
      <c r="EV111" s="84" t="n">
        <f aca="false">IF($H111=1,MIN(EN111-EQ111-ET111,MAX(0,$F111/(1-$F111)*(EJ111+ET111)-EK111)),0)</f>
        <v>0</v>
      </c>
      <c r="EW111" s="84" t="n">
        <f aca="false">EN111-EQ111-ET111-EV111</f>
        <v>0</v>
      </c>
      <c r="EX111" s="84" t="n">
        <f aca="false">EQ111+ET111+(1-$F111)*EW111</f>
        <v>8571.0065445244</v>
      </c>
      <c r="EY111" s="84" t="n">
        <f aca="false">EV111+$F111*EW111</f>
        <v>0</v>
      </c>
      <c r="EZ111" s="84" t="n">
        <f aca="false">EJ111+ET111+(1-$F111)*EW111</f>
        <v>5315.99689917431</v>
      </c>
      <c r="FA111" s="84" t="n">
        <f aca="false">EK111+EY111</f>
        <v>0</v>
      </c>
      <c r="FB111" s="133" t="n">
        <f aca="false">EO111+$D111*Inputs!$J$13-$D111*$E111</f>
        <v>34014.0261780976</v>
      </c>
      <c r="FC111" s="84" t="n">
        <f aca="false">FB111*(1+$I111)</f>
        <v>43537.9535079649</v>
      </c>
      <c r="FD111" s="133" t="n">
        <f aca="false">FC111*Inputs!$J$14</f>
        <v>8707.59070159298</v>
      </c>
      <c r="FE111" s="84" t="n">
        <f aca="false">FC111-FD111</f>
        <v>34830.3628063719</v>
      </c>
      <c r="FF111" s="133" t="n">
        <f aca="false">ER111+$D111*Inputs!$J$13</f>
        <v>0</v>
      </c>
      <c r="FG111" s="84" t="n">
        <f aca="false">MIN(FD111,FF111)</f>
        <v>0</v>
      </c>
      <c r="FH111" s="84" t="n">
        <f aca="false">FF111-FG111</f>
        <v>0</v>
      </c>
      <c r="FI111" s="84" t="n">
        <f aca="false">EU111+$G111*(FF111+EU111)</f>
        <v>2362.5625288683</v>
      </c>
      <c r="FJ111" s="84" t="n">
        <f aca="false">MIN(FD111-FG111,FI111)</f>
        <v>2362.5625288683</v>
      </c>
      <c r="FK111" s="84" t="n">
        <f aca="false">FI111-FJ111</f>
        <v>0</v>
      </c>
      <c r="FL111" s="84" t="n">
        <f aca="false">IF($H111=1,MIN(FD111-FG111-FJ111,MAX(0,$F111/(1-$F111)*(EZ111+FJ111)-FA111)),0)</f>
        <v>0</v>
      </c>
      <c r="FM111" s="84" t="n">
        <f aca="false">FD111-FG111-FJ111-FL111</f>
        <v>6345.02817272469</v>
      </c>
      <c r="FN111" s="84" t="n">
        <f aca="false">FG111+FJ111+(1-$F111)*FM111</f>
        <v>7438.58506704805</v>
      </c>
      <c r="FO111" s="84" t="n">
        <f aca="false">FL111+$F111*FM111</f>
        <v>1269.00563454494</v>
      </c>
      <c r="FP111" s="84" t="n">
        <f aca="false">EZ111+FJ111+(1-$F111)*FM111</f>
        <v>12754.5819662224</v>
      </c>
      <c r="FQ111" s="84" t="n">
        <f aca="false">FA111+FO111</f>
        <v>1269.00563454494</v>
      </c>
      <c r="FR111" s="133" t="n">
        <f aca="false">FE111+$D111*Inputs!$K$13-$D111*$E111</f>
        <v>34560.3628063719</v>
      </c>
      <c r="FS111" s="84" t="n">
        <f aca="false">FR111*(1+$I111)</f>
        <v>44237.2643921561</v>
      </c>
      <c r="FT111" s="133" t="n">
        <f aca="false">FS111*Inputs!$K$14</f>
        <v>8847.45287843122</v>
      </c>
      <c r="FU111" s="84" t="n">
        <f aca="false">FS111-FT111</f>
        <v>35389.8115137249</v>
      </c>
      <c r="FV111" s="133" t="n">
        <f aca="false">FH111+$D111*Inputs!$K$13</f>
        <v>0</v>
      </c>
      <c r="FW111" s="84" t="n">
        <f aca="false">MIN(FT111,FV111)</f>
        <v>0</v>
      </c>
      <c r="FX111" s="84" t="n">
        <f aca="false">FV111-FW111</f>
        <v>0</v>
      </c>
      <c r="FY111" s="84" t="n">
        <f aca="false">FK111+$G111*(FV111+FK111)</f>
        <v>0</v>
      </c>
      <c r="FZ111" s="84" t="n">
        <f aca="false">MIN(FT111-FW111,FY111)</f>
        <v>0</v>
      </c>
      <c r="GA111" s="84" t="n">
        <f aca="false">FY111-FZ111</f>
        <v>0</v>
      </c>
      <c r="GB111" s="84" t="n">
        <f aca="false">IF($H111=1,MIN(FT111-FW111-FZ111,MAX(0,$F111/(1-$F111)*(FP111+FZ111)-FQ111)),0)</f>
        <v>0</v>
      </c>
      <c r="GC111" s="84" t="n">
        <f aca="false">FT111-FW111-FZ111-GB111</f>
        <v>8847.45287843122</v>
      </c>
      <c r="GD111" s="84" t="n">
        <f aca="false">FW111+FZ111+(1-$F111)*GC111</f>
        <v>7077.96230274497</v>
      </c>
      <c r="GE111" s="84" t="n">
        <f aca="false">GB111+$F111*GC111</f>
        <v>1769.49057568624</v>
      </c>
      <c r="GF111" s="84" t="n">
        <f aca="false">FP111+FZ111+(1-$F111)*GC111</f>
        <v>19832.5442689673</v>
      </c>
      <c r="GG111" s="84" t="n">
        <f aca="false">FQ111+GE111</f>
        <v>3038.49621023118</v>
      </c>
      <c r="GH111" s="133" t="n">
        <f aca="false">FU111+$D111*Inputs!$L$13-$D111*$E111</f>
        <v>35119.8115137249</v>
      </c>
      <c r="GI111" s="84" t="n">
        <f aca="false">GH111*(1+$I111)</f>
        <v>44953.3587375678</v>
      </c>
      <c r="GJ111" s="133" t="n">
        <f aca="false">GI111*Inputs!$L$14</f>
        <v>44953.3587375678</v>
      </c>
      <c r="GK111" s="84" t="n">
        <f aca="false">GI111-GJ111</f>
        <v>0</v>
      </c>
      <c r="GL111" s="133" t="n">
        <f aca="false">FX111+$D111*Inputs!$L$13</f>
        <v>0</v>
      </c>
      <c r="GM111" s="84" t="n">
        <f aca="false">MIN(GJ111,GL111)</f>
        <v>0</v>
      </c>
      <c r="GN111" s="84" t="n">
        <f aca="false">GL111-GM111</f>
        <v>0</v>
      </c>
      <c r="GO111" s="84" t="n">
        <f aca="false">GA111+$G111*(GL111+GA111)</f>
        <v>0</v>
      </c>
      <c r="GP111" s="84" t="n">
        <f aca="false">MIN(GJ111-GM111,GO111)</f>
        <v>0</v>
      </c>
      <c r="GQ111" s="84" t="n">
        <f aca="false">GO111-GP111</f>
        <v>0</v>
      </c>
      <c r="GR111" s="84" t="n">
        <f aca="false">IF($H111=1,MIN(GJ111-GM111-GP111,MAX(0,$F111/(1-$F111)*(GF111+GP111)-GG111)),0)</f>
        <v>0</v>
      </c>
      <c r="GS111" s="84" t="n">
        <f aca="false">GJ111-GM111-GP111-GR111</f>
        <v>44953.3587375678</v>
      </c>
      <c r="GT111" s="84" t="n">
        <f aca="false">GM111+GP111+(1-$F111)*GS111</f>
        <v>35962.6869900543</v>
      </c>
      <c r="GU111" s="84" t="n">
        <f aca="false">GR111+$F111*GS111</f>
        <v>8990.67174751357</v>
      </c>
      <c r="GV111" s="84" t="n">
        <f aca="false">GF111+GP111+(1-$F111)*GS111</f>
        <v>55795.2312590216</v>
      </c>
      <c r="GW111" s="84" t="n">
        <f aca="false">GG111+GU111</f>
        <v>12029.1679577447</v>
      </c>
    </row>
    <row r="112" customFormat="false" ht="15" hidden="false" customHeight="false" outlineLevel="0" collapsed="false">
      <c r="A112" s="5" t="s">
        <v>639</v>
      </c>
      <c r="B112" s="5" t="s">
        <v>427</v>
      </c>
      <c r="C112" s="135" t="n">
        <v>29</v>
      </c>
      <c r="D112" s="47" t="n">
        <f aca="false">Inputs!$C$6</f>
        <v>20000</v>
      </c>
      <c r="E112" s="35" t="n">
        <f aca="false">Inputs!$C$19</f>
        <v>0.0135</v>
      </c>
      <c r="F112" s="36" t="n">
        <f aca="false">Inputs!$C$20</f>
        <v>0.2</v>
      </c>
      <c r="G112" s="36" t="n">
        <f aca="false">Inputs!$C$22</f>
        <v>0.08</v>
      </c>
      <c r="H112" s="27" t="n">
        <v>0</v>
      </c>
      <c r="I112" s="132" t="n">
        <f aca="false">Inputs!$C$38+$C112*Inputs!$C$39</f>
        <v>0.29</v>
      </c>
      <c r="J112" s="36" t="n">
        <f aca="false">Inputs!$C$9</f>
        <v>0.15</v>
      </c>
      <c r="K112" s="89" t="n">
        <f aca="false">IRR(W112:AG112,0.1)</f>
        <v>0.248965289385186</v>
      </c>
      <c r="L112" s="45" t="n">
        <f aca="false">W112+NPV($J112,X112:AG112)</f>
        <v>10097.4394887155</v>
      </c>
      <c r="M112" s="45" t="n">
        <f aca="false">SUM(BF112,BV112,CL112,DB112,DR112,EH112,EX112,FN112,GD112,GT112)</f>
        <v>79815.1426091965</v>
      </c>
      <c r="N112" s="43" t="n">
        <f aca="false">IF($D112*SUM(Inputs!$C$13:$L$13)=0,0,M112/($D112*SUM(Inputs!$C$13:$L$13)))</f>
        <v>3.99075713045983</v>
      </c>
      <c r="O112" s="42" t="n">
        <f aca="false">$D112*$E112*COLUMNS(Inputs!$C$13:$L$13)</f>
        <v>2700</v>
      </c>
      <c r="P112" s="45" t="n">
        <f aca="false">SUM(BG112,BW112,CM112,DC112,DS112,EI112,EY112,FO112,GE112,GU112)</f>
        <v>13069.1145084192</v>
      </c>
      <c r="Q112" s="42" t="n">
        <f aca="false">PV($J112,COLUMNS(Inputs!$C$13:$L$13),-$D112*$E112,0,1)</f>
        <v>1558.32765832774</v>
      </c>
      <c r="R112" s="45" t="n">
        <f aca="false">NPV($J112,BG112,BW112,CM112,DC112,DS112,EI112,EY112,FO112,GE112,GU112)</f>
        <v>3425.31024076445</v>
      </c>
      <c r="S112" s="45" t="n">
        <f aca="false">Q112+R112</f>
        <v>4983.63789909219</v>
      </c>
      <c r="T112" s="32" t="n">
        <f aca="false">IF(S112=0,0,Q112/S112)</f>
        <v>0.312688780742196</v>
      </c>
      <c r="U112" s="45" t="n">
        <f aca="false">ROUND(ABS(GK112)+ABS(SUM(AV112,BL112,CB112,CR112,DH112,DX112,EN112,FD112,FT112,GJ112)-M112-P112)+ABS(S112-(AH112+NPV($J112,AI112:AR112))),6)</f>
        <v>0</v>
      </c>
      <c r="W112" s="133" t="n">
        <f aca="false">-$D112*Inputs!$C$13</f>
        <v>-4000</v>
      </c>
      <c r="X112" s="133" t="n">
        <f aca="false">BF112-$D112*Inputs!$D$13</f>
        <v>-4000</v>
      </c>
      <c r="Y112" s="133" t="n">
        <f aca="false">BV112-$D112*Inputs!$E$13</f>
        <v>-4000</v>
      </c>
      <c r="Z112" s="133" t="n">
        <f aca="false">CL112-$D112*Inputs!$F$13</f>
        <v>-4000</v>
      </c>
      <c r="AA112" s="133" t="n">
        <f aca="false">DB112-$D112*Inputs!$G$13</f>
        <v>-4000</v>
      </c>
      <c r="AB112" s="133" t="n">
        <f aca="false">DR112-$D112*Inputs!$H$13</f>
        <v>8535.9729392754</v>
      </c>
      <c r="AC112" s="133" t="n">
        <f aca="false">EH112-$D112*Inputs!$I$13</f>
        <v>8739.46407333221</v>
      </c>
      <c r="AD112" s="133" t="n">
        <f aca="false">EX112-$D112*Inputs!$J$13</f>
        <v>8949.46692367885</v>
      </c>
      <c r="AE112" s="133" t="n">
        <f aca="false">FN112-$D112*Inputs!$K$13</f>
        <v>7595.70802003591</v>
      </c>
      <c r="AF112" s="133" t="n">
        <f aca="false">GD112-$D112*Inputs!$L$13</f>
        <v>7511.87835273931</v>
      </c>
      <c r="AG112" s="84" t="n">
        <f aca="false">GT112</f>
        <v>38482.6523001348</v>
      </c>
      <c r="AH112" s="84" t="n">
        <f aca="false">$D112*$E112</f>
        <v>270</v>
      </c>
      <c r="AI112" s="84" t="n">
        <f aca="false">BG112+$D112*$E112</f>
        <v>270</v>
      </c>
      <c r="AJ112" s="84" t="n">
        <f aca="false">BW112+$D112*$E112</f>
        <v>270</v>
      </c>
      <c r="AK112" s="84" t="n">
        <f aca="false">CM112+$D112*$E112</f>
        <v>270</v>
      </c>
      <c r="AL112" s="84" t="n">
        <f aca="false">DC112+$D112*$E112</f>
        <v>270</v>
      </c>
      <c r="AM112" s="84" t="n">
        <f aca="false">DS112+$D112*$E112</f>
        <v>270</v>
      </c>
      <c r="AN112" s="84" t="n">
        <f aca="false">EI112+$D112*$E112</f>
        <v>270</v>
      </c>
      <c r="AO112" s="84" t="n">
        <f aca="false">EY112+$D112*$E112</f>
        <v>270</v>
      </c>
      <c r="AP112" s="84" t="n">
        <f aca="false">FO112+$D112*$E112</f>
        <v>1840.48184520066</v>
      </c>
      <c r="AQ112" s="84" t="n">
        <f aca="false">GE112+$D112*$E112</f>
        <v>2147.96958818483</v>
      </c>
      <c r="AR112" s="84" t="n">
        <f aca="false">GU112</f>
        <v>9620.66307503371</v>
      </c>
      <c r="AT112" s="133" t="n">
        <f aca="false">$D112*Inputs!$C$13-$D112*$E112</f>
        <v>3730</v>
      </c>
      <c r="AU112" s="84" t="n">
        <f aca="false">AT112*(1+$I112)</f>
        <v>4811.7</v>
      </c>
      <c r="AV112" s="133" t="n">
        <f aca="false">AU112*Inputs!$C$14</f>
        <v>0</v>
      </c>
      <c r="AW112" s="84" t="n">
        <f aca="false">AU112-AV112</f>
        <v>4811.7</v>
      </c>
      <c r="AX112" s="133" t="n">
        <f aca="false">$D112*Inputs!$C$13</f>
        <v>4000</v>
      </c>
      <c r="AY112" s="84" t="n">
        <f aca="false">MIN(AV112,AX112)</f>
        <v>0</v>
      </c>
      <c r="AZ112" s="84" t="n">
        <f aca="false">AX112-AY112</f>
        <v>4000</v>
      </c>
      <c r="BA112" s="84" t="n">
        <f aca="false">$G112*AX112</f>
        <v>320</v>
      </c>
      <c r="BB112" s="84" t="n">
        <f aca="false">MIN(AV112-AY112,BA112)</f>
        <v>0</v>
      </c>
      <c r="BC112" s="84" t="n">
        <f aca="false">BA112-BB112</f>
        <v>320</v>
      </c>
      <c r="BD112" s="84" t="n">
        <f aca="false">IF($H112=1,MIN(AV112-AY112-BB112,MAX(0,$F112/(1-$F112)*BB112)),0)</f>
        <v>0</v>
      </c>
      <c r="BE112" s="84" t="n">
        <f aca="false">AV112-AY112-BB112-BD112</f>
        <v>0</v>
      </c>
      <c r="BF112" s="84" t="n">
        <f aca="false">AY112+BB112+(1-$F112)*BE112</f>
        <v>0</v>
      </c>
      <c r="BG112" s="84" t="n">
        <f aca="false">BD112+$F112*BE112</f>
        <v>0</v>
      </c>
      <c r="BH112" s="84" t="n">
        <f aca="false">BB112+(1-$F112)*BE112</f>
        <v>0</v>
      </c>
      <c r="BI112" s="84" t="n">
        <f aca="false">BG112</f>
        <v>0</v>
      </c>
      <c r="BJ112" s="133" t="n">
        <f aca="false">AW112+$D112*Inputs!$D$13-$D112*$E112</f>
        <v>8541.7</v>
      </c>
      <c r="BK112" s="84" t="n">
        <f aca="false">BJ112*(1+$I112)</f>
        <v>11018.793</v>
      </c>
      <c r="BL112" s="133" t="n">
        <f aca="false">BK112*Inputs!$D$14</f>
        <v>0</v>
      </c>
      <c r="BM112" s="84" t="n">
        <f aca="false">BK112-BL112</f>
        <v>11018.793</v>
      </c>
      <c r="BN112" s="133" t="n">
        <f aca="false">AZ112+$D112*Inputs!$D$13</f>
        <v>8000</v>
      </c>
      <c r="BO112" s="84" t="n">
        <f aca="false">MIN(BL112,BN112)</f>
        <v>0</v>
      </c>
      <c r="BP112" s="84" t="n">
        <f aca="false">BN112-BO112</f>
        <v>8000</v>
      </c>
      <c r="BQ112" s="84" t="n">
        <f aca="false">BC112+$G112*(BN112+BC112)</f>
        <v>985.6</v>
      </c>
      <c r="BR112" s="84" t="n">
        <f aca="false">MIN(BL112-BO112,BQ112)</f>
        <v>0</v>
      </c>
      <c r="BS112" s="84" t="n">
        <f aca="false">BQ112-BR112</f>
        <v>985.6</v>
      </c>
      <c r="BT112" s="84" t="n">
        <f aca="false">IF($H112=1,MIN(BL112-BO112-BR112,MAX(0,$F112/(1-$F112)*(BH112+BR112)-BI112)),0)</f>
        <v>0</v>
      </c>
      <c r="BU112" s="84" t="n">
        <f aca="false">BL112-BO112-BR112-BT112</f>
        <v>0</v>
      </c>
      <c r="BV112" s="84" t="n">
        <f aca="false">BO112+BR112+(1-$F112)*BU112</f>
        <v>0</v>
      </c>
      <c r="BW112" s="84" t="n">
        <f aca="false">BT112+$F112*BU112</f>
        <v>0</v>
      </c>
      <c r="BX112" s="84" t="n">
        <f aca="false">BH112+BR112+(1-$F112)*BU112</f>
        <v>0</v>
      </c>
      <c r="BY112" s="84" t="n">
        <f aca="false">BI112+BW112</f>
        <v>0</v>
      </c>
      <c r="BZ112" s="133" t="n">
        <f aca="false">BM112+$D112*Inputs!$E$13-$D112*$E112</f>
        <v>14748.793</v>
      </c>
      <c r="CA112" s="84" t="n">
        <f aca="false">BZ112*(1+$I112)</f>
        <v>19025.94297</v>
      </c>
      <c r="CB112" s="133" t="n">
        <f aca="false">CA112*Inputs!$E$14</f>
        <v>0</v>
      </c>
      <c r="CC112" s="84" t="n">
        <f aca="false">CA112-CB112</f>
        <v>19025.94297</v>
      </c>
      <c r="CD112" s="133" t="n">
        <f aca="false">BP112+$D112*Inputs!$E$13</f>
        <v>12000</v>
      </c>
      <c r="CE112" s="84" t="n">
        <f aca="false">MIN(CB112,CD112)</f>
        <v>0</v>
      </c>
      <c r="CF112" s="84" t="n">
        <f aca="false">CD112-CE112</f>
        <v>12000</v>
      </c>
      <c r="CG112" s="84" t="n">
        <f aca="false">BS112+$G112*(CD112+BS112)</f>
        <v>2024.448</v>
      </c>
      <c r="CH112" s="84" t="n">
        <f aca="false">MIN(CB112-CE112,CG112)</f>
        <v>0</v>
      </c>
      <c r="CI112" s="84" t="n">
        <f aca="false">CG112-CH112</f>
        <v>2024.448</v>
      </c>
      <c r="CJ112" s="84" t="n">
        <f aca="false">IF($H112=1,MIN(CB112-CE112-CH112,MAX(0,$F112/(1-$F112)*(BX112+CH112)-BY112)),0)</f>
        <v>0</v>
      </c>
      <c r="CK112" s="84" t="n">
        <f aca="false">CB112-CE112-CH112-CJ112</f>
        <v>0</v>
      </c>
      <c r="CL112" s="84" t="n">
        <f aca="false">CE112+CH112+(1-$F112)*CK112</f>
        <v>0</v>
      </c>
      <c r="CM112" s="84" t="n">
        <f aca="false">CJ112+$F112*CK112</f>
        <v>0</v>
      </c>
      <c r="CN112" s="84" t="n">
        <f aca="false">BX112+CH112+(1-$F112)*CK112</f>
        <v>0</v>
      </c>
      <c r="CO112" s="84" t="n">
        <f aca="false">BY112+CM112</f>
        <v>0</v>
      </c>
      <c r="CP112" s="133" t="n">
        <f aca="false">CC112+$D112*Inputs!$F$13-$D112*$E112</f>
        <v>22755.94297</v>
      </c>
      <c r="CQ112" s="84" t="n">
        <f aca="false">CP112*(1+$I112)</f>
        <v>29355.1664313</v>
      </c>
      <c r="CR112" s="133" t="n">
        <f aca="false">CQ112*Inputs!$F$14</f>
        <v>0</v>
      </c>
      <c r="CS112" s="84" t="n">
        <f aca="false">CQ112-CR112</f>
        <v>29355.1664313</v>
      </c>
      <c r="CT112" s="133" t="n">
        <f aca="false">CF112+$D112*Inputs!$F$13</f>
        <v>16000</v>
      </c>
      <c r="CU112" s="84" t="n">
        <f aca="false">MIN(CR112,CT112)</f>
        <v>0</v>
      </c>
      <c r="CV112" s="84" t="n">
        <f aca="false">CT112-CU112</f>
        <v>16000</v>
      </c>
      <c r="CW112" s="84" t="n">
        <f aca="false">CI112+$G112*(CT112+CI112)</f>
        <v>3466.40384</v>
      </c>
      <c r="CX112" s="84" t="n">
        <f aca="false">MIN(CR112-CU112,CW112)</f>
        <v>0</v>
      </c>
      <c r="CY112" s="84" t="n">
        <f aca="false">CW112-CX112</f>
        <v>3466.40384</v>
      </c>
      <c r="CZ112" s="84" t="n">
        <f aca="false">IF($H112=1,MIN(CR112-CU112-CX112,MAX(0,$F112/(1-$F112)*(CN112+CX112)-CO112)),0)</f>
        <v>0</v>
      </c>
      <c r="DA112" s="84" t="n">
        <f aca="false">CR112-CU112-CX112-CZ112</f>
        <v>0</v>
      </c>
      <c r="DB112" s="84" t="n">
        <f aca="false">CU112+CX112+(1-$F112)*DA112</f>
        <v>0</v>
      </c>
      <c r="DC112" s="84" t="n">
        <f aca="false">CZ112+$F112*DA112</f>
        <v>0</v>
      </c>
      <c r="DD112" s="84" t="n">
        <f aca="false">CN112+CX112+(1-$F112)*DA112</f>
        <v>0</v>
      </c>
      <c r="DE112" s="84" t="n">
        <f aca="false">CO112+DC112</f>
        <v>0</v>
      </c>
      <c r="DF112" s="133" t="n">
        <f aca="false">CS112+$D112*Inputs!$G$13-$D112*$E112</f>
        <v>33085.1664313</v>
      </c>
      <c r="DG112" s="84" t="n">
        <f aca="false">DF112*(1+$I112)</f>
        <v>42679.864696377</v>
      </c>
      <c r="DH112" s="133" t="n">
        <f aca="false">DG112*Inputs!$G$14</f>
        <v>8535.9729392754</v>
      </c>
      <c r="DI112" s="84" t="n">
        <f aca="false">DG112-DH112</f>
        <v>34143.8917571016</v>
      </c>
      <c r="DJ112" s="133" t="n">
        <f aca="false">CV112+$D112*Inputs!$G$13</f>
        <v>20000</v>
      </c>
      <c r="DK112" s="84" t="n">
        <f aca="false">MIN(DH112,DJ112)</f>
        <v>8535.9729392754</v>
      </c>
      <c r="DL112" s="84" t="n">
        <f aca="false">DJ112-DK112</f>
        <v>11464.0270607246</v>
      </c>
      <c r="DM112" s="84" t="n">
        <f aca="false">CY112+$G112*(DJ112+CY112)</f>
        <v>5343.7161472</v>
      </c>
      <c r="DN112" s="84" t="n">
        <f aca="false">MIN(DH112-DK112,DM112)</f>
        <v>0</v>
      </c>
      <c r="DO112" s="84" t="n">
        <f aca="false">DM112-DN112</f>
        <v>5343.7161472</v>
      </c>
      <c r="DP112" s="84" t="n">
        <f aca="false">IF($H112=1,MIN(DH112-DK112-DN112,MAX(0,$F112/(1-$F112)*(DD112+DN112)-DE112)),0)</f>
        <v>0</v>
      </c>
      <c r="DQ112" s="84" t="n">
        <f aca="false">DH112-DK112-DN112-DP112</f>
        <v>0</v>
      </c>
      <c r="DR112" s="84" t="n">
        <f aca="false">DK112+DN112+(1-$F112)*DQ112</f>
        <v>8535.9729392754</v>
      </c>
      <c r="DS112" s="84" t="n">
        <f aca="false">DP112+$F112*DQ112</f>
        <v>0</v>
      </c>
      <c r="DT112" s="84" t="n">
        <f aca="false">DD112+DN112+(1-$F112)*DQ112</f>
        <v>0</v>
      </c>
      <c r="DU112" s="84" t="n">
        <f aca="false">DE112+DS112</f>
        <v>0</v>
      </c>
      <c r="DV112" s="133" t="n">
        <f aca="false">DI112+$D112*Inputs!$H$13-$D112*$E112</f>
        <v>33873.8917571016</v>
      </c>
      <c r="DW112" s="84" t="n">
        <f aca="false">DV112*(1+$I112)</f>
        <v>43697.3203666611</v>
      </c>
      <c r="DX112" s="133" t="n">
        <f aca="false">DW112*Inputs!$H$14</f>
        <v>8739.46407333221</v>
      </c>
      <c r="DY112" s="84" t="n">
        <f aca="false">DW112-DX112</f>
        <v>34957.8562933289</v>
      </c>
      <c r="DZ112" s="133" t="n">
        <f aca="false">DL112+$D112*Inputs!$H$13</f>
        <v>11464.0270607246</v>
      </c>
      <c r="EA112" s="84" t="n">
        <f aca="false">MIN(DX112,DZ112)</f>
        <v>8739.46407333221</v>
      </c>
      <c r="EB112" s="84" t="n">
        <f aca="false">DZ112-EA112</f>
        <v>2724.56298739238</v>
      </c>
      <c r="EC112" s="84" t="n">
        <f aca="false">DO112+$G112*(DZ112+DO112)</f>
        <v>6688.33560383397</v>
      </c>
      <c r="ED112" s="84" t="n">
        <f aca="false">MIN(DX112-EA112,EC112)</f>
        <v>0</v>
      </c>
      <c r="EE112" s="84" t="n">
        <f aca="false">EC112-ED112</f>
        <v>6688.33560383397</v>
      </c>
      <c r="EF112" s="84" t="n">
        <f aca="false">IF($H112=1,MIN(DX112-EA112-ED112,MAX(0,$F112/(1-$F112)*(DT112+ED112)-DU112)),0)</f>
        <v>0</v>
      </c>
      <c r="EG112" s="84" t="n">
        <f aca="false">DX112-EA112-ED112-EF112</f>
        <v>0</v>
      </c>
      <c r="EH112" s="84" t="n">
        <f aca="false">EA112+ED112+(1-$F112)*EG112</f>
        <v>8739.46407333221</v>
      </c>
      <c r="EI112" s="84" t="n">
        <f aca="false">EF112+$F112*EG112</f>
        <v>0</v>
      </c>
      <c r="EJ112" s="84" t="n">
        <f aca="false">DT112+ED112+(1-$F112)*EG112</f>
        <v>0</v>
      </c>
      <c r="EK112" s="84" t="n">
        <f aca="false">DU112+EI112</f>
        <v>0</v>
      </c>
      <c r="EL112" s="133" t="n">
        <f aca="false">DY112+$D112*Inputs!$I$13-$D112*$E112</f>
        <v>34687.8562933289</v>
      </c>
      <c r="EM112" s="84" t="n">
        <f aca="false">EL112*(1+$I112)</f>
        <v>44747.3346183942</v>
      </c>
      <c r="EN112" s="133" t="n">
        <f aca="false">EM112*Inputs!$I$14</f>
        <v>8949.46692367885</v>
      </c>
      <c r="EO112" s="84" t="n">
        <f aca="false">EM112-EN112</f>
        <v>35797.8676947154</v>
      </c>
      <c r="EP112" s="133" t="n">
        <f aca="false">EB112+$D112*Inputs!$I$13</f>
        <v>2724.56298739238</v>
      </c>
      <c r="EQ112" s="84" t="n">
        <f aca="false">MIN(EN112,EP112)</f>
        <v>2724.56298739238</v>
      </c>
      <c r="ER112" s="84" t="n">
        <f aca="false">EP112-EQ112</f>
        <v>0</v>
      </c>
      <c r="ES112" s="84" t="n">
        <f aca="false">EE112+$G112*(EP112+EE112)</f>
        <v>7441.36749113208</v>
      </c>
      <c r="ET112" s="84" t="n">
        <f aca="false">MIN(EN112-EQ112,ES112)</f>
        <v>6224.90393628646</v>
      </c>
      <c r="EU112" s="84" t="n">
        <f aca="false">ES112-ET112</f>
        <v>1216.46355484562</v>
      </c>
      <c r="EV112" s="84" t="n">
        <f aca="false">IF($H112=1,MIN(EN112-EQ112-ET112,MAX(0,$F112/(1-$F112)*(EJ112+ET112)-EK112)),0)</f>
        <v>0</v>
      </c>
      <c r="EW112" s="84" t="n">
        <f aca="false">EN112-EQ112-ET112-EV112</f>
        <v>0</v>
      </c>
      <c r="EX112" s="84" t="n">
        <f aca="false">EQ112+ET112+(1-$F112)*EW112</f>
        <v>8949.46692367885</v>
      </c>
      <c r="EY112" s="84" t="n">
        <f aca="false">EV112+$F112*EW112</f>
        <v>0</v>
      </c>
      <c r="EZ112" s="84" t="n">
        <f aca="false">EJ112+ET112+(1-$F112)*EW112</f>
        <v>6224.90393628646</v>
      </c>
      <c r="FA112" s="84" t="n">
        <f aca="false">EK112+EY112</f>
        <v>0</v>
      </c>
      <c r="FB112" s="133" t="n">
        <f aca="false">EO112+$D112*Inputs!$J$13-$D112*$E112</f>
        <v>35527.8676947154</v>
      </c>
      <c r="FC112" s="84" t="n">
        <f aca="false">FB112*(1+$I112)</f>
        <v>45830.9493261828</v>
      </c>
      <c r="FD112" s="133" t="n">
        <f aca="false">FC112*Inputs!$J$14</f>
        <v>9166.18986523657</v>
      </c>
      <c r="FE112" s="84" t="n">
        <f aca="false">FC112-FD112</f>
        <v>36664.7594609463</v>
      </c>
      <c r="FF112" s="133" t="n">
        <f aca="false">ER112+$D112*Inputs!$J$13</f>
        <v>0</v>
      </c>
      <c r="FG112" s="84" t="n">
        <f aca="false">MIN(FD112,FF112)</f>
        <v>0</v>
      </c>
      <c r="FH112" s="84" t="n">
        <f aca="false">FF112-FG112</f>
        <v>0</v>
      </c>
      <c r="FI112" s="84" t="n">
        <f aca="false">EU112+$G112*(FF112+EU112)</f>
        <v>1313.78063923326</v>
      </c>
      <c r="FJ112" s="84" t="n">
        <f aca="false">MIN(FD112-FG112,FI112)</f>
        <v>1313.78063923326</v>
      </c>
      <c r="FK112" s="84" t="n">
        <f aca="false">FI112-FJ112</f>
        <v>0</v>
      </c>
      <c r="FL112" s="84" t="n">
        <f aca="false">IF($H112=1,MIN(FD112-FG112-FJ112,MAX(0,$F112/(1-$F112)*(EZ112+FJ112)-FA112)),0)</f>
        <v>0</v>
      </c>
      <c r="FM112" s="84" t="n">
        <f aca="false">FD112-FG112-FJ112-FL112</f>
        <v>7852.40922600331</v>
      </c>
      <c r="FN112" s="84" t="n">
        <f aca="false">FG112+FJ112+(1-$F112)*FM112</f>
        <v>7595.70802003591</v>
      </c>
      <c r="FO112" s="84" t="n">
        <f aca="false">FL112+$F112*FM112</f>
        <v>1570.48184520066</v>
      </c>
      <c r="FP112" s="84" t="n">
        <f aca="false">EZ112+FJ112+(1-$F112)*FM112</f>
        <v>13820.6119563224</v>
      </c>
      <c r="FQ112" s="84" t="n">
        <f aca="false">FA112+FO112</f>
        <v>1570.48184520066</v>
      </c>
      <c r="FR112" s="133" t="n">
        <f aca="false">FE112+$D112*Inputs!$K$13-$D112*$E112</f>
        <v>36394.7594609463</v>
      </c>
      <c r="FS112" s="84" t="n">
        <f aca="false">FR112*(1+$I112)</f>
        <v>46949.2397046207</v>
      </c>
      <c r="FT112" s="133" t="n">
        <f aca="false">FS112*Inputs!$K$14</f>
        <v>9389.84794092414</v>
      </c>
      <c r="FU112" s="84" t="n">
        <f aca="false">FS112-FT112</f>
        <v>37559.3917636966</v>
      </c>
      <c r="FV112" s="133" t="n">
        <f aca="false">FH112+$D112*Inputs!$K$13</f>
        <v>0</v>
      </c>
      <c r="FW112" s="84" t="n">
        <f aca="false">MIN(FT112,FV112)</f>
        <v>0</v>
      </c>
      <c r="FX112" s="84" t="n">
        <f aca="false">FV112-FW112</f>
        <v>0</v>
      </c>
      <c r="FY112" s="84" t="n">
        <f aca="false">FK112+$G112*(FV112+FK112)</f>
        <v>0</v>
      </c>
      <c r="FZ112" s="84" t="n">
        <f aca="false">MIN(FT112-FW112,FY112)</f>
        <v>0</v>
      </c>
      <c r="GA112" s="84" t="n">
        <f aca="false">FY112-FZ112</f>
        <v>0</v>
      </c>
      <c r="GB112" s="84" t="n">
        <f aca="false">IF($H112=1,MIN(FT112-FW112-FZ112,MAX(0,$F112/(1-$F112)*(FP112+FZ112)-FQ112)),0)</f>
        <v>0</v>
      </c>
      <c r="GC112" s="84" t="n">
        <f aca="false">FT112-FW112-FZ112-GB112</f>
        <v>9389.84794092414</v>
      </c>
      <c r="GD112" s="84" t="n">
        <f aca="false">FW112+FZ112+(1-$F112)*GC112</f>
        <v>7511.87835273931</v>
      </c>
      <c r="GE112" s="84" t="n">
        <f aca="false">GB112+$F112*GC112</f>
        <v>1877.96958818483</v>
      </c>
      <c r="GF112" s="84" t="n">
        <f aca="false">FP112+FZ112+(1-$F112)*GC112</f>
        <v>21332.4903090617</v>
      </c>
      <c r="GG112" s="84" t="n">
        <f aca="false">FQ112+GE112</f>
        <v>3448.45143338549</v>
      </c>
      <c r="GH112" s="133" t="n">
        <f aca="false">FU112+$D112*Inputs!$L$13-$D112*$E112</f>
        <v>37289.3917636966</v>
      </c>
      <c r="GI112" s="84" t="n">
        <f aca="false">GH112*(1+$I112)</f>
        <v>48103.3153751685</v>
      </c>
      <c r="GJ112" s="133" t="n">
        <f aca="false">GI112*Inputs!$L$14</f>
        <v>48103.3153751685</v>
      </c>
      <c r="GK112" s="84" t="n">
        <f aca="false">GI112-GJ112</f>
        <v>0</v>
      </c>
      <c r="GL112" s="133" t="n">
        <f aca="false">FX112+$D112*Inputs!$L$13</f>
        <v>0</v>
      </c>
      <c r="GM112" s="84" t="n">
        <f aca="false">MIN(GJ112,GL112)</f>
        <v>0</v>
      </c>
      <c r="GN112" s="84" t="n">
        <f aca="false">GL112-GM112</f>
        <v>0</v>
      </c>
      <c r="GO112" s="84" t="n">
        <f aca="false">GA112+$G112*(GL112+GA112)</f>
        <v>0</v>
      </c>
      <c r="GP112" s="84" t="n">
        <f aca="false">MIN(GJ112-GM112,GO112)</f>
        <v>0</v>
      </c>
      <c r="GQ112" s="84" t="n">
        <f aca="false">GO112-GP112</f>
        <v>0</v>
      </c>
      <c r="GR112" s="84" t="n">
        <f aca="false">IF($H112=1,MIN(GJ112-GM112-GP112,MAX(0,$F112/(1-$F112)*(GF112+GP112)-GG112)),0)</f>
        <v>0</v>
      </c>
      <c r="GS112" s="84" t="n">
        <f aca="false">GJ112-GM112-GP112-GR112</f>
        <v>48103.3153751685</v>
      </c>
      <c r="GT112" s="84" t="n">
        <f aca="false">GM112+GP112+(1-$F112)*GS112</f>
        <v>38482.6523001348</v>
      </c>
      <c r="GU112" s="84" t="n">
        <f aca="false">GR112+$F112*GS112</f>
        <v>9620.66307503371</v>
      </c>
      <c r="GV112" s="84" t="n">
        <f aca="false">GF112+GP112+(1-$F112)*GS112</f>
        <v>59815.1426091965</v>
      </c>
      <c r="GW112" s="84" t="n">
        <f aca="false">GG112+GU112</f>
        <v>13069.1145084192</v>
      </c>
    </row>
    <row r="113" customFormat="false" ht="15" hidden="false" customHeight="false" outlineLevel="0" collapsed="false">
      <c r="A113" s="5" t="s">
        <v>639</v>
      </c>
      <c r="B113" s="5" t="s">
        <v>427</v>
      </c>
      <c r="C113" s="135" t="n">
        <v>30</v>
      </c>
      <c r="D113" s="47" t="n">
        <f aca="false">Inputs!$C$6</f>
        <v>20000</v>
      </c>
      <c r="E113" s="35" t="n">
        <f aca="false">Inputs!$C$19</f>
        <v>0.0135</v>
      </c>
      <c r="F113" s="36" t="n">
        <f aca="false">Inputs!$C$20</f>
        <v>0.2</v>
      </c>
      <c r="G113" s="36" t="n">
        <f aca="false">Inputs!$C$22</f>
        <v>0.08</v>
      </c>
      <c r="H113" s="27" t="n">
        <v>0</v>
      </c>
      <c r="I113" s="132" t="n">
        <f aca="false">Inputs!$C$38+$C113*Inputs!$C$39</f>
        <v>0.3</v>
      </c>
      <c r="J113" s="36" t="n">
        <f aca="false">Inputs!$C$9</f>
        <v>0.15</v>
      </c>
      <c r="K113" s="89" t="n">
        <f aca="false">IRR(W113:AG113,0.1)</f>
        <v>0.25832909226454</v>
      </c>
      <c r="L113" s="45" t="n">
        <f aca="false">W113+NPV($J113,X113:AG113)</f>
        <v>11342.3727095121</v>
      </c>
      <c r="M113" s="45" t="n">
        <f aca="false">SUM(BF113,BV113,CL113,DB113,DR113,EH113,EX113,FN113,GD113,GT113)</f>
        <v>84054.6069838954</v>
      </c>
      <c r="N113" s="43" t="n">
        <f aca="false">IF($D113*SUM(Inputs!$C$13:$L$13)=0,0,M113/($D113*SUM(Inputs!$C$13:$L$13)))</f>
        <v>4.20273034919477</v>
      </c>
      <c r="O113" s="42" t="n">
        <f aca="false">$D113*$E113*COLUMNS(Inputs!$C$13:$L$13)</f>
        <v>2700</v>
      </c>
      <c r="P113" s="45" t="n">
        <f aca="false">SUM(BG113,BW113,CM113,DC113,DS113,EI113,EY113,FO113,GE113,GU113)</f>
        <v>14164.9776968536</v>
      </c>
      <c r="Q113" s="42" t="n">
        <f aca="false">PV($J113,COLUMNS(Inputs!$C$13:$L$13),-$D113*$E113,0,1)</f>
        <v>1558.32765832774</v>
      </c>
      <c r="R113" s="45" t="n">
        <f aca="false">NPV($J113,BG113,BW113,CM113,DC113,DS113,EI113,EY113,FO113,GE113,GU113)</f>
        <v>3725.33132884512</v>
      </c>
      <c r="S113" s="45" t="n">
        <f aca="false">Q113+R113</f>
        <v>5283.65898717286</v>
      </c>
      <c r="T113" s="32" t="n">
        <f aca="false">IF(S113=0,0,Q113/S113)</f>
        <v>0.294933428162357</v>
      </c>
      <c r="U113" s="45" t="n">
        <f aca="false">ROUND(ABS(GK113)+ABS(SUM(AV113,BL113,CB113,CR113,DH113,DX113,EN113,FD113,FT113,GJ113)-M113-P113)+ABS(S113-(AH113+NPV($J113,AI113:AR113))),6)</f>
        <v>0</v>
      </c>
      <c r="W113" s="133" t="n">
        <f aca="false">-$D113*Inputs!$C$13</f>
        <v>-4000</v>
      </c>
      <c r="X113" s="133" t="n">
        <f aca="false">BF113-$D113*Inputs!$D$13</f>
        <v>-4000</v>
      </c>
      <c r="Y113" s="133" t="n">
        <f aca="false">BV113-$D113*Inputs!$E$13</f>
        <v>-4000</v>
      </c>
      <c r="Z113" s="133" t="n">
        <f aca="false">CL113-$D113*Inputs!$F$13</f>
        <v>-4000</v>
      </c>
      <c r="AA113" s="133" t="n">
        <f aca="false">DB113-$D113*Inputs!$G$13</f>
        <v>-4000</v>
      </c>
      <c r="AB113" s="133" t="n">
        <f aca="false">DR113-$D113*Inputs!$H$13</f>
        <v>8769.99838</v>
      </c>
      <c r="AC113" s="133" t="n">
        <f aca="false">EH113-$D113*Inputs!$I$13</f>
        <v>9050.5983152</v>
      </c>
      <c r="AD113" s="133" t="n">
        <f aca="false">EX113-$D113*Inputs!$J$13</f>
        <v>9342.422247808</v>
      </c>
      <c r="AE113" s="133" t="n">
        <f aca="false">FN113-$D113*Inputs!$K$13</f>
        <v>7763.07076087088</v>
      </c>
      <c r="AF113" s="133" t="n">
        <f aca="false">GD113-$D113*Inputs!$L$13</f>
        <v>7969.24472258331</v>
      </c>
      <c r="AG113" s="84" t="n">
        <f aca="false">GT113</f>
        <v>41159.2725574332</v>
      </c>
      <c r="AH113" s="84" t="n">
        <f aca="false">$D113*$E113</f>
        <v>270</v>
      </c>
      <c r="AI113" s="84" t="n">
        <f aca="false">BG113+$D113*$E113</f>
        <v>270</v>
      </c>
      <c r="AJ113" s="84" t="n">
        <f aca="false">BW113+$D113*$E113</f>
        <v>270</v>
      </c>
      <c r="AK113" s="84" t="n">
        <f aca="false">CM113+$D113*$E113</f>
        <v>270</v>
      </c>
      <c r="AL113" s="84" t="n">
        <f aca="false">DC113+$D113*$E113</f>
        <v>270</v>
      </c>
      <c r="AM113" s="84" t="n">
        <f aca="false">DS113+$D113*$E113</f>
        <v>270</v>
      </c>
      <c r="AN113" s="84" t="n">
        <f aca="false">EI113+$D113*$E113</f>
        <v>270</v>
      </c>
      <c r="AO113" s="84" t="n">
        <f aca="false">EY113+$D113*$E113</f>
        <v>270</v>
      </c>
      <c r="AP113" s="84" t="n">
        <f aca="false">FO113+$D113*$E113</f>
        <v>2152.84837684944</v>
      </c>
      <c r="AQ113" s="84" t="n">
        <f aca="false">GE113+$D113*$E113</f>
        <v>2262.31118064583</v>
      </c>
      <c r="AR113" s="84" t="n">
        <f aca="false">GU113</f>
        <v>10289.8181393583</v>
      </c>
      <c r="AT113" s="133" t="n">
        <f aca="false">$D113*Inputs!$C$13-$D113*$E113</f>
        <v>3730</v>
      </c>
      <c r="AU113" s="84" t="n">
        <f aca="false">AT113*(1+$I113)</f>
        <v>4849</v>
      </c>
      <c r="AV113" s="133" t="n">
        <f aca="false">AU113*Inputs!$C$14</f>
        <v>0</v>
      </c>
      <c r="AW113" s="84" t="n">
        <f aca="false">AU113-AV113</f>
        <v>4849</v>
      </c>
      <c r="AX113" s="133" t="n">
        <f aca="false">$D113*Inputs!$C$13</f>
        <v>4000</v>
      </c>
      <c r="AY113" s="84" t="n">
        <f aca="false">MIN(AV113,AX113)</f>
        <v>0</v>
      </c>
      <c r="AZ113" s="84" t="n">
        <f aca="false">AX113-AY113</f>
        <v>4000</v>
      </c>
      <c r="BA113" s="84" t="n">
        <f aca="false">$G113*AX113</f>
        <v>320</v>
      </c>
      <c r="BB113" s="84" t="n">
        <f aca="false">MIN(AV113-AY113,BA113)</f>
        <v>0</v>
      </c>
      <c r="BC113" s="84" t="n">
        <f aca="false">BA113-BB113</f>
        <v>320</v>
      </c>
      <c r="BD113" s="84" t="n">
        <f aca="false">IF($H113=1,MIN(AV113-AY113-BB113,MAX(0,$F113/(1-$F113)*BB113)),0)</f>
        <v>0</v>
      </c>
      <c r="BE113" s="84" t="n">
        <f aca="false">AV113-AY113-BB113-BD113</f>
        <v>0</v>
      </c>
      <c r="BF113" s="84" t="n">
        <f aca="false">AY113+BB113+(1-$F113)*BE113</f>
        <v>0</v>
      </c>
      <c r="BG113" s="84" t="n">
        <f aca="false">BD113+$F113*BE113</f>
        <v>0</v>
      </c>
      <c r="BH113" s="84" t="n">
        <f aca="false">BB113+(1-$F113)*BE113</f>
        <v>0</v>
      </c>
      <c r="BI113" s="84" t="n">
        <f aca="false">BG113</f>
        <v>0</v>
      </c>
      <c r="BJ113" s="133" t="n">
        <f aca="false">AW113+$D113*Inputs!$D$13-$D113*$E113</f>
        <v>8579</v>
      </c>
      <c r="BK113" s="84" t="n">
        <f aca="false">BJ113*(1+$I113)</f>
        <v>11152.7</v>
      </c>
      <c r="BL113" s="133" t="n">
        <f aca="false">BK113*Inputs!$D$14</f>
        <v>0</v>
      </c>
      <c r="BM113" s="84" t="n">
        <f aca="false">BK113-BL113</f>
        <v>11152.7</v>
      </c>
      <c r="BN113" s="133" t="n">
        <f aca="false">AZ113+$D113*Inputs!$D$13</f>
        <v>8000</v>
      </c>
      <c r="BO113" s="84" t="n">
        <f aca="false">MIN(BL113,BN113)</f>
        <v>0</v>
      </c>
      <c r="BP113" s="84" t="n">
        <f aca="false">BN113-BO113</f>
        <v>8000</v>
      </c>
      <c r="BQ113" s="84" t="n">
        <f aca="false">BC113+$G113*(BN113+BC113)</f>
        <v>985.6</v>
      </c>
      <c r="BR113" s="84" t="n">
        <f aca="false">MIN(BL113-BO113,BQ113)</f>
        <v>0</v>
      </c>
      <c r="BS113" s="84" t="n">
        <f aca="false">BQ113-BR113</f>
        <v>985.6</v>
      </c>
      <c r="BT113" s="84" t="n">
        <f aca="false">IF($H113=1,MIN(BL113-BO113-BR113,MAX(0,$F113/(1-$F113)*(BH113+BR113)-BI113)),0)</f>
        <v>0</v>
      </c>
      <c r="BU113" s="84" t="n">
        <f aca="false">BL113-BO113-BR113-BT113</f>
        <v>0</v>
      </c>
      <c r="BV113" s="84" t="n">
        <f aca="false">BO113+BR113+(1-$F113)*BU113</f>
        <v>0</v>
      </c>
      <c r="BW113" s="84" t="n">
        <f aca="false">BT113+$F113*BU113</f>
        <v>0</v>
      </c>
      <c r="BX113" s="84" t="n">
        <f aca="false">BH113+BR113+(1-$F113)*BU113</f>
        <v>0</v>
      </c>
      <c r="BY113" s="84" t="n">
        <f aca="false">BI113+BW113</f>
        <v>0</v>
      </c>
      <c r="BZ113" s="133" t="n">
        <f aca="false">BM113+$D113*Inputs!$E$13-$D113*$E113</f>
        <v>14882.7</v>
      </c>
      <c r="CA113" s="84" t="n">
        <f aca="false">BZ113*(1+$I113)</f>
        <v>19347.51</v>
      </c>
      <c r="CB113" s="133" t="n">
        <f aca="false">CA113*Inputs!$E$14</f>
        <v>0</v>
      </c>
      <c r="CC113" s="84" t="n">
        <f aca="false">CA113-CB113</f>
        <v>19347.51</v>
      </c>
      <c r="CD113" s="133" t="n">
        <f aca="false">BP113+$D113*Inputs!$E$13</f>
        <v>12000</v>
      </c>
      <c r="CE113" s="84" t="n">
        <f aca="false">MIN(CB113,CD113)</f>
        <v>0</v>
      </c>
      <c r="CF113" s="84" t="n">
        <f aca="false">CD113-CE113</f>
        <v>12000</v>
      </c>
      <c r="CG113" s="84" t="n">
        <f aca="false">BS113+$G113*(CD113+BS113)</f>
        <v>2024.448</v>
      </c>
      <c r="CH113" s="84" t="n">
        <f aca="false">MIN(CB113-CE113,CG113)</f>
        <v>0</v>
      </c>
      <c r="CI113" s="84" t="n">
        <f aca="false">CG113-CH113</f>
        <v>2024.448</v>
      </c>
      <c r="CJ113" s="84" t="n">
        <f aca="false">IF($H113=1,MIN(CB113-CE113-CH113,MAX(0,$F113/(1-$F113)*(BX113+CH113)-BY113)),0)</f>
        <v>0</v>
      </c>
      <c r="CK113" s="84" t="n">
        <f aca="false">CB113-CE113-CH113-CJ113</f>
        <v>0</v>
      </c>
      <c r="CL113" s="84" t="n">
        <f aca="false">CE113+CH113+(1-$F113)*CK113</f>
        <v>0</v>
      </c>
      <c r="CM113" s="84" t="n">
        <f aca="false">CJ113+$F113*CK113</f>
        <v>0</v>
      </c>
      <c r="CN113" s="84" t="n">
        <f aca="false">BX113+CH113+(1-$F113)*CK113</f>
        <v>0</v>
      </c>
      <c r="CO113" s="84" t="n">
        <f aca="false">BY113+CM113</f>
        <v>0</v>
      </c>
      <c r="CP113" s="133" t="n">
        <f aca="false">CC113+$D113*Inputs!$F$13-$D113*$E113</f>
        <v>23077.51</v>
      </c>
      <c r="CQ113" s="84" t="n">
        <f aca="false">CP113*(1+$I113)</f>
        <v>30000.763</v>
      </c>
      <c r="CR113" s="133" t="n">
        <f aca="false">CQ113*Inputs!$F$14</f>
        <v>0</v>
      </c>
      <c r="CS113" s="84" t="n">
        <f aca="false">CQ113-CR113</f>
        <v>30000.763</v>
      </c>
      <c r="CT113" s="133" t="n">
        <f aca="false">CF113+$D113*Inputs!$F$13</f>
        <v>16000</v>
      </c>
      <c r="CU113" s="84" t="n">
        <f aca="false">MIN(CR113,CT113)</f>
        <v>0</v>
      </c>
      <c r="CV113" s="84" t="n">
        <f aca="false">CT113-CU113</f>
        <v>16000</v>
      </c>
      <c r="CW113" s="84" t="n">
        <f aca="false">CI113+$G113*(CT113+CI113)</f>
        <v>3466.40384</v>
      </c>
      <c r="CX113" s="84" t="n">
        <f aca="false">MIN(CR113-CU113,CW113)</f>
        <v>0</v>
      </c>
      <c r="CY113" s="84" t="n">
        <f aca="false">CW113-CX113</f>
        <v>3466.40384</v>
      </c>
      <c r="CZ113" s="84" t="n">
        <f aca="false">IF($H113=1,MIN(CR113-CU113-CX113,MAX(0,$F113/(1-$F113)*(CN113+CX113)-CO113)),0)</f>
        <v>0</v>
      </c>
      <c r="DA113" s="84" t="n">
        <f aca="false">CR113-CU113-CX113-CZ113</f>
        <v>0</v>
      </c>
      <c r="DB113" s="84" t="n">
        <f aca="false">CU113+CX113+(1-$F113)*DA113</f>
        <v>0</v>
      </c>
      <c r="DC113" s="84" t="n">
        <f aca="false">CZ113+$F113*DA113</f>
        <v>0</v>
      </c>
      <c r="DD113" s="84" t="n">
        <f aca="false">CN113+CX113+(1-$F113)*DA113</f>
        <v>0</v>
      </c>
      <c r="DE113" s="84" t="n">
        <f aca="false">CO113+DC113</f>
        <v>0</v>
      </c>
      <c r="DF113" s="133" t="n">
        <f aca="false">CS113+$D113*Inputs!$G$13-$D113*$E113</f>
        <v>33730.763</v>
      </c>
      <c r="DG113" s="84" t="n">
        <f aca="false">DF113*(1+$I113)</f>
        <v>43849.9919</v>
      </c>
      <c r="DH113" s="133" t="n">
        <f aca="false">DG113*Inputs!$G$14</f>
        <v>8769.99838</v>
      </c>
      <c r="DI113" s="84" t="n">
        <f aca="false">DG113-DH113</f>
        <v>35079.99352</v>
      </c>
      <c r="DJ113" s="133" t="n">
        <f aca="false">CV113+$D113*Inputs!$G$13</f>
        <v>20000</v>
      </c>
      <c r="DK113" s="84" t="n">
        <f aca="false">MIN(DH113,DJ113)</f>
        <v>8769.99838</v>
      </c>
      <c r="DL113" s="84" t="n">
        <f aca="false">DJ113-DK113</f>
        <v>11230.00162</v>
      </c>
      <c r="DM113" s="84" t="n">
        <f aca="false">CY113+$G113*(DJ113+CY113)</f>
        <v>5343.7161472</v>
      </c>
      <c r="DN113" s="84" t="n">
        <f aca="false">MIN(DH113-DK113,DM113)</f>
        <v>0</v>
      </c>
      <c r="DO113" s="84" t="n">
        <f aca="false">DM113-DN113</f>
        <v>5343.7161472</v>
      </c>
      <c r="DP113" s="84" t="n">
        <f aca="false">IF($H113=1,MIN(DH113-DK113-DN113,MAX(0,$F113/(1-$F113)*(DD113+DN113)-DE113)),0)</f>
        <v>0</v>
      </c>
      <c r="DQ113" s="84" t="n">
        <f aca="false">DH113-DK113-DN113-DP113</f>
        <v>0</v>
      </c>
      <c r="DR113" s="84" t="n">
        <f aca="false">DK113+DN113+(1-$F113)*DQ113</f>
        <v>8769.99838</v>
      </c>
      <c r="DS113" s="84" t="n">
        <f aca="false">DP113+$F113*DQ113</f>
        <v>0</v>
      </c>
      <c r="DT113" s="84" t="n">
        <f aca="false">DD113+DN113+(1-$F113)*DQ113</f>
        <v>0</v>
      </c>
      <c r="DU113" s="84" t="n">
        <f aca="false">DE113+DS113</f>
        <v>0</v>
      </c>
      <c r="DV113" s="133" t="n">
        <f aca="false">DI113+$D113*Inputs!$H$13-$D113*$E113</f>
        <v>34809.99352</v>
      </c>
      <c r="DW113" s="84" t="n">
        <f aca="false">DV113*(1+$I113)</f>
        <v>45252.991576</v>
      </c>
      <c r="DX113" s="133" t="n">
        <f aca="false">DW113*Inputs!$H$14</f>
        <v>9050.5983152</v>
      </c>
      <c r="DY113" s="84" t="n">
        <f aca="false">DW113-DX113</f>
        <v>36202.3932608</v>
      </c>
      <c r="DZ113" s="133" t="n">
        <f aca="false">DL113+$D113*Inputs!$H$13</f>
        <v>11230.00162</v>
      </c>
      <c r="EA113" s="84" t="n">
        <f aca="false">MIN(DX113,DZ113)</f>
        <v>9050.5983152</v>
      </c>
      <c r="EB113" s="84" t="n">
        <f aca="false">DZ113-EA113</f>
        <v>2179.40330479999</v>
      </c>
      <c r="EC113" s="84" t="n">
        <f aca="false">DO113+$G113*(DZ113+DO113)</f>
        <v>6669.613568576</v>
      </c>
      <c r="ED113" s="84" t="n">
        <f aca="false">MIN(DX113-EA113,EC113)</f>
        <v>0</v>
      </c>
      <c r="EE113" s="84" t="n">
        <f aca="false">EC113-ED113</f>
        <v>6669.613568576</v>
      </c>
      <c r="EF113" s="84" t="n">
        <f aca="false">IF($H113=1,MIN(DX113-EA113-ED113,MAX(0,$F113/(1-$F113)*(DT113+ED113)-DU113)),0)</f>
        <v>0</v>
      </c>
      <c r="EG113" s="84" t="n">
        <f aca="false">DX113-EA113-ED113-EF113</f>
        <v>0</v>
      </c>
      <c r="EH113" s="84" t="n">
        <f aca="false">EA113+ED113+(1-$F113)*EG113</f>
        <v>9050.5983152</v>
      </c>
      <c r="EI113" s="84" t="n">
        <f aca="false">EF113+$F113*EG113</f>
        <v>0</v>
      </c>
      <c r="EJ113" s="84" t="n">
        <f aca="false">DT113+ED113+(1-$F113)*EG113</f>
        <v>0</v>
      </c>
      <c r="EK113" s="84" t="n">
        <f aca="false">DU113+EI113</f>
        <v>0</v>
      </c>
      <c r="EL113" s="133" t="n">
        <f aca="false">DY113+$D113*Inputs!$I$13-$D113*$E113</f>
        <v>35932.3932608</v>
      </c>
      <c r="EM113" s="84" t="n">
        <f aca="false">EL113*(1+$I113)</f>
        <v>46712.11123904</v>
      </c>
      <c r="EN113" s="133" t="n">
        <f aca="false">EM113*Inputs!$I$14</f>
        <v>9342.422247808</v>
      </c>
      <c r="EO113" s="84" t="n">
        <f aca="false">EM113-EN113</f>
        <v>37369.688991232</v>
      </c>
      <c r="EP113" s="133" t="n">
        <f aca="false">EB113+$D113*Inputs!$I$13</f>
        <v>2179.40330479999</v>
      </c>
      <c r="EQ113" s="84" t="n">
        <f aca="false">MIN(EN113,EP113)</f>
        <v>2179.40330479999</v>
      </c>
      <c r="ER113" s="84" t="n">
        <f aca="false">EP113-EQ113</f>
        <v>0</v>
      </c>
      <c r="ES113" s="84" t="n">
        <f aca="false">EE113+$G113*(EP113+EE113)</f>
        <v>7377.53491844608</v>
      </c>
      <c r="ET113" s="84" t="n">
        <f aca="false">MIN(EN113-EQ113,ES113)</f>
        <v>7163.01894300801</v>
      </c>
      <c r="EU113" s="84" t="n">
        <f aca="false">ES113-ET113</f>
        <v>214.515975438071</v>
      </c>
      <c r="EV113" s="84" t="n">
        <f aca="false">IF($H113=1,MIN(EN113-EQ113-ET113,MAX(0,$F113/(1-$F113)*(EJ113+ET113)-EK113)),0)</f>
        <v>0</v>
      </c>
      <c r="EW113" s="84" t="n">
        <f aca="false">EN113-EQ113-ET113-EV113</f>
        <v>0</v>
      </c>
      <c r="EX113" s="84" t="n">
        <f aca="false">EQ113+ET113+(1-$F113)*EW113</f>
        <v>9342.422247808</v>
      </c>
      <c r="EY113" s="84" t="n">
        <f aca="false">EV113+$F113*EW113</f>
        <v>0</v>
      </c>
      <c r="EZ113" s="84" t="n">
        <f aca="false">EJ113+ET113+(1-$F113)*EW113</f>
        <v>7163.01894300801</v>
      </c>
      <c r="FA113" s="84" t="n">
        <f aca="false">EK113+EY113</f>
        <v>0</v>
      </c>
      <c r="FB113" s="133" t="n">
        <f aca="false">EO113+$D113*Inputs!$J$13-$D113*$E113</f>
        <v>37099.688991232</v>
      </c>
      <c r="FC113" s="84" t="n">
        <f aca="false">FB113*(1+$I113)</f>
        <v>48229.5956886016</v>
      </c>
      <c r="FD113" s="133" t="n">
        <f aca="false">FC113*Inputs!$J$14</f>
        <v>9645.91913772032</v>
      </c>
      <c r="FE113" s="84" t="n">
        <f aca="false">FC113-FD113</f>
        <v>38583.6765508813</v>
      </c>
      <c r="FF113" s="133" t="n">
        <f aca="false">ER113+$D113*Inputs!$J$13</f>
        <v>0</v>
      </c>
      <c r="FG113" s="84" t="n">
        <f aca="false">MIN(FD113,FF113)</f>
        <v>0</v>
      </c>
      <c r="FH113" s="84" t="n">
        <f aca="false">FF113-FG113</f>
        <v>0</v>
      </c>
      <c r="FI113" s="84" t="n">
        <f aca="false">EU113+$G113*(FF113+EU113)</f>
        <v>231.677253473117</v>
      </c>
      <c r="FJ113" s="84" t="n">
        <f aca="false">MIN(FD113-FG113,FI113)</f>
        <v>231.677253473117</v>
      </c>
      <c r="FK113" s="84" t="n">
        <f aca="false">FI113-FJ113</f>
        <v>0</v>
      </c>
      <c r="FL113" s="84" t="n">
        <f aca="false">IF($H113=1,MIN(FD113-FG113-FJ113,MAX(0,$F113/(1-$F113)*(EZ113+FJ113)-FA113)),0)</f>
        <v>0</v>
      </c>
      <c r="FM113" s="84" t="n">
        <f aca="false">FD113-FG113-FJ113-FL113</f>
        <v>9414.24188424721</v>
      </c>
      <c r="FN113" s="84" t="n">
        <f aca="false">FG113+FJ113+(1-$F113)*FM113</f>
        <v>7763.07076087088</v>
      </c>
      <c r="FO113" s="84" t="n">
        <f aca="false">FL113+$F113*FM113</f>
        <v>1882.84837684944</v>
      </c>
      <c r="FP113" s="84" t="n">
        <f aca="false">EZ113+FJ113+(1-$F113)*FM113</f>
        <v>14926.0897038789</v>
      </c>
      <c r="FQ113" s="84" t="n">
        <f aca="false">FA113+FO113</f>
        <v>1882.84837684944</v>
      </c>
      <c r="FR113" s="133" t="n">
        <f aca="false">FE113+$D113*Inputs!$K$13-$D113*$E113</f>
        <v>38313.6765508813</v>
      </c>
      <c r="FS113" s="84" t="n">
        <f aca="false">FR113*(1+$I113)</f>
        <v>49807.7795161457</v>
      </c>
      <c r="FT113" s="133" t="n">
        <f aca="false">FS113*Inputs!$K$14</f>
        <v>9961.55590322914</v>
      </c>
      <c r="FU113" s="84" t="n">
        <f aca="false">FS113-FT113</f>
        <v>39846.2236129165</v>
      </c>
      <c r="FV113" s="133" t="n">
        <f aca="false">FH113+$D113*Inputs!$K$13</f>
        <v>0</v>
      </c>
      <c r="FW113" s="84" t="n">
        <f aca="false">MIN(FT113,FV113)</f>
        <v>0</v>
      </c>
      <c r="FX113" s="84" t="n">
        <f aca="false">FV113-FW113</f>
        <v>0</v>
      </c>
      <c r="FY113" s="84" t="n">
        <f aca="false">FK113+$G113*(FV113+FK113)</f>
        <v>0</v>
      </c>
      <c r="FZ113" s="84" t="n">
        <f aca="false">MIN(FT113-FW113,FY113)</f>
        <v>0</v>
      </c>
      <c r="GA113" s="84" t="n">
        <f aca="false">FY113-FZ113</f>
        <v>0</v>
      </c>
      <c r="GB113" s="84" t="n">
        <f aca="false">IF($H113=1,MIN(FT113-FW113-FZ113,MAX(0,$F113/(1-$F113)*(FP113+FZ113)-FQ113)),0)</f>
        <v>0</v>
      </c>
      <c r="GC113" s="84" t="n">
        <f aca="false">FT113-FW113-FZ113-GB113</f>
        <v>9961.55590322914</v>
      </c>
      <c r="GD113" s="84" t="n">
        <f aca="false">FW113+FZ113+(1-$F113)*GC113</f>
        <v>7969.24472258331</v>
      </c>
      <c r="GE113" s="84" t="n">
        <f aca="false">GB113+$F113*GC113</f>
        <v>1992.31118064583</v>
      </c>
      <c r="GF113" s="84" t="n">
        <f aca="false">FP113+FZ113+(1-$F113)*GC113</f>
        <v>22895.3344264622</v>
      </c>
      <c r="GG113" s="84" t="n">
        <f aca="false">FQ113+GE113</f>
        <v>3875.15955749527</v>
      </c>
      <c r="GH113" s="133" t="n">
        <f aca="false">FU113+$D113*Inputs!$L$13-$D113*$E113</f>
        <v>39576.2236129165</v>
      </c>
      <c r="GI113" s="84" t="n">
        <f aca="false">GH113*(1+$I113)</f>
        <v>51449.0906967915</v>
      </c>
      <c r="GJ113" s="133" t="n">
        <f aca="false">GI113*Inputs!$L$14</f>
        <v>51449.0906967915</v>
      </c>
      <c r="GK113" s="84" t="n">
        <f aca="false">GI113-GJ113</f>
        <v>0</v>
      </c>
      <c r="GL113" s="133" t="n">
        <f aca="false">FX113+$D113*Inputs!$L$13</f>
        <v>0</v>
      </c>
      <c r="GM113" s="84" t="n">
        <f aca="false">MIN(GJ113,GL113)</f>
        <v>0</v>
      </c>
      <c r="GN113" s="84" t="n">
        <f aca="false">GL113-GM113</f>
        <v>0</v>
      </c>
      <c r="GO113" s="84" t="n">
        <f aca="false">GA113+$G113*(GL113+GA113)</f>
        <v>0</v>
      </c>
      <c r="GP113" s="84" t="n">
        <f aca="false">MIN(GJ113-GM113,GO113)</f>
        <v>0</v>
      </c>
      <c r="GQ113" s="84" t="n">
        <f aca="false">GO113-GP113</f>
        <v>0</v>
      </c>
      <c r="GR113" s="84" t="n">
        <f aca="false">IF($H113=1,MIN(GJ113-GM113-GP113,MAX(0,$F113/(1-$F113)*(GF113+GP113)-GG113)),0)</f>
        <v>0</v>
      </c>
      <c r="GS113" s="84" t="n">
        <f aca="false">GJ113-GM113-GP113-GR113</f>
        <v>51449.0906967915</v>
      </c>
      <c r="GT113" s="84" t="n">
        <f aca="false">GM113+GP113+(1-$F113)*GS113</f>
        <v>41159.2725574332</v>
      </c>
      <c r="GU113" s="84" t="n">
        <f aca="false">GR113+$F113*GS113</f>
        <v>10289.8181393583</v>
      </c>
      <c r="GV113" s="84" t="n">
        <f aca="false">GF113+GP113+(1-$F113)*GS113</f>
        <v>64054.6069838954</v>
      </c>
      <c r="GW113" s="84" t="n">
        <f aca="false">GG113+GU113</f>
        <v>14164.9776968536</v>
      </c>
    </row>
    <row r="114" customFormat="false" ht="15" hidden="false" customHeight="false" outlineLevel="0" collapsed="false">
      <c r="A114" s="5" t="s">
        <v>640</v>
      </c>
      <c r="B114" s="5" t="s">
        <v>428</v>
      </c>
      <c r="C114" s="135" t="n">
        <v>0</v>
      </c>
      <c r="D114" s="47" t="n">
        <f aca="false">Inputs!$C$6</f>
        <v>20000</v>
      </c>
      <c r="E114" s="35" t="n">
        <f aca="false">Inputs!$C$19</f>
        <v>0.0135</v>
      </c>
      <c r="F114" s="36" t="n">
        <f aca="false">Inputs!$C$20</f>
        <v>0.2</v>
      </c>
      <c r="G114" s="36" t="n">
        <f aca="false">Inputs!$C$22</f>
        <v>0.08</v>
      </c>
      <c r="H114" s="44" t="n">
        <f aca="false">Inputs!$C$23</f>
        <v>1</v>
      </c>
      <c r="I114" s="132" t="n">
        <f aca="false">Inputs!$C$38+$C114*Inputs!$C$39</f>
        <v>0</v>
      </c>
      <c r="J114" s="36" t="n">
        <f aca="false">Inputs!$C$9</f>
        <v>0.15</v>
      </c>
      <c r="K114" s="89" t="n">
        <f aca="false">IRR(W114:AG114,0.1)</f>
        <v>-0.025625197842692</v>
      </c>
      <c r="L114" s="45" t="n">
        <f aca="false">W114+NPV($J114,X114:AG114)</f>
        <v>-9181.36217543512</v>
      </c>
      <c r="M114" s="45" t="n">
        <f aca="false">SUM(BF114,BV114,CL114,DB114,DR114,EH114,EX114,FN114,GD114,GT114)</f>
        <v>17300</v>
      </c>
      <c r="N114" s="43" t="n">
        <f aca="false">IF($D114*SUM(Inputs!$C$13:$L$13)=0,0,M114/($D114*SUM(Inputs!$C$13:$L$13)))</f>
        <v>0.865</v>
      </c>
      <c r="O114" s="42" t="n">
        <f aca="false">$D114*$E114*COLUMNS(Inputs!$C$13:$L$13)</f>
        <v>2700</v>
      </c>
      <c r="P114" s="45" t="n">
        <f aca="false">SUM(BG114,BW114,CM114,DC114,DS114,EI114,EY114,FO114,GE114,GU114)</f>
        <v>0</v>
      </c>
      <c r="Q114" s="42" t="n">
        <f aca="false">PV($J114,COLUMNS(Inputs!$C$13:$L$13),-$D114*$E114,0,1)</f>
        <v>1558.32765832774</v>
      </c>
      <c r="R114" s="45" t="n">
        <f aca="false">NPV($J114,BG114,BW114,CM114,DC114,DS114,EI114,EY114,FO114,GE114,GU114)</f>
        <v>0</v>
      </c>
      <c r="S114" s="45" t="n">
        <f aca="false">Q114+R114</f>
        <v>1558.32765832774</v>
      </c>
      <c r="T114" s="32" t="n">
        <f aca="false">IF(S114=0,0,Q114/S114)</f>
        <v>1</v>
      </c>
      <c r="U114" s="45" t="n">
        <f aca="false">ROUND(ABS(GK114)+ABS(SUM(AV114,BL114,CB114,CR114,DH114,DX114,EN114,FD114,FT114,GJ114)-M114-P114)+ABS(S114-(AH114+NPV($J114,AI114:AR114))),6)</f>
        <v>0</v>
      </c>
      <c r="W114" s="133" t="n">
        <f aca="false">-$D114*Inputs!$C$13</f>
        <v>-4000</v>
      </c>
      <c r="X114" s="133" t="n">
        <f aca="false">BF114-$D114*Inputs!$D$13</f>
        <v>-4000</v>
      </c>
      <c r="Y114" s="133" t="n">
        <f aca="false">BV114-$D114*Inputs!$E$13</f>
        <v>-4000</v>
      </c>
      <c r="Z114" s="133" t="n">
        <f aca="false">CL114-$D114*Inputs!$F$13</f>
        <v>-4000</v>
      </c>
      <c r="AA114" s="133" t="n">
        <f aca="false">DB114-$D114*Inputs!$G$13</f>
        <v>-4000</v>
      </c>
      <c r="AB114" s="133" t="n">
        <f aca="false">DR114-$D114*Inputs!$H$13</f>
        <v>3730</v>
      </c>
      <c r="AC114" s="133" t="n">
        <f aca="false">EH114-$D114*Inputs!$I$13</f>
        <v>2930</v>
      </c>
      <c r="AD114" s="133" t="n">
        <f aca="false">EX114-$D114*Inputs!$J$13</f>
        <v>2290</v>
      </c>
      <c r="AE114" s="133" t="n">
        <f aca="false">FN114-$D114*Inputs!$K$13</f>
        <v>1778</v>
      </c>
      <c r="AF114" s="133" t="n">
        <f aca="false">GD114-$D114*Inputs!$L$13</f>
        <v>1368.4</v>
      </c>
      <c r="AG114" s="84" t="n">
        <f aca="false">GT114</f>
        <v>5203.6</v>
      </c>
      <c r="AH114" s="84" t="n">
        <f aca="false">$D114*$E114</f>
        <v>270</v>
      </c>
      <c r="AI114" s="84" t="n">
        <f aca="false">BG114+$D114*$E114</f>
        <v>270</v>
      </c>
      <c r="AJ114" s="84" t="n">
        <f aca="false">BW114+$D114*$E114</f>
        <v>270</v>
      </c>
      <c r="AK114" s="84" t="n">
        <f aca="false">CM114+$D114*$E114</f>
        <v>270</v>
      </c>
      <c r="AL114" s="84" t="n">
        <f aca="false">DC114+$D114*$E114</f>
        <v>270</v>
      </c>
      <c r="AM114" s="84" t="n">
        <f aca="false">DS114+$D114*$E114</f>
        <v>270</v>
      </c>
      <c r="AN114" s="84" t="n">
        <f aca="false">EI114+$D114*$E114</f>
        <v>270</v>
      </c>
      <c r="AO114" s="84" t="n">
        <f aca="false">EY114+$D114*$E114</f>
        <v>270</v>
      </c>
      <c r="AP114" s="84" t="n">
        <f aca="false">FO114+$D114*$E114</f>
        <v>270</v>
      </c>
      <c r="AQ114" s="84" t="n">
        <f aca="false">GE114+$D114*$E114</f>
        <v>270</v>
      </c>
      <c r="AR114" s="84" t="n">
        <f aca="false">GU114</f>
        <v>0</v>
      </c>
      <c r="AT114" s="133" t="n">
        <f aca="false">$D114*Inputs!$C$13-$D114*$E114</f>
        <v>3730</v>
      </c>
      <c r="AU114" s="84" t="n">
        <f aca="false">AT114*(1+$I114)</f>
        <v>3730</v>
      </c>
      <c r="AV114" s="133" t="n">
        <f aca="false">AU114*Inputs!$C$14</f>
        <v>0</v>
      </c>
      <c r="AW114" s="84" t="n">
        <f aca="false">AU114-AV114</f>
        <v>3730</v>
      </c>
      <c r="AX114" s="133" t="n">
        <f aca="false">$D114*Inputs!$C$13</f>
        <v>4000</v>
      </c>
      <c r="AY114" s="84" t="n">
        <f aca="false">MIN(AV114,AX114)</f>
        <v>0</v>
      </c>
      <c r="AZ114" s="84" t="n">
        <f aca="false">AX114-AY114</f>
        <v>4000</v>
      </c>
      <c r="BA114" s="84" t="n">
        <f aca="false">$G114*AX114</f>
        <v>320</v>
      </c>
      <c r="BB114" s="84" t="n">
        <f aca="false">MIN(AV114-AY114,BA114)</f>
        <v>0</v>
      </c>
      <c r="BC114" s="84" t="n">
        <f aca="false">BA114-BB114</f>
        <v>320</v>
      </c>
      <c r="BD114" s="84" t="n">
        <f aca="false">IF($H114=1,MIN(AV114-AY114-BB114,MAX(0,$F114/(1-$F114)*BB114)),0)</f>
        <v>0</v>
      </c>
      <c r="BE114" s="84" t="n">
        <f aca="false">AV114-AY114-BB114-BD114</f>
        <v>0</v>
      </c>
      <c r="BF114" s="84" t="n">
        <f aca="false">AY114+BB114+(1-$F114)*BE114</f>
        <v>0</v>
      </c>
      <c r="BG114" s="84" t="n">
        <f aca="false">BD114+$F114*BE114</f>
        <v>0</v>
      </c>
      <c r="BH114" s="84" t="n">
        <f aca="false">BB114+(1-$F114)*BE114</f>
        <v>0</v>
      </c>
      <c r="BI114" s="84" t="n">
        <f aca="false">BG114</f>
        <v>0</v>
      </c>
      <c r="BJ114" s="133" t="n">
        <f aca="false">AW114+$D114*Inputs!$D$13-$D114*$E114</f>
        <v>7460</v>
      </c>
      <c r="BK114" s="84" t="n">
        <f aca="false">BJ114*(1+$I114)</f>
        <v>7460</v>
      </c>
      <c r="BL114" s="133" t="n">
        <f aca="false">BK114*Inputs!$D$14</f>
        <v>0</v>
      </c>
      <c r="BM114" s="84" t="n">
        <f aca="false">BK114-BL114</f>
        <v>7460</v>
      </c>
      <c r="BN114" s="133" t="n">
        <f aca="false">AZ114+$D114*Inputs!$D$13</f>
        <v>8000</v>
      </c>
      <c r="BO114" s="84" t="n">
        <f aca="false">MIN(BL114,BN114)</f>
        <v>0</v>
      </c>
      <c r="BP114" s="84" t="n">
        <f aca="false">BN114-BO114</f>
        <v>8000</v>
      </c>
      <c r="BQ114" s="84" t="n">
        <f aca="false">BC114+$G114*(BN114+BC114)</f>
        <v>985.6</v>
      </c>
      <c r="BR114" s="84" t="n">
        <f aca="false">MIN(BL114-BO114,BQ114)</f>
        <v>0</v>
      </c>
      <c r="BS114" s="84" t="n">
        <f aca="false">BQ114-BR114</f>
        <v>985.6</v>
      </c>
      <c r="BT114" s="84" t="n">
        <f aca="false">IF($H114=1,MIN(BL114-BO114-BR114,MAX(0,$F114/(1-$F114)*(BH114+BR114)-BI114)),0)</f>
        <v>0</v>
      </c>
      <c r="BU114" s="84" t="n">
        <f aca="false">BL114-BO114-BR114-BT114</f>
        <v>0</v>
      </c>
      <c r="BV114" s="84" t="n">
        <f aca="false">BO114+BR114+(1-$F114)*BU114</f>
        <v>0</v>
      </c>
      <c r="BW114" s="84" t="n">
        <f aca="false">BT114+$F114*BU114</f>
        <v>0</v>
      </c>
      <c r="BX114" s="84" t="n">
        <f aca="false">BH114+BR114+(1-$F114)*BU114</f>
        <v>0</v>
      </c>
      <c r="BY114" s="84" t="n">
        <f aca="false">BI114+BW114</f>
        <v>0</v>
      </c>
      <c r="BZ114" s="133" t="n">
        <f aca="false">BM114+$D114*Inputs!$E$13-$D114*$E114</f>
        <v>11190</v>
      </c>
      <c r="CA114" s="84" t="n">
        <f aca="false">BZ114*(1+$I114)</f>
        <v>11190</v>
      </c>
      <c r="CB114" s="133" t="n">
        <f aca="false">CA114*Inputs!$E$14</f>
        <v>0</v>
      </c>
      <c r="CC114" s="84" t="n">
        <f aca="false">CA114-CB114</f>
        <v>11190</v>
      </c>
      <c r="CD114" s="133" t="n">
        <f aca="false">BP114+$D114*Inputs!$E$13</f>
        <v>12000</v>
      </c>
      <c r="CE114" s="84" t="n">
        <f aca="false">MIN(CB114,CD114)</f>
        <v>0</v>
      </c>
      <c r="CF114" s="84" t="n">
        <f aca="false">CD114-CE114</f>
        <v>12000</v>
      </c>
      <c r="CG114" s="84" t="n">
        <f aca="false">BS114+$G114*(CD114+BS114)</f>
        <v>2024.448</v>
      </c>
      <c r="CH114" s="84" t="n">
        <f aca="false">MIN(CB114-CE114,CG114)</f>
        <v>0</v>
      </c>
      <c r="CI114" s="84" t="n">
        <f aca="false">CG114-CH114</f>
        <v>2024.448</v>
      </c>
      <c r="CJ114" s="84" t="n">
        <f aca="false">IF($H114=1,MIN(CB114-CE114-CH114,MAX(0,$F114/(1-$F114)*(BX114+CH114)-BY114)),0)</f>
        <v>0</v>
      </c>
      <c r="CK114" s="84" t="n">
        <f aca="false">CB114-CE114-CH114-CJ114</f>
        <v>0</v>
      </c>
      <c r="CL114" s="84" t="n">
        <f aca="false">CE114+CH114+(1-$F114)*CK114</f>
        <v>0</v>
      </c>
      <c r="CM114" s="84" t="n">
        <f aca="false">CJ114+$F114*CK114</f>
        <v>0</v>
      </c>
      <c r="CN114" s="84" t="n">
        <f aca="false">BX114+CH114+(1-$F114)*CK114</f>
        <v>0</v>
      </c>
      <c r="CO114" s="84" t="n">
        <f aca="false">BY114+CM114</f>
        <v>0</v>
      </c>
      <c r="CP114" s="133" t="n">
        <f aca="false">CC114+$D114*Inputs!$F$13-$D114*$E114</f>
        <v>14920</v>
      </c>
      <c r="CQ114" s="84" t="n">
        <f aca="false">CP114*(1+$I114)</f>
        <v>14920</v>
      </c>
      <c r="CR114" s="133" t="n">
        <f aca="false">CQ114*Inputs!$F$14</f>
        <v>0</v>
      </c>
      <c r="CS114" s="84" t="n">
        <f aca="false">CQ114-CR114</f>
        <v>14920</v>
      </c>
      <c r="CT114" s="133" t="n">
        <f aca="false">CF114+$D114*Inputs!$F$13</f>
        <v>16000</v>
      </c>
      <c r="CU114" s="84" t="n">
        <f aca="false">MIN(CR114,CT114)</f>
        <v>0</v>
      </c>
      <c r="CV114" s="84" t="n">
        <f aca="false">CT114-CU114</f>
        <v>16000</v>
      </c>
      <c r="CW114" s="84" t="n">
        <f aca="false">CI114+$G114*(CT114+CI114)</f>
        <v>3466.40384</v>
      </c>
      <c r="CX114" s="84" t="n">
        <f aca="false">MIN(CR114-CU114,CW114)</f>
        <v>0</v>
      </c>
      <c r="CY114" s="84" t="n">
        <f aca="false">CW114-CX114</f>
        <v>3466.40384</v>
      </c>
      <c r="CZ114" s="84" t="n">
        <f aca="false">IF($H114=1,MIN(CR114-CU114-CX114,MAX(0,$F114/(1-$F114)*(CN114+CX114)-CO114)),0)</f>
        <v>0</v>
      </c>
      <c r="DA114" s="84" t="n">
        <f aca="false">CR114-CU114-CX114-CZ114</f>
        <v>0</v>
      </c>
      <c r="DB114" s="84" t="n">
        <f aca="false">CU114+CX114+(1-$F114)*DA114</f>
        <v>0</v>
      </c>
      <c r="DC114" s="84" t="n">
        <f aca="false">CZ114+$F114*DA114</f>
        <v>0</v>
      </c>
      <c r="DD114" s="84" t="n">
        <f aca="false">CN114+CX114+(1-$F114)*DA114</f>
        <v>0</v>
      </c>
      <c r="DE114" s="84" t="n">
        <f aca="false">CO114+DC114</f>
        <v>0</v>
      </c>
      <c r="DF114" s="133" t="n">
        <f aca="false">CS114+$D114*Inputs!$G$13-$D114*$E114</f>
        <v>18650</v>
      </c>
      <c r="DG114" s="84" t="n">
        <f aca="false">DF114*(1+$I114)</f>
        <v>18650</v>
      </c>
      <c r="DH114" s="133" t="n">
        <f aca="false">DG114*Inputs!$G$14</f>
        <v>3730</v>
      </c>
      <c r="DI114" s="84" t="n">
        <f aca="false">DG114-DH114</f>
        <v>14920</v>
      </c>
      <c r="DJ114" s="133" t="n">
        <f aca="false">CV114+$D114*Inputs!$G$13</f>
        <v>20000</v>
      </c>
      <c r="DK114" s="84" t="n">
        <f aca="false">MIN(DH114,DJ114)</f>
        <v>3730</v>
      </c>
      <c r="DL114" s="84" t="n">
        <f aca="false">DJ114-DK114</f>
        <v>16270</v>
      </c>
      <c r="DM114" s="84" t="n">
        <f aca="false">CY114+$G114*(DJ114+CY114)</f>
        <v>5343.7161472</v>
      </c>
      <c r="DN114" s="84" t="n">
        <f aca="false">MIN(DH114-DK114,DM114)</f>
        <v>0</v>
      </c>
      <c r="DO114" s="84" t="n">
        <f aca="false">DM114-DN114</f>
        <v>5343.7161472</v>
      </c>
      <c r="DP114" s="84" t="n">
        <f aca="false">IF($H114=1,MIN(DH114-DK114-DN114,MAX(0,$F114/(1-$F114)*(DD114+DN114)-DE114)),0)</f>
        <v>0</v>
      </c>
      <c r="DQ114" s="84" t="n">
        <f aca="false">DH114-DK114-DN114-DP114</f>
        <v>0</v>
      </c>
      <c r="DR114" s="84" t="n">
        <f aca="false">DK114+DN114+(1-$F114)*DQ114</f>
        <v>3730</v>
      </c>
      <c r="DS114" s="84" t="n">
        <f aca="false">DP114+$F114*DQ114</f>
        <v>0</v>
      </c>
      <c r="DT114" s="84" t="n">
        <f aca="false">DD114+DN114+(1-$F114)*DQ114</f>
        <v>0</v>
      </c>
      <c r="DU114" s="84" t="n">
        <f aca="false">DE114+DS114</f>
        <v>0</v>
      </c>
      <c r="DV114" s="133" t="n">
        <f aca="false">DI114+$D114*Inputs!$H$13-$D114*$E114</f>
        <v>14650</v>
      </c>
      <c r="DW114" s="84" t="n">
        <f aca="false">DV114*(1+$I114)</f>
        <v>14650</v>
      </c>
      <c r="DX114" s="133" t="n">
        <f aca="false">DW114*Inputs!$H$14</f>
        <v>2930</v>
      </c>
      <c r="DY114" s="84" t="n">
        <f aca="false">DW114-DX114</f>
        <v>11720</v>
      </c>
      <c r="DZ114" s="133" t="n">
        <f aca="false">DL114+$D114*Inputs!$H$13</f>
        <v>16270</v>
      </c>
      <c r="EA114" s="84" t="n">
        <f aca="false">MIN(DX114,DZ114)</f>
        <v>2930</v>
      </c>
      <c r="EB114" s="84" t="n">
        <f aca="false">DZ114-EA114</f>
        <v>13340</v>
      </c>
      <c r="EC114" s="84" t="n">
        <f aca="false">DO114+$G114*(DZ114+DO114)</f>
        <v>7072.813438976</v>
      </c>
      <c r="ED114" s="84" t="n">
        <f aca="false">MIN(DX114-EA114,EC114)</f>
        <v>0</v>
      </c>
      <c r="EE114" s="84" t="n">
        <f aca="false">EC114-ED114</f>
        <v>7072.813438976</v>
      </c>
      <c r="EF114" s="84" t="n">
        <f aca="false">IF($H114=1,MIN(DX114-EA114-ED114,MAX(0,$F114/(1-$F114)*(DT114+ED114)-DU114)),0)</f>
        <v>0</v>
      </c>
      <c r="EG114" s="84" t="n">
        <f aca="false">DX114-EA114-ED114-EF114</f>
        <v>0</v>
      </c>
      <c r="EH114" s="84" t="n">
        <f aca="false">EA114+ED114+(1-$F114)*EG114</f>
        <v>2930</v>
      </c>
      <c r="EI114" s="84" t="n">
        <f aca="false">EF114+$F114*EG114</f>
        <v>0</v>
      </c>
      <c r="EJ114" s="84" t="n">
        <f aca="false">DT114+ED114+(1-$F114)*EG114</f>
        <v>0</v>
      </c>
      <c r="EK114" s="84" t="n">
        <f aca="false">DU114+EI114</f>
        <v>0</v>
      </c>
      <c r="EL114" s="133" t="n">
        <f aca="false">DY114+$D114*Inputs!$I$13-$D114*$E114</f>
        <v>11450</v>
      </c>
      <c r="EM114" s="84" t="n">
        <f aca="false">EL114*(1+$I114)</f>
        <v>11450</v>
      </c>
      <c r="EN114" s="133" t="n">
        <f aca="false">EM114*Inputs!$I$14</f>
        <v>2290</v>
      </c>
      <c r="EO114" s="84" t="n">
        <f aca="false">EM114-EN114</f>
        <v>9160</v>
      </c>
      <c r="EP114" s="133" t="n">
        <f aca="false">EB114+$D114*Inputs!$I$13</f>
        <v>13340</v>
      </c>
      <c r="EQ114" s="84" t="n">
        <f aca="false">MIN(EN114,EP114)</f>
        <v>2290</v>
      </c>
      <c r="ER114" s="84" t="n">
        <f aca="false">EP114-EQ114</f>
        <v>11050</v>
      </c>
      <c r="ES114" s="84" t="n">
        <f aca="false">EE114+$G114*(EP114+EE114)</f>
        <v>8705.83851409408</v>
      </c>
      <c r="ET114" s="84" t="n">
        <f aca="false">MIN(EN114-EQ114,ES114)</f>
        <v>0</v>
      </c>
      <c r="EU114" s="84" t="n">
        <f aca="false">ES114-ET114</f>
        <v>8705.83851409408</v>
      </c>
      <c r="EV114" s="84" t="n">
        <f aca="false">IF($H114=1,MIN(EN114-EQ114-ET114,MAX(0,$F114/(1-$F114)*(EJ114+ET114)-EK114)),0)</f>
        <v>0</v>
      </c>
      <c r="EW114" s="84" t="n">
        <f aca="false">EN114-EQ114-ET114-EV114</f>
        <v>0</v>
      </c>
      <c r="EX114" s="84" t="n">
        <f aca="false">EQ114+ET114+(1-$F114)*EW114</f>
        <v>2290</v>
      </c>
      <c r="EY114" s="84" t="n">
        <f aca="false">EV114+$F114*EW114</f>
        <v>0</v>
      </c>
      <c r="EZ114" s="84" t="n">
        <f aca="false">EJ114+ET114+(1-$F114)*EW114</f>
        <v>0</v>
      </c>
      <c r="FA114" s="84" t="n">
        <f aca="false">EK114+EY114</f>
        <v>0</v>
      </c>
      <c r="FB114" s="133" t="n">
        <f aca="false">EO114+$D114*Inputs!$J$13-$D114*$E114</f>
        <v>8890</v>
      </c>
      <c r="FC114" s="84" t="n">
        <f aca="false">FB114*(1+$I114)</f>
        <v>8890</v>
      </c>
      <c r="FD114" s="133" t="n">
        <f aca="false">FC114*Inputs!$J$14</f>
        <v>1778</v>
      </c>
      <c r="FE114" s="84" t="n">
        <f aca="false">FC114-FD114</f>
        <v>7112</v>
      </c>
      <c r="FF114" s="133" t="n">
        <f aca="false">ER114+$D114*Inputs!$J$13</f>
        <v>11050</v>
      </c>
      <c r="FG114" s="84" t="n">
        <f aca="false">MIN(FD114,FF114)</f>
        <v>1778</v>
      </c>
      <c r="FH114" s="84" t="n">
        <f aca="false">FF114-FG114</f>
        <v>9272</v>
      </c>
      <c r="FI114" s="84" t="n">
        <f aca="false">EU114+$G114*(FF114+EU114)</f>
        <v>10286.3055952216</v>
      </c>
      <c r="FJ114" s="84" t="n">
        <f aca="false">MIN(FD114-FG114,FI114)</f>
        <v>0</v>
      </c>
      <c r="FK114" s="84" t="n">
        <f aca="false">FI114-FJ114</f>
        <v>10286.3055952216</v>
      </c>
      <c r="FL114" s="84" t="n">
        <f aca="false">IF($H114=1,MIN(FD114-FG114-FJ114,MAX(0,$F114/(1-$F114)*(EZ114+FJ114)-FA114)),0)</f>
        <v>0</v>
      </c>
      <c r="FM114" s="84" t="n">
        <f aca="false">FD114-FG114-FJ114-FL114</f>
        <v>0</v>
      </c>
      <c r="FN114" s="84" t="n">
        <f aca="false">FG114+FJ114+(1-$F114)*FM114</f>
        <v>1778</v>
      </c>
      <c r="FO114" s="84" t="n">
        <f aca="false">FL114+$F114*FM114</f>
        <v>0</v>
      </c>
      <c r="FP114" s="84" t="n">
        <f aca="false">EZ114+FJ114+(1-$F114)*FM114</f>
        <v>0</v>
      </c>
      <c r="FQ114" s="84" t="n">
        <f aca="false">FA114+FO114</f>
        <v>0</v>
      </c>
      <c r="FR114" s="133" t="n">
        <f aca="false">FE114+$D114*Inputs!$K$13-$D114*$E114</f>
        <v>6842</v>
      </c>
      <c r="FS114" s="84" t="n">
        <f aca="false">FR114*(1+$I114)</f>
        <v>6842</v>
      </c>
      <c r="FT114" s="133" t="n">
        <f aca="false">FS114*Inputs!$K$14</f>
        <v>1368.4</v>
      </c>
      <c r="FU114" s="84" t="n">
        <f aca="false">FS114-FT114</f>
        <v>5473.6</v>
      </c>
      <c r="FV114" s="133" t="n">
        <f aca="false">FH114+$D114*Inputs!$K$13</f>
        <v>9272</v>
      </c>
      <c r="FW114" s="84" t="n">
        <f aca="false">MIN(FT114,FV114)</f>
        <v>1368.4</v>
      </c>
      <c r="FX114" s="84" t="n">
        <f aca="false">FV114-FW114</f>
        <v>7903.6</v>
      </c>
      <c r="FY114" s="84" t="n">
        <f aca="false">FK114+$G114*(FV114+FK114)</f>
        <v>11850.9700428393</v>
      </c>
      <c r="FZ114" s="84" t="n">
        <f aca="false">MIN(FT114-FW114,FY114)</f>
        <v>0</v>
      </c>
      <c r="GA114" s="84" t="n">
        <f aca="false">FY114-FZ114</f>
        <v>11850.9700428393</v>
      </c>
      <c r="GB114" s="84" t="n">
        <f aca="false">IF($H114=1,MIN(FT114-FW114-FZ114,MAX(0,$F114/(1-$F114)*(FP114+FZ114)-FQ114)),0)</f>
        <v>0</v>
      </c>
      <c r="GC114" s="84" t="n">
        <f aca="false">FT114-FW114-FZ114-GB114</f>
        <v>0</v>
      </c>
      <c r="GD114" s="84" t="n">
        <f aca="false">FW114+FZ114+(1-$F114)*GC114</f>
        <v>1368.4</v>
      </c>
      <c r="GE114" s="84" t="n">
        <f aca="false">GB114+$F114*GC114</f>
        <v>0</v>
      </c>
      <c r="GF114" s="84" t="n">
        <f aca="false">FP114+FZ114+(1-$F114)*GC114</f>
        <v>0</v>
      </c>
      <c r="GG114" s="84" t="n">
        <f aca="false">FQ114+GE114</f>
        <v>0</v>
      </c>
      <c r="GH114" s="133" t="n">
        <f aca="false">FU114+$D114*Inputs!$L$13-$D114*$E114</f>
        <v>5203.6</v>
      </c>
      <c r="GI114" s="84" t="n">
        <f aca="false">GH114*(1+$I114)</f>
        <v>5203.6</v>
      </c>
      <c r="GJ114" s="133" t="n">
        <f aca="false">GI114*Inputs!$L$14</f>
        <v>5203.6</v>
      </c>
      <c r="GK114" s="84" t="n">
        <f aca="false">GI114-GJ114</f>
        <v>0</v>
      </c>
      <c r="GL114" s="133" t="n">
        <f aca="false">FX114+$D114*Inputs!$L$13</f>
        <v>7903.6</v>
      </c>
      <c r="GM114" s="84" t="n">
        <f aca="false">MIN(GJ114,GL114)</f>
        <v>5203.6</v>
      </c>
      <c r="GN114" s="84" t="n">
        <f aca="false">GL114-GM114</f>
        <v>2700</v>
      </c>
      <c r="GO114" s="84" t="n">
        <f aca="false">GA114+$G114*(GL114+GA114)</f>
        <v>13431.3356462665</v>
      </c>
      <c r="GP114" s="84" t="n">
        <f aca="false">MIN(GJ114-GM114,GO114)</f>
        <v>0</v>
      </c>
      <c r="GQ114" s="84" t="n">
        <f aca="false">GO114-GP114</f>
        <v>13431.3356462665</v>
      </c>
      <c r="GR114" s="84" t="n">
        <f aca="false">IF($H114=1,MIN(GJ114-GM114-GP114,MAX(0,$F114/(1-$F114)*(GF114+GP114)-GG114)),0)</f>
        <v>0</v>
      </c>
      <c r="GS114" s="84" t="n">
        <f aca="false">GJ114-GM114-GP114-GR114</f>
        <v>0</v>
      </c>
      <c r="GT114" s="84" t="n">
        <f aca="false">GM114+GP114+(1-$F114)*GS114</f>
        <v>5203.6</v>
      </c>
      <c r="GU114" s="84" t="n">
        <f aca="false">GR114+$F114*GS114</f>
        <v>0</v>
      </c>
      <c r="GV114" s="84" t="n">
        <f aca="false">GF114+GP114+(1-$F114)*GS114</f>
        <v>0</v>
      </c>
      <c r="GW114" s="84" t="n">
        <f aca="false">GG114+GU114</f>
        <v>0</v>
      </c>
    </row>
    <row r="115" customFormat="false" ht="15" hidden="false" customHeight="false" outlineLevel="0" collapsed="false">
      <c r="A115" s="5" t="s">
        <v>640</v>
      </c>
      <c r="B115" s="5" t="s">
        <v>428</v>
      </c>
      <c r="C115" s="135" t="n">
        <v>1</v>
      </c>
      <c r="D115" s="47" t="n">
        <f aca="false">Inputs!$C$6</f>
        <v>20000</v>
      </c>
      <c r="E115" s="35" t="n">
        <f aca="false">Inputs!$C$19</f>
        <v>0.0135</v>
      </c>
      <c r="F115" s="36" t="n">
        <f aca="false">Inputs!$C$20</f>
        <v>0.2</v>
      </c>
      <c r="G115" s="36" t="n">
        <f aca="false">Inputs!$C$22</f>
        <v>0.08</v>
      </c>
      <c r="H115" s="44" t="n">
        <f aca="false">Inputs!$C$23</f>
        <v>1</v>
      </c>
      <c r="I115" s="132" t="n">
        <f aca="false">Inputs!$C$38+$C115*Inputs!$C$39</f>
        <v>0.01</v>
      </c>
      <c r="J115" s="36" t="n">
        <f aca="false">Inputs!$C$9</f>
        <v>0.15</v>
      </c>
      <c r="K115" s="89" t="n">
        <f aca="false">IRR(W115:AG115,0.1)</f>
        <v>-0.0150982104544355</v>
      </c>
      <c r="L115" s="45" t="n">
        <f aca="false">W115+NPV($J115,X115:AG115)</f>
        <v>-8839.82096536762</v>
      </c>
      <c r="M115" s="45" t="n">
        <f aca="false">SUM(BF115,BV115,CL115,DB115,DR115,EH115,EX115,FN115,GD115,GT115)</f>
        <v>18360.4510249299</v>
      </c>
      <c r="N115" s="43" t="n">
        <f aca="false">IF($D115*SUM(Inputs!$C$13:$L$13)=0,0,M115/($D115*SUM(Inputs!$C$13:$L$13)))</f>
        <v>0.918022551246495</v>
      </c>
      <c r="O115" s="42" t="n">
        <f aca="false">$D115*$E115*COLUMNS(Inputs!$C$13:$L$13)</f>
        <v>2700</v>
      </c>
      <c r="P115" s="45" t="n">
        <f aca="false">SUM(BG115,BW115,CM115,DC115,DS115,EI115,EY115,FO115,GE115,GU115)</f>
        <v>0</v>
      </c>
      <c r="Q115" s="42" t="n">
        <f aca="false">PV($J115,COLUMNS(Inputs!$C$13:$L$13),-$D115*$E115,0,1)</f>
        <v>1558.32765832774</v>
      </c>
      <c r="R115" s="45" t="n">
        <f aca="false">NPV($J115,BG115,BW115,CM115,DC115,DS115,EI115,EY115,FO115,GE115,GU115)</f>
        <v>0</v>
      </c>
      <c r="S115" s="45" t="n">
        <f aca="false">Q115+R115</f>
        <v>1558.32765832774</v>
      </c>
      <c r="T115" s="32" t="n">
        <f aca="false">IF(S115=0,0,Q115/S115)</f>
        <v>1</v>
      </c>
      <c r="U115" s="45" t="n">
        <f aca="false">ROUND(ABS(GK115)+ABS(SUM(AV115,BL115,CB115,CR115,DH115,DX115,EN115,FD115,FT115,GJ115)-M115-P115)+ABS(S115-(AH115+NPV($J115,AI115:AR115))),6)</f>
        <v>0</v>
      </c>
      <c r="W115" s="133" t="n">
        <f aca="false">-$D115*Inputs!$C$13</f>
        <v>-4000</v>
      </c>
      <c r="X115" s="133" t="n">
        <f aca="false">BF115-$D115*Inputs!$D$13</f>
        <v>-4000</v>
      </c>
      <c r="Y115" s="133" t="n">
        <f aca="false">BV115-$D115*Inputs!$E$13</f>
        <v>-4000</v>
      </c>
      <c r="Z115" s="133" t="n">
        <f aca="false">CL115-$D115*Inputs!$F$13</f>
        <v>-4000</v>
      </c>
      <c r="AA115" s="133" t="n">
        <f aca="false">DB115-$D115*Inputs!$G$13</f>
        <v>-4000</v>
      </c>
      <c r="AB115" s="133" t="n">
        <f aca="false">DR115-$D115*Inputs!$H$13</f>
        <v>3843.4032348346</v>
      </c>
      <c r="AC115" s="133" t="n">
        <f aca="false">EH115-$D115*Inputs!$I$13</f>
        <v>3050.92981374636</v>
      </c>
      <c r="AD115" s="133" t="n">
        <f aca="false">EX115-$D115*Inputs!$J$13</f>
        <v>2410.61128950706</v>
      </c>
      <c r="AE115" s="133" t="n">
        <f aca="false">FN115-$D115*Inputs!$K$13</f>
        <v>1893.2339219217</v>
      </c>
      <c r="AF115" s="133" t="n">
        <f aca="false">GD115-$D115*Inputs!$L$13</f>
        <v>1475.19300891274</v>
      </c>
      <c r="AG115" s="84" t="n">
        <f aca="false">GT115</f>
        <v>5687.07975600745</v>
      </c>
      <c r="AH115" s="84" t="n">
        <f aca="false">$D115*$E115</f>
        <v>270</v>
      </c>
      <c r="AI115" s="84" t="n">
        <f aca="false">BG115+$D115*$E115</f>
        <v>270</v>
      </c>
      <c r="AJ115" s="84" t="n">
        <f aca="false">BW115+$D115*$E115</f>
        <v>270</v>
      </c>
      <c r="AK115" s="84" t="n">
        <f aca="false">CM115+$D115*$E115</f>
        <v>270</v>
      </c>
      <c r="AL115" s="84" t="n">
        <f aca="false">DC115+$D115*$E115</f>
        <v>270</v>
      </c>
      <c r="AM115" s="84" t="n">
        <f aca="false">DS115+$D115*$E115</f>
        <v>270</v>
      </c>
      <c r="AN115" s="84" t="n">
        <f aca="false">EI115+$D115*$E115</f>
        <v>270</v>
      </c>
      <c r="AO115" s="84" t="n">
        <f aca="false">EY115+$D115*$E115</f>
        <v>270</v>
      </c>
      <c r="AP115" s="84" t="n">
        <f aca="false">FO115+$D115*$E115</f>
        <v>270</v>
      </c>
      <c r="AQ115" s="84" t="n">
        <f aca="false">GE115+$D115*$E115</f>
        <v>270</v>
      </c>
      <c r="AR115" s="84" t="n">
        <f aca="false">GU115</f>
        <v>0</v>
      </c>
      <c r="AT115" s="133" t="n">
        <f aca="false">$D115*Inputs!$C$13-$D115*$E115</f>
        <v>3730</v>
      </c>
      <c r="AU115" s="84" t="n">
        <f aca="false">AT115*(1+$I115)</f>
        <v>3767.3</v>
      </c>
      <c r="AV115" s="133" t="n">
        <f aca="false">AU115*Inputs!$C$14</f>
        <v>0</v>
      </c>
      <c r="AW115" s="84" t="n">
        <f aca="false">AU115-AV115</f>
        <v>3767.3</v>
      </c>
      <c r="AX115" s="133" t="n">
        <f aca="false">$D115*Inputs!$C$13</f>
        <v>4000</v>
      </c>
      <c r="AY115" s="84" t="n">
        <f aca="false">MIN(AV115,AX115)</f>
        <v>0</v>
      </c>
      <c r="AZ115" s="84" t="n">
        <f aca="false">AX115-AY115</f>
        <v>4000</v>
      </c>
      <c r="BA115" s="84" t="n">
        <f aca="false">$G115*AX115</f>
        <v>320</v>
      </c>
      <c r="BB115" s="84" t="n">
        <f aca="false">MIN(AV115-AY115,BA115)</f>
        <v>0</v>
      </c>
      <c r="BC115" s="84" t="n">
        <f aca="false">BA115-BB115</f>
        <v>320</v>
      </c>
      <c r="BD115" s="84" t="n">
        <f aca="false">IF($H115=1,MIN(AV115-AY115-BB115,MAX(0,$F115/(1-$F115)*BB115)),0)</f>
        <v>0</v>
      </c>
      <c r="BE115" s="84" t="n">
        <f aca="false">AV115-AY115-BB115-BD115</f>
        <v>0</v>
      </c>
      <c r="BF115" s="84" t="n">
        <f aca="false">AY115+BB115+(1-$F115)*BE115</f>
        <v>0</v>
      </c>
      <c r="BG115" s="84" t="n">
        <f aca="false">BD115+$F115*BE115</f>
        <v>0</v>
      </c>
      <c r="BH115" s="84" t="n">
        <f aca="false">BB115+(1-$F115)*BE115</f>
        <v>0</v>
      </c>
      <c r="BI115" s="84" t="n">
        <f aca="false">BG115</f>
        <v>0</v>
      </c>
      <c r="BJ115" s="133" t="n">
        <f aca="false">AW115+$D115*Inputs!$D$13-$D115*$E115</f>
        <v>7497.3</v>
      </c>
      <c r="BK115" s="84" t="n">
        <f aca="false">BJ115*(1+$I115)</f>
        <v>7572.273</v>
      </c>
      <c r="BL115" s="133" t="n">
        <f aca="false">BK115*Inputs!$D$14</f>
        <v>0</v>
      </c>
      <c r="BM115" s="84" t="n">
        <f aca="false">BK115-BL115</f>
        <v>7572.273</v>
      </c>
      <c r="BN115" s="133" t="n">
        <f aca="false">AZ115+$D115*Inputs!$D$13</f>
        <v>8000</v>
      </c>
      <c r="BO115" s="84" t="n">
        <f aca="false">MIN(BL115,BN115)</f>
        <v>0</v>
      </c>
      <c r="BP115" s="84" t="n">
        <f aca="false">BN115-BO115</f>
        <v>8000</v>
      </c>
      <c r="BQ115" s="84" t="n">
        <f aca="false">BC115+$G115*(BN115+BC115)</f>
        <v>985.6</v>
      </c>
      <c r="BR115" s="84" t="n">
        <f aca="false">MIN(BL115-BO115,BQ115)</f>
        <v>0</v>
      </c>
      <c r="BS115" s="84" t="n">
        <f aca="false">BQ115-BR115</f>
        <v>985.6</v>
      </c>
      <c r="BT115" s="84" t="n">
        <f aca="false">IF($H115=1,MIN(BL115-BO115-BR115,MAX(0,$F115/(1-$F115)*(BH115+BR115)-BI115)),0)</f>
        <v>0</v>
      </c>
      <c r="BU115" s="84" t="n">
        <f aca="false">BL115-BO115-BR115-BT115</f>
        <v>0</v>
      </c>
      <c r="BV115" s="84" t="n">
        <f aca="false">BO115+BR115+(1-$F115)*BU115</f>
        <v>0</v>
      </c>
      <c r="BW115" s="84" t="n">
        <f aca="false">BT115+$F115*BU115</f>
        <v>0</v>
      </c>
      <c r="BX115" s="84" t="n">
        <f aca="false">BH115+BR115+(1-$F115)*BU115</f>
        <v>0</v>
      </c>
      <c r="BY115" s="84" t="n">
        <f aca="false">BI115+BW115</f>
        <v>0</v>
      </c>
      <c r="BZ115" s="133" t="n">
        <f aca="false">BM115+$D115*Inputs!$E$13-$D115*$E115</f>
        <v>11302.273</v>
      </c>
      <c r="CA115" s="84" t="n">
        <f aca="false">BZ115*(1+$I115)</f>
        <v>11415.29573</v>
      </c>
      <c r="CB115" s="133" t="n">
        <f aca="false">CA115*Inputs!$E$14</f>
        <v>0</v>
      </c>
      <c r="CC115" s="84" t="n">
        <f aca="false">CA115-CB115</f>
        <v>11415.29573</v>
      </c>
      <c r="CD115" s="133" t="n">
        <f aca="false">BP115+$D115*Inputs!$E$13</f>
        <v>12000</v>
      </c>
      <c r="CE115" s="84" t="n">
        <f aca="false">MIN(CB115,CD115)</f>
        <v>0</v>
      </c>
      <c r="CF115" s="84" t="n">
        <f aca="false">CD115-CE115</f>
        <v>12000</v>
      </c>
      <c r="CG115" s="84" t="n">
        <f aca="false">BS115+$G115*(CD115+BS115)</f>
        <v>2024.448</v>
      </c>
      <c r="CH115" s="84" t="n">
        <f aca="false">MIN(CB115-CE115,CG115)</f>
        <v>0</v>
      </c>
      <c r="CI115" s="84" t="n">
        <f aca="false">CG115-CH115</f>
        <v>2024.448</v>
      </c>
      <c r="CJ115" s="84" t="n">
        <f aca="false">IF($H115=1,MIN(CB115-CE115-CH115,MAX(0,$F115/(1-$F115)*(BX115+CH115)-BY115)),0)</f>
        <v>0</v>
      </c>
      <c r="CK115" s="84" t="n">
        <f aca="false">CB115-CE115-CH115-CJ115</f>
        <v>0</v>
      </c>
      <c r="CL115" s="84" t="n">
        <f aca="false">CE115+CH115+(1-$F115)*CK115</f>
        <v>0</v>
      </c>
      <c r="CM115" s="84" t="n">
        <f aca="false">CJ115+$F115*CK115</f>
        <v>0</v>
      </c>
      <c r="CN115" s="84" t="n">
        <f aca="false">BX115+CH115+(1-$F115)*CK115</f>
        <v>0</v>
      </c>
      <c r="CO115" s="84" t="n">
        <f aca="false">BY115+CM115</f>
        <v>0</v>
      </c>
      <c r="CP115" s="133" t="n">
        <f aca="false">CC115+$D115*Inputs!$F$13-$D115*$E115</f>
        <v>15145.29573</v>
      </c>
      <c r="CQ115" s="84" t="n">
        <f aca="false">CP115*(1+$I115)</f>
        <v>15296.7486873</v>
      </c>
      <c r="CR115" s="133" t="n">
        <f aca="false">CQ115*Inputs!$F$14</f>
        <v>0</v>
      </c>
      <c r="CS115" s="84" t="n">
        <f aca="false">CQ115-CR115</f>
        <v>15296.7486873</v>
      </c>
      <c r="CT115" s="133" t="n">
        <f aca="false">CF115+$D115*Inputs!$F$13</f>
        <v>16000</v>
      </c>
      <c r="CU115" s="84" t="n">
        <f aca="false">MIN(CR115,CT115)</f>
        <v>0</v>
      </c>
      <c r="CV115" s="84" t="n">
        <f aca="false">CT115-CU115</f>
        <v>16000</v>
      </c>
      <c r="CW115" s="84" t="n">
        <f aca="false">CI115+$G115*(CT115+CI115)</f>
        <v>3466.40384</v>
      </c>
      <c r="CX115" s="84" t="n">
        <f aca="false">MIN(CR115-CU115,CW115)</f>
        <v>0</v>
      </c>
      <c r="CY115" s="84" t="n">
        <f aca="false">CW115-CX115</f>
        <v>3466.40384</v>
      </c>
      <c r="CZ115" s="84" t="n">
        <f aca="false">IF($H115=1,MIN(CR115-CU115-CX115,MAX(0,$F115/(1-$F115)*(CN115+CX115)-CO115)),0)</f>
        <v>0</v>
      </c>
      <c r="DA115" s="84" t="n">
        <f aca="false">CR115-CU115-CX115-CZ115</f>
        <v>0</v>
      </c>
      <c r="DB115" s="84" t="n">
        <f aca="false">CU115+CX115+(1-$F115)*DA115</f>
        <v>0</v>
      </c>
      <c r="DC115" s="84" t="n">
        <f aca="false">CZ115+$F115*DA115</f>
        <v>0</v>
      </c>
      <c r="DD115" s="84" t="n">
        <f aca="false">CN115+CX115+(1-$F115)*DA115</f>
        <v>0</v>
      </c>
      <c r="DE115" s="84" t="n">
        <f aca="false">CO115+DC115</f>
        <v>0</v>
      </c>
      <c r="DF115" s="133" t="n">
        <f aca="false">CS115+$D115*Inputs!$G$13-$D115*$E115</f>
        <v>19026.7486873</v>
      </c>
      <c r="DG115" s="84" t="n">
        <f aca="false">DF115*(1+$I115)</f>
        <v>19217.016174173</v>
      </c>
      <c r="DH115" s="133" t="n">
        <f aca="false">DG115*Inputs!$G$14</f>
        <v>3843.4032348346</v>
      </c>
      <c r="DI115" s="84" t="n">
        <f aca="false">DG115-DH115</f>
        <v>15373.6129393384</v>
      </c>
      <c r="DJ115" s="133" t="n">
        <f aca="false">CV115+$D115*Inputs!$G$13</f>
        <v>20000</v>
      </c>
      <c r="DK115" s="84" t="n">
        <f aca="false">MIN(DH115,DJ115)</f>
        <v>3843.4032348346</v>
      </c>
      <c r="DL115" s="84" t="n">
        <f aca="false">DJ115-DK115</f>
        <v>16156.5967651654</v>
      </c>
      <c r="DM115" s="84" t="n">
        <f aca="false">CY115+$G115*(DJ115+CY115)</f>
        <v>5343.7161472</v>
      </c>
      <c r="DN115" s="84" t="n">
        <f aca="false">MIN(DH115-DK115,DM115)</f>
        <v>0</v>
      </c>
      <c r="DO115" s="84" t="n">
        <f aca="false">DM115-DN115</f>
        <v>5343.7161472</v>
      </c>
      <c r="DP115" s="84" t="n">
        <f aca="false">IF($H115=1,MIN(DH115-DK115-DN115,MAX(0,$F115/(1-$F115)*(DD115+DN115)-DE115)),0)</f>
        <v>0</v>
      </c>
      <c r="DQ115" s="84" t="n">
        <f aca="false">DH115-DK115-DN115-DP115</f>
        <v>0</v>
      </c>
      <c r="DR115" s="84" t="n">
        <f aca="false">DK115+DN115+(1-$F115)*DQ115</f>
        <v>3843.4032348346</v>
      </c>
      <c r="DS115" s="84" t="n">
        <f aca="false">DP115+$F115*DQ115</f>
        <v>0</v>
      </c>
      <c r="DT115" s="84" t="n">
        <f aca="false">DD115+DN115+(1-$F115)*DQ115</f>
        <v>0</v>
      </c>
      <c r="DU115" s="84" t="n">
        <f aca="false">DE115+DS115</f>
        <v>0</v>
      </c>
      <c r="DV115" s="133" t="n">
        <f aca="false">DI115+$D115*Inputs!$H$13-$D115*$E115</f>
        <v>15103.6129393384</v>
      </c>
      <c r="DW115" s="84" t="n">
        <f aca="false">DV115*(1+$I115)</f>
        <v>15254.6490687318</v>
      </c>
      <c r="DX115" s="133" t="n">
        <f aca="false">DW115*Inputs!$H$14</f>
        <v>3050.92981374636</v>
      </c>
      <c r="DY115" s="84" t="n">
        <f aca="false">DW115-DX115</f>
        <v>12203.7192549854</v>
      </c>
      <c r="DZ115" s="133" t="n">
        <f aca="false">DL115+$D115*Inputs!$H$13</f>
        <v>16156.5967651654</v>
      </c>
      <c r="EA115" s="84" t="n">
        <f aca="false">MIN(DX115,DZ115)</f>
        <v>3050.92981374636</v>
      </c>
      <c r="EB115" s="84" t="n">
        <f aca="false">DZ115-EA115</f>
        <v>13105.666951419</v>
      </c>
      <c r="EC115" s="84" t="n">
        <f aca="false">DO115+$G115*(DZ115+DO115)</f>
        <v>7063.74118018923</v>
      </c>
      <c r="ED115" s="84" t="n">
        <f aca="false">MIN(DX115-EA115,EC115)</f>
        <v>0</v>
      </c>
      <c r="EE115" s="84" t="n">
        <f aca="false">EC115-ED115</f>
        <v>7063.74118018923</v>
      </c>
      <c r="EF115" s="84" t="n">
        <f aca="false">IF($H115=1,MIN(DX115-EA115-ED115,MAX(0,$F115/(1-$F115)*(DT115+ED115)-DU115)),0)</f>
        <v>0</v>
      </c>
      <c r="EG115" s="84" t="n">
        <f aca="false">DX115-EA115-ED115-EF115</f>
        <v>0</v>
      </c>
      <c r="EH115" s="84" t="n">
        <f aca="false">EA115+ED115+(1-$F115)*EG115</f>
        <v>3050.92981374636</v>
      </c>
      <c r="EI115" s="84" t="n">
        <f aca="false">EF115+$F115*EG115</f>
        <v>0</v>
      </c>
      <c r="EJ115" s="84" t="n">
        <f aca="false">DT115+ED115+(1-$F115)*EG115</f>
        <v>0</v>
      </c>
      <c r="EK115" s="84" t="n">
        <f aca="false">DU115+EI115</f>
        <v>0</v>
      </c>
      <c r="EL115" s="133" t="n">
        <f aca="false">DY115+$D115*Inputs!$I$13-$D115*$E115</f>
        <v>11933.7192549854</v>
      </c>
      <c r="EM115" s="84" t="n">
        <f aca="false">EL115*(1+$I115)</f>
        <v>12053.0564475353</v>
      </c>
      <c r="EN115" s="133" t="n">
        <f aca="false">EM115*Inputs!$I$14</f>
        <v>2410.61128950706</v>
      </c>
      <c r="EO115" s="84" t="n">
        <f aca="false">EM115-EN115</f>
        <v>9642.44515802822</v>
      </c>
      <c r="EP115" s="133" t="n">
        <f aca="false">EB115+$D115*Inputs!$I$13</f>
        <v>13105.666951419</v>
      </c>
      <c r="EQ115" s="84" t="n">
        <f aca="false">MIN(EN115,EP115)</f>
        <v>2410.61128950706</v>
      </c>
      <c r="ER115" s="84" t="n">
        <f aca="false">EP115-EQ115</f>
        <v>10695.055661912</v>
      </c>
      <c r="ES115" s="84" t="n">
        <f aca="false">EE115+$G115*(EP115+EE115)</f>
        <v>8677.29383071789</v>
      </c>
      <c r="ET115" s="84" t="n">
        <f aca="false">MIN(EN115-EQ115,ES115)</f>
        <v>0</v>
      </c>
      <c r="EU115" s="84" t="n">
        <f aca="false">ES115-ET115</f>
        <v>8677.29383071789</v>
      </c>
      <c r="EV115" s="84" t="n">
        <f aca="false">IF($H115=1,MIN(EN115-EQ115-ET115,MAX(0,$F115/(1-$F115)*(EJ115+ET115)-EK115)),0)</f>
        <v>0</v>
      </c>
      <c r="EW115" s="84" t="n">
        <f aca="false">EN115-EQ115-ET115-EV115</f>
        <v>0</v>
      </c>
      <c r="EX115" s="84" t="n">
        <f aca="false">EQ115+ET115+(1-$F115)*EW115</f>
        <v>2410.61128950706</v>
      </c>
      <c r="EY115" s="84" t="n">
        <f aca="false">EV115+$F115*EW115</f>
        <v>0</v>
      </c>
      <c r="EZ115" s="84" t="n">
        <f aca="false">EJ115+ET115+(1-$F115)*EW115</f>
        <v>0</v>
      </c>
      <c r="FA115" s="84" t="n">
        <f aca="false">EK115+EY115</f>
        <v>0</v>
      </c>
      <c r="FB115" s="133" t="n">
        <f aca="false">EO115+$D115*Inputs!$J$13-$D115*$E115</f>
        <v>9372.44515802822</v>
      </c>
      <c r="FC115" s="84" t="n">
        <f aca="false">FB115*(1+$I115)</f>
        <v>9466.16960960851</v>
      </c>
      <c r="FD115" s="133" t="n">
        <f aca="false">FC115*Inputs!$J$14</f>
        <v>1893.2339219217</v>
      </c>
      <c r="FE115" s="84" t="n">
        <f aca="false">FC115-FD115</f>
        <v>7572.93568768681</v>
      </c>
      <c r="FF115" s="133" t="n">
        <f aca="false">ER115+$D115*Inputs!$J$13</f>
        <v>10695.055661912</v>
      </c>
      <c r="FG115" s="84" t="n">
        <f aca="false">MIN(FD115,FF115)</f>
        <v>1893.2339219217</v>
      </c>
      <c r="FH115" s="84" t="n">
        <f aca="false">FF115-FG115</f>
        <v>8801.82173999028</v>
      </c>
      <c r="FI115" s="84" t="n">
        <f aca="false">EU115+$G115*(FF115+EU115)</f>
        <v>10227.0817901283</v>
      </c>
      <c r="FJ115" s="84" t="n">
        <f aca="false">MIN(FD115-FG115,FI115)</f>
        <v>0</v>
      </c>
      <c r="FK115" s="84" t="n">
        <f aca="false">FI115-FJ115</f>
        <v>10227.0817901283</v>
      </c>
      <c r="FL115" s="84" t="n">
        <f aca="false">IF($H115=1,MIN(FD115-FG115-FJ115,MAX(0,$F115/(1-$F115)*(EZ115+FJ115)-FA115)),0)</f>
        <v>0</v>
      </c>
      <c r="FM115" s="84" t="n">
        <f aca="false">FD115-FG115-FJ115-FL115</f>
        <v>0</v>
      </c>
      <c r="FN115" s="84" t="n">
        <f aca="false">FG115+FJ115+(1-$F115)*FM115</f>
        <v>1893.2339219217</v>
      </c>
      <c r="FO115" s="84" t="n">
        <f aca="false">FL115+$F115*FM115</f>
        <v>0</v>
      </c>
      <c r="FP115" s="84" t="n">
        <f aca="false">EZ115+FJ115+(1-$F115)*FM115</f>
        <v>0</v>
      </c>
      <c r="FQ115" s="84" t="n">
        <f aca="false">FA115+FO115</f>
        <v>0</v>
      </c>
      <c r="FR115" s="133" t="n">
        <f aca="false">FE115+$D115*Inputs!$K$13-$D115*$E115</f>
        <v>7302.93568768681</v>
      </c>
      <c r="FS115" s="84" t="n">
        <f aca="false">FR115*(1+$I115)</f>
        <v>7375.96504456367</v>
      </c>
      <c r="FT115" s="133" t="n">
        <f aca="false">FS115*Inputs!$K$14</f>
        <v>1475.19300891274</v>
      </c>
      <c r="FU115" s="84" t="n">
        <f aca="false">FS115-FT115</f>
        <v>5900.77203565094</v>
      </c>
      <c r="FV115" s="133" t="n">
        <f aca="false">FH115+$D115*Inputs!$K$13</f>
        <v>8801.82173999028</v>
      </c>
      <c r="FW115" s="84" t="n">
        <f aca="false">MIN(FT115,FV115)</f>
        <v>1475.19300891274</v>
      </c>
      <c r="FX115" s="84" t="n">
        <f aca="false">FV115-FW115</f>
        <v>7326.62873107755</v>
      </c>
      <c r="FY115" s="84" t="n">
        <f aca="false">FK115+$G115*(FV115+FK115)</f>
        <v>11749.3940725378</v>
      </c>
      <c r="FZ115" s="84" t="n">
        <f aca="false">MIN(FT115-FW115,FY115)</f>
        <v>0</v>
      </c>
      <c r="GA115" s="84" t="n">
        <f aca="false">FY115-FZ115</f>
        <v>11749.3940725378</v>
      </c>
      <c r="GB115" s="84" t="n">
        <f aca="false">IF($H115=1,MIN(FT115-FW115-FZ115,MAX(0,$F115/(1-$F115)*(FP115+FZ115)-FQ115)),0)</f>
        <v>0</v>
      </c>
      <c r="GC115" s="84" t="n">
        <f aca="false">FT115-FW115-FZ115-GB115</f>
        <v>0</v>
      </c>
      <c r="GD115" s="84" t="n">
        <f aca="false">FW115+FZ115+(1-$F115)*GC115</f>
        <v>1475.19300891274</v>
      </c>
      <c r="GE115" s="84" t="n">
        <f aca="false">GB115+$F115*GC115</f>
        <v>0</v>
      </c>
      <c r="GF115" s="84" t="n">
        <f aca="false">FP115+FZ115+(1-$F115)*GC115</f>
        <v>0</v>
      </c>
      <c r="GG115" s="84" t="n">
        <f aca="false">FQ115+GE115</f>
        <v>0</v>
      </c>
      <c r="GH115" s="133" t="n">
        <f aca="false">FU115+$D115*Inputs!$L$13-$D115*$E115</f>
        <v>5630.77203565094</v>
      </c>
      <c r="GI115" s="84" t="n">
        <f aca="false">GH115*(1+$I115)</f>
        <v>5687.07975600745</v>
      </c>
      <c r="GJ115" s="133" t="n">
        <f aca="false">GI115*Inputs!$L$14</f>
        <v>5687.07975600745</v>
      </c>
      <c r="GK115" s="84" t="n">
        <f aca="false">GI115-GJ115</f>
        <v>0</v>
      </c>
      <c r="GL115" s="133" t="n">
        <f aca="false">FX115+$D115*Inputs!$L$13</f>
        <v>7326.62873107755</v>
      </c>
      <c r="GM115" s="84" t="n">
        <f aca="false">MIN(GJ115,GL115)</f>
        <v>5687.07975600745</v>
      </c>
      <c r="GN115" s="84" t="n">
        <f aca="false">GL115-GM115</f>
        <v>1639.5489750701</v>
      </c>
      <c r="GO115" s="84" t="n">
        <f aca="false">GA115+$G115*(GL115+GA115)</f>
        <v>13275.475896827</v>
      </c>
      <c r="GP115" s="84" t="n">
        <f aca="false">MIN(GJ115-GM115,GO115)</f>
        <v>0</v>
      </c>
      <c r="GQ115" s="84" t="n">
        <f aca="false">GO115-GP115</f>
        <v>13275.475896827</v>
      </c>
      <c r="GR115" s="84" t="n">
        <f aca="false">IF($H115=1,MIN(GJ115-GM115-GP115,MAX(0,$F115/(1-$F115)*(GF115+GP115)-GG115)),0)</f>
        <v>0</v>
      </c>
      <c r="GS115" s="84" t="n">
        <f aca="false">GJ115-GM115-GP115-GR115</f>
        <v>0</v>
      </c>
      <c r="GT115" s="84" t="n">
        <f aca="false">GM115+GP115+(1-$F115)*GS115</f>
        <v>5687.07975600745</v>
      </c>
      <c r="GU115" s="84" t="n">
        <f aca="false">GR115+$F115*GS115</f>
        <v>0</v>
      </c>
      <c r="GV115" s="84" t="n">
        <f aca="false">GF115+GP115+(1-$F115)*GS115</f>
        <v>0</v>
      </c>
      <c r="GW115" s="84" t="n">
        <f aca="false">GG115+GU115</f>
        <v>0</v>
      </c>
    </row>
    <row r="116" customFormat="false" ht="15" hidden="false" customHeight="false" outlineLevel="0" collapsed="false">
      <c r="A116" s="5" t="s">
        <v>640</v>
      </c>
      <c r="B116" s="5" t="s">
        <v>428</v>
      </c>
      <c r="C116" s="135" t="n">
        <v>2</v>
      </c>
      <c r="D116" s="47" t="n">
        <f aca="false">Inputs!$C$6</f>
        <v>20000</v>
      </c>
      <c r="E116" s="35" t="n">
        <f aca="false">Inputs!$C$19</f>
        <v>0.0135</v>
      </c>
      <c r="F116" s="36" t="n">
        <f aca="false">Inputs!$C$20</f>
        <v>0.2</v>
      </c>
      <c r="G116" s="36" t="n">
        <f aca="false">Inputs!$C$22</f>
        <v>0.08</v>
      </c>
      <c r="H116" s="44" t="n">
        <f aca="false">Inputs!$C$23</f>
        <v>1</v>
      </c>
      <c r="I116" s="132" t="n">
        <f aca="false">Inputs!$C$38+$C116*Inputs!$C$39</f>
        <v>0.02</v>
      </c>
      <c r="J116" s="36" t="n">
        <f aca="false">Inputs!$C$9</f>
        <v>0.15</v>
      </c>
      <c r="K116" s="89" t="n">
        <f aca="false">IRR(W116:AG116,0.1)</f>
        <v>-0.00460606780939016</v>
      </c>
      <c r="L116" s="45" t="n">
        <f aca="false">W116+NPV($J116,X116:AG116)</f>
        <v>-8479.54922696293</v>
      </c>
      <c r="M116" s="45" t="n">
        <f aca="false">SUM(BF116,BV116,CL116,DB116,DR116,EH116,EX116,FN116,GD116,GT116)</f>
        <v>19484.4165653243</v>
      </c>
      <c r="N116" s="43" t="n">
        <f aca="false">IF($D116*SUM(Inputs!$C$13:$L$13)=0,0,M116/($D116*SUM(Inputs!$C$13:$L$13)))</f>
        <v>0.974220828266213</v>
      </c>
      <c r="O116" s="42" t="n">
        <f aca="false">$D116*$E116*COLUMNS(Inputs!$C$13:$L$13)</f>
        <v>2700</v>
      </c>
      <c r="P116" s="45" t="n">
        <f aca="false">SUM(BG116,BW116,CM116,DC116,DS116,EI116,EY116,FO116,GE116,GU116)</f>
        <v>0</v>
      </c>
      <c r="Q116" s="42" t="n">
        <f aca="false">PV($J116,COLUMNS(Inputs!$C$13:$L$13),-$D116*$E116,0,1)</f>
        <v>1558.32765832774</v>
      </c>
      <c r="R116" s="45" t="n">
        <f aca="false">NPV($J116,BG116,BW116,CM116,DC116,DS116,EI116,EY116,FO116,GE116,GU116)</f>
        <v>0</v>
      </c>
      <c r="S116" s="45" t="n">
        <f aca="false">Q116+R116</f>
        <v>1558.32765832774</v>
      </c>
      <c r="T116" s="32" t="n">
        <f aca="false">IF(S116=0,0,Q116/S116)</f>
        <v>1</v>
      </c>
      <c r="U116" s="45" t="n">
        <f aca="false">ROUND(ABS(GK116)+ABS(SUM(AV116,BL116,CB116,CR116,DH116,DX116,EN116,FD116,FT116,GJ116)-M116-P116)+ABS(S116-(AH116+NPV($J116,AI116:AR116))),6)</f>
        <v>0</v>
      </c>
      <c r="W116" s="133" t="n">
        <f aca="false">-$D116*Inputs!$C$13</f>
        <v>-4000</v>
      </c>
      <c r="X116" s="133" t="n">
        <f aca="false">BF116-$D116*Inputs!$D$13</f>
        <v>-4000</v>
      </c>
      <c r="Y116" s="133" t="n">
        <f aca="false">BV116-$D116*Inputs!$E$13</f>
        <v>-4000</v>
      </c>
      <c r="Z116" s="133" t="n">
        <f aca="false">CL116-$D116*Inputs!$F$13</f>
        <v>-4000</v>
      </c>
      <c r="AA116" s="133" t="n">
        <f aca="false">DB116-$D116*Inputs!$G$13</f>
        <v>-4000</v>
      </c>
      <c r="AB116" s="133" t="n">
        <f aca="false">DR116-$D116*Inputs!$H$13</f>
        <v>3959.8582385472</v>
      </c>
      <c r="AC116" s="133" t="n">
        <f aca="false">EH116-$D116*Inputs!$I$13</f>
        <v>3176.16432265452</v>
      </c>
      <c r="AD116" s="133" t="n">
        <f aca="false">EX116-$D116*Inputs!$J$13</f>
        <v>2536.67008728609</v>
      </c>
      <c r="AE116" s="133" t="n">
        <f aca="false">FN116-$D116*Inputs!$K$13</f>
        <v>2014.84279122545</v>
      </c>
      <c r="AF116" s="133" t="n">
        <f aca="false">GD116-$D116*Inputs!$L$13</f>
        <v>1589.03171763996</v>
      </c>
      <c r="AG116" s="84" t="n">
        <f aca="false">GT116</f>
        <v>6207.84940797105</v>
      </c>
      <c r="AH116" s="84" t="n">
        <f aca="false">$D116*$E116</f>
        <v>270</v>
      </c>
      <c r="AI116" s="84" t="n">
        <f aca="false">BG116+$D116*$E116</f>
        <v>270</v>
      </c>
      <c r="AJ116" s="84" t="n">
        <f aca="false">BW116+$D116*$E116</f>
        <v>270</v>
      </c>
      <c r="AK116" s="84" t="n">
        <f aca="false">CM116+$D116*$E116</f>
        <v>270</v>
      </c>
      <c r="AL116" s="84" t="n">
        <f aca="false">DC116+$D116*$E116</f>
        <v>270</v>
      </c>
      <c r="AM116" s="84" t="n">
        <f aca="false">DS116+$D116*$E116</f>
        <v>270</v>
      </c>
      <c r="AN116" s="84" t="n">
        <f aca="false">EI116+$D116*$E116</f>
        <v>270</v>
      </c>
      <c r="AO116" s="84" t="n">
        <f aca="false">EY116+$D116*$E116</f>
        <v>270</v>
      </c>
      <c r="AP116" s="84" t="n">
        <f aca="false">FO116+$D116*$E116</f>
        <v>270</v>
      </c>
      <c r="AQ116" s="84" t="n">
        <f aca="false">GE116+$D116*$E116</f>
        <v>270</v>
      </c>
      <c r="AR116" s="84" t="n">
        <f aca="false">GU116</f>
        <v>0</v>
      </c>
      <c r="AT116" s="133" t="n">
        <f aca="false">$D116*Inputs!$C$13-$D116*$E116</f>
        <v>3730</v>
      </c>
      <c r="AU116" s="84" t="n">
        <f aca="false">AT116*(1+$I116)</f>
        <v>3804.6</v>
      </c>
      <c r="AV116" s="133" t="n">
        <f aca="false">AU116*Inputs!$C$14</f>
        <v>0</v>
      </c>
      <c r="AW116" s="84" t="n">
        <f aca="false">AU116-AV116</f>
        <v>3804.6</v>
      </c>
      <c r="AX116" s="133" t="n">
        <f aca="false">$D116*Inputs!$C$13</f>
        <v>4000</v>
      </c>
      <c r="AY116" s="84" t="n">
        <f aca="false">MIN(AV116,AX116)</f>
        <v>0</v>
      </c>
      <c r="AZ116" s="84" t="n">
        <f aca="false">AX116-AY116</f>
        <v>4000</v>
      </c>
      <c r="BA116" s="84" t="n">
        <f aca="false">$G116*AX116</f>
        <v>320</v>
      </c>
      <c r="BB116" s="84" t="n">
        <f aca="false">MIN(AV116-AY116,BA116)</f>
        <v>0</v>
      </c>
      <c r="BC116" s="84" t="n">
        <f aca="false">BA116-BB116</f>
        <v>320</v>
      </c>
      <c r="BD116" s="84" t="n">
        <f aca="false">IF($H116=1,MIN(AV116-AY116-BB116,MAX(0,$F116/(1-$F116)*BB116)),0)</f>
        <v>0</v>
      </c>
      <c r="BE116" s="84" t="n">
        <f aca="false">AV116-AY116-BB116-BD116</f>
        <v>0</v>
      </c>
      <c r="BF116" s="84" t="n">
        <f aca="false">AY116+BB116+(1-$F116)*BE116</f>
        <v>0</v>
      </c>
      <c r="BG116" s="84" t="n">
        <f aca="false">BD116+$F116*BE116</f>
        <v>0</v>
      </c>
      <c r="BH116" s="84" t="n">
        <f aca="false">BB116+(1-$F116)*BE116</f>
        <v>0</v>
      </c>
      <c r="BI116" s="84" t="n">
        <f aca="false">BG116</f>
        <v>0</v>
      </c>
      <c r="BJ116" s="133" t="n">
        <f aca="false">AW116+$D116*Inputs!$D$13-$D116*$E116</f>
        <v>7534.6</v>
      </c>
      <c r="BK116" s="84" t="n">
        <f aca="false">BJ116*(1+$I116)</f>
        <v>7685.292</v>
      </c>
      <c r="BL116" s="133" t="n">
        <f aca="false">BK116*Inputs!$D$14</f>
        <v>0</v>
      </c>
      <c r="BM116" s="84" t="n">
        <f aca="false">BK116-BL116</f>
        <v>7685.292</v>
      </c>
      <c r="BN116" s="133" t="n">
        <f aca="false">AZ116+$D116*Inputs!$D$13</f>
        <v>8000</v>
      </c>
      <c r="BO116" s="84" t="n">
        <f aca="false">MIN(BL116,BN116)</f>
        <v>0</v>
      </c>
      <c r="BP116" s="84" t="n">
        <f aca="false">BN116-BO116</f>
        <v>8000</v>
      </c>
      <c r="BQ116" s="84" t="n">
        <f aca="false">BC116+$G116*(BN116+BC116)</f>
        <v>985.6</v>
      </c>
      <c r="BR116" s="84" t="n">
        <f aca="false">MIN(BL116-BO116,BQ116)</f>
        <v>0</v>
      </c>
      <c r="BS116" s="84" t="n">
        <f aca="false">BQ116-BR116</f>
        <v>985.6</v>
      </c>
      <c r="BT116" s="84" t="n">
        <f aca="false">IF($H116=1,MIN(BL116-BO116-BR116,MAX(0,$F116/(1-$F116)*(BH116+BR116)-BI116)),0)</f>
        <v>0</v>
      </c>
      <c r="BU116" s="84" t="n">
        <f aca="false">BL116-BO116-BR116-BT116</f>
        <v>0</v>
      </c>
      <c r="BV116" s="84" t="n">
        <f aca="false">BO116+BR116+(1-$F116)*BU116</f>
        <v>0</v>
      </c>
      <c r="BW116" s="84" t="n">
        <f aca="false">BT116+$F116*BU116</f>
        <v>0</v>
      </c>
      <c r="BX116" s="84" t="n">
        <f aca="false">BH116+BR116+(1-$F116)*BU116</f>
        <v>0</v>
      </c>
      <c r="BY116" s="84" t="n">
        <f aca="false">BI116+BW116</f>
        <v>0</v>
      </c>
      <c r="BZ116" s="133" t="n">
        <f aca="false">BM116+$D116*Inputs!$E$13-$D116*$E116</f>
        <v>11415.292</v>
      </c>
      <c r="CA116" s="84" t="n">
        <f aca="false">BZ116*(1+$I116)</f>
        <v>11643.59784</v>
      </c>
      <c r="CB116" s="133" t="n">
        <f aca="false">CA116*Inputs!$E$14</f>
        <v>0</v>
      </c>
      <c r="CC116" s="84" t="n">
        <f aca="false">CA116-CB116</f>
        <v>11643.59784</v>
      </c>
      <c r="CD116" s="133" t="n">
        <f aca="false">BP116+$D116*Inputs!$E$13</f>
        <v>12000</v>
      </c>
      <c r="CE116" s="84" t="n">
        <f aca="false">MIN(CB116,CD116)</f>
        <v>0</v>
      </c>
      <c r="CF116" s="84" t="n">
        <f aca="false">CD116-CE116</f>
        <v>12000</v>
      </c>
      <c r="CG116" s="84" t="n">
        <f aca="false">BS116+$G116*(CD116+BS116)</f>
        <v>2024.448</v>
      </c>
      <c r="CH116" s="84" t="n">
        <f aca="false">MIN(CB116-CE116,CG116)</f>
        <v>0</v>
      </c>
      <c r="CI116" s="84" t="n">
        <f aca="false">CG116-CH116</f>
        <v>2024.448</v>
      </c>
      <c r="CJ116" s="84" t="n">
        <f aca="false">IF($H116=1,MIN(CB116-CE116-CH116,MAX(0,$F116/(1-$F116)*(BX116+CH116)-BY116)),0)</f>
        <v>0</v>
      </c>
      <c r="CK116" s="84" t="n">
        <f aca="false">CB116-CE116-CH116-CJ116</f>
        <v>0</v>
      </c>
      <c r="CL116" s="84" t="n">
        <f aca="false">CE116+CH116+(1-$F116)*CK116</f>
        <v>0</v>
      </c>
      <c r="CM116" s="84" t="n">
        <f aca="false">CJ116+$F116*CK116</f>
        <v>0</v>
      </c>
      <c r="CN116" s="84" t="n">
        <f aca="false">BX116+CH116+(1-$F116)*CK116</f>
        <v>0</v>
      </c>
      <c r="CO116" s="84" t="n">
        <f aca="false">BY116+CM116</f>
        <v>0</v>
      </c>
      <c r="CP116" s="133" t="n">
        <f aca="false">CC116+$D116*Inputs!$F$13-$D116*$E116</f>
        <v>15373.59784</v>
      </c>
      <c r="CQ116" s="84" t="n">
        <f aca="false">CP116*(1+$I116)</f>
        <v>15681.0697968</v>
      </c>
      <c r="CR116" s="133" t="n">
        <f aca="false">CQ116*Inputs!$F$14</f>
        <v>0</v>
      </c>
      <c r="CS116" s="84" t="n">
        <f aca="false">CQ116-CR116</f>
        <v>15681.0697968</v>
      </c>
      <c r="CT116" s="133" t="n">
        <f aca="false">CF116+$D116*Inputs!$F$13</f>
        <v>16000</v>
      </c>
      <c r="CU116" s="84" t="n">
        <f aca="false">MIN(CR116,CT116)</f>
        <v>0</v>
      </c>
      <c r="CV116" s="84" t="n">
        <f aca="false">CT116-CU116</f>
        <v>16000</v>
      </c>
      <c r="CW116" s="84" t="n">
        <f aca="false">CI116+$G116*(CT116+CI116)</f>
        <v>3466.40384</v>
      </c>
      <c r="CX116" s="84" t="n">
        <f aca="false">MIN(CR116-CU116,CW116)</f>
        <v>0</v>
      </c>
      <c r="CY116" s="84" t="n">
        <f aca="false">CW116-CX116</f>
        <v>3466.40384</v>
      </c>
      <c r="CZ116" s="84" t="n">
        <f aca="false">IF($H116=1,MIN(CR116-CU116-CX116,MAX(0,$F116/(1-$F116)*(CN116+CX116)-CO116)),0)</f>
        <v>0</v>
      </c>
      <c r="DA116" s="84" t="n">
        <f aca="false">CR116-CU116-CX116-CZ116</f>
        <v>0</v>
      </c>
      <c r="DB116" s="84" t="n">
        <f aca="false">CU116+CX116+(1-$F116)*DA116</f>
        <v>0</v>
      </c>
      <c r="DC116" s="84" t="n">
        <f aca="false">CZ116+$F116*DA116</f>
        <v>0</v>
      </c>
      <c r="DD116" s="84" t="n">
        <f aca="false">CN116+CX116+(1-$F116)*DA116</f>
        <v>0</v>
      </c>
      <c r="DE116" s="84" t="n">
        <f aca="false">CO116+DC116</f>
        <v>0</v>
      </c>
      <c r="DF116" s="133" t="n">
        <f aca="false">CS116+$D116*Inputs!$G$13-$D116*$E116</f>
        <v>19411.0697968</v>
      </c>
      <c r="DG116" s="84" t="n">
        <f aca="false">DF116*(1+$I116)</f>
        <v>19799.291192736</v>
      </c>
      <c r="DH116" s="133" t="n">
        <f aca="false">DG116*Inputs!$G$14</f>
        <v>3959.8582385472</v>
      </c>
      <c r="DI116" s="84" t="n">
        <f aca="false">DG116-DH116</f>
        <v>15839.4329541888</v>
      </c>
      <c r="DJ116" s="133" t="n">
        <f aca="false">CV116+$D116*Inputs!$G$13</f>
        <v>20000</v>
      </c>
      <c r="DK116" s="84" t="n">
        <f aca="false">MIN(DH116,DJ116)</f>
        <v>3959.8582385472</v>
      </c>
      <c r="DL116" s="84" t="n">
        <f aca="false">DJ116-DK116</f>
        <v>16040.1417614528</v>
      </c>
      <c r="DM116" s="84" t="n">
        <f aca="false">CY116+$G116*(DJ116+CY116)</f>
        <v>5343.7161472</v>
      </c>
      <c r="DN116" s="84" t="n">
        <f aca="false">MIN(DH116-DK116,DM116)</f>
        <v>0</v>
      </c>
      <c r="DO116" s="84" t="n">
        <f aca="false">DM116-DN116</f>
        <v>5343.7161472</v>
      </c>
      <c r="DP116" s="84" t="n">
        <f aca="false">IF($H116=1,MIN(DH116-DK116-DN116,MAX(0,$F116/(1-$F116)*(DD116+DN116)-DE116)),0)</f>
        <v>0</v>
      </c>
      <c r="DQ116" s="84" t="n">
        <f aca="false">DH116-DK116-DN116-DP116</f>
        <v>0</v>
      </c>
      <c r="DR116" s="84" t="n">
        <f aca="false">DK116+DN116+(1-$F116)*DQ116</f>
        <v>3959.8582385472</v>
      </c>
      <c r="DS116" s="84" t="n">
        <f aca="false">DP116+$F116*DQ116</f>
        <v>0</v>
      </c>
      <c r="DT116" s="84" t="n">
        <f aca="false">DD116+DN116+(1-$F116)*DQ116</f>
        <v>0</v>
      </c>
      <c r="DU116" s="84" t="n">
        <f aca="false">DE116+DS116</f>
        <v>0</v>
      </c>
      <c r="DV116" s="133" t="n">
        <f aca="false">DI116+$D116*Inputs!$H$13-$D116*$E116</f>
        <v>15569.4329541888</v>
      </c>
      <c r="DW116" s="84" t="n">
        <f aca="false">DV116*(1+$I116)</f>
        <v>15880.8216132726</v>
      </c>
      <c r="DX116" s="133" t="n">
        <f aca="false">DW116*Inputs!$H$14</f>
        <v>3176.16432265452</v>
      </c>
      <c r="DY116" s="84" t="n">
        <f aca="false">DW116-DX116</f>
        <v>12704.6572906181</v>
      </c>
      <c r="DZ116" s="133" t="n">
        <f aca="false">DL116+$D116*Inputs!$H$13</f>
        <v>16040.1417614528</v>
      </c>
      <c r="EA116" s="84" t="n">
        <f aca="false">MIN(DX116,DZ116)</f>
        <v>3176.16432265452</v>
      </c>
      <c r="EB116" s="84" t="n">
        <f aca="false">DZ116-EA116</f>
        <v>12863.9774387983</v>
      </c>
      <c r="EC116" s="84" t="n">
        <f aca="false">DO116+$G116*(DZ116+DO116)</f>
        <v>7054.42477989222</v>
      </c>
      <c r="ED116" s="84" t="n">
        <f aca="false">MIN(DX116-EA116,EC116)</f>
        <v>0</v>
      </c>
      <c r="EE116" s="84" t="n">
        <f aca="false">EC116-ED116</f>
        <v>7054.42477989222</v>
      </c>
      <c r="EF116" s="84" t="n">
        <f aca="false">IF($H116=1,MIN(DX116-EA116-ED116,MAX(0,$F116/(1-$F116)*(DT116+ED116)-DU116)),0)</f>
        <v>0</v>
      </c>
      <c r="EG116" s="84" t="n">
        <f aca="false">DX116-EA116-ED116-EF116</f>
        <v>0</v>
      </c>
      <c r="EH116" s="84" t="n">
        <f aca="false">EA116+ED116+(1-$F116)*EG116</f>
        <v>3176.16432265452</v>
      </c>
      <c r="EI116" s="84" t="n">
        <f aca="false">EF116+$F116*EG116</f>
        <v>0</v>
      </c>
      <c r="EJ116" s="84" t="n">
        <f aca="false">DT116+ED116+(1-$F116)*EG116</f>
        <v>0</v>
      </c>
      <c r="EK116" s="84" t="n">
        <f aca="false">DU116+EI116</f>
        <v>0</v>
      </c>
      <c r="EL116" s="133" t="n">
        <f aca="false">DY116+$D116*Inputs!$I$13-$D116*$E116</f>
        <v>12434.6572906181</v>
      </c>
      <c r="EM116" s="84" t="n">
        <f aca="false">EL116*(1+$I116)</f>
        <v>12683.3504364304</v>
      </c>
      <c r="EN116" s="133" t="n">
        <f aca="false">EM116*Inputs!$I$14</f>
        <v>2536.67008728609</v>
      </c>
      <c r="EO116" s="84" t="n">
        <f aca="false">EM116-EN116</f>
        <v>10146.6803491443</v>
      </c>
      <c r="EP116" s="133" t="n">
        <f aca="false">EB116+$D116*Inputs!$I$13</f>
        <v>12863.9774387983</v>
      </c>
      <c r="EQ116" s="84" t="n">
        <f aca="false">MIN(EN116,EP116)</f>
        <v>2536.67008728609</v>
      </c>
      <c r="ER116" s="84" t="n">
        <f aca="false">EP116-EQ116</f>
        <v>10327.3073515122</v>
      </c>
      <c r="ES116" s="84" t="n">
        <f aca="false">EE116+$G116*(EP116+EE116)</f>
        <v>8647.89695738746</v>
      </c>
      <c r="ET116" s="84" t="n">
        <f aca="false">MIN(EN116-EQ116,ES116)</f>
        <v>0</v>
      </c>
      <c r="EU116" s="84" t="n">
        <f aca="false">ES116-ET116</f>
        <v>8647.89695738746</v>
      </c>
      <c r="EV116" s="84" t="n">
        <f aca="false">IF($H116=1,MIN(EN116-EQ116-ET116,MAX(0,$F116/(1-$F116)*(EJ116+ET116)-EK116)),0)</f>
        <v>0</v>
      </c>
      <c r="EW116" s="84" t="n">
        <f aca="false">EN116-EQ116-ET116-EV116</f>
        <v>0</v>
      </c>
      <c r="EX116" s="84" t="n">
        <f aca="false">EQ116+ET116+(1-$F116)*EW116</f>
        <v>2536.67008728609</v>
      </c>
      <c r="EY116" s="84" t="n">
        <f aca="false">EV116+$F116*EW116</f>
        <v>0</v>
      </c>
      <c r="EZ116" s="84" t="n">
        <f aca="false">EJ116+ET116+(1-$F116)*EW116</f>
        <v>0</v>
      </c>
      <c r="FA116" s="84" t="n">
        <f aca="false">EK116+EY116</f>
        <v>0</v>
      </c>
      <c r="FB116" s="133" t="n">
        <f aca="false">EO116+$D116*Inputs!$J$13-$D116*$E116</f>
        <v>9876.68034914434</v>
      </c>
      <c r="FC116" s="84" t="n">
        <f aca="false">FB116*(1+$I116)</f>
        <v>10074.2139561272</v>
      </c>
      <c r="FD116" s="133" t="n">
        <f aca="false">FC116*Inputs!$J$14</f>
        <v>2014.84279122545</v>
      </c>
      <c r="FE116" s="84" t="n">
        <f aca="false">FC116-FD116</f>
        <v>8059.37116490178</v>
      </c>
      <c r="FF116" s="133" t="n">
        <f aca="false">ER116+$D116*Inputs!$J$13</f>
        <v>10327.3073515122</v>
      </c>
      <c r="FG116" s="84" t="n">
        <f aca="false">MIN(FD116,FF116)</f>
        <v>2014.84279122545</v>
      </c>
      <c r="FH116" s="84" t="n">
        <f aca="false">FF116-FG116</f>
        <v>8312.46456028675</v>
      </c>
      <c r="FI116" s="84" t="n">
        <f aca="false">EU116+$G116*(FF116+EU116)</f>
        <v>10165.9133020994</v>
      </c>
      <c r="FJ116" s="84" t="n">
        <f aca="false">MIN(FD116-FG116,FI116)</f>
        <v>0</v>
      </c>
      <c r="FK116" s="84" t="n">
        <f aca="false">FI116-FJ116</f>
        <v>10165.9133020994</v>
      </c>
      <c r="FL116" s="84" t="n">
        <f aca="false">IF($H116=1,MIN(FD116-FG116-FJ116,MAX(0,$F116/(1-$F116)*(EZ116+FJ116)-FA116)),0)</f>
        <v>0</v>
      </c>
      <c r="FM116" s="84" t="n">
        <f aca="false">FD116-FG116-FJ116-FL116</f>
        <v>0</v>
      </c>
      <c r="FN116" s="84" t="n">
        <f aca="false">FG116+FJ116+(1-$F116)*FM116</f>
        <v>2014.84279122545</v>
      </c>
      <c r="FO116" s="84" t="n">
        <f aca="false">FL116+$F116*FM116</f>
        <v>0</v>
      </c>
      <c r="FP116" s="84" t="n">
        <f aca="false">EZ116+FJ116+(1-$F116)*FM116</f>
        <v>0</v>
      </c>
      <c r="FQ116" s="84" t="n">
        <f aca="false">FA116+FO116</f>
        <v>0</v>
      </c>
      <c r="FR116" s="133" t="n">
        <f aca="false">FE116+$D116*Inputs!$K$13-$D116*$E116</f>
        <v>7789.37116490178</v>
      </c>
      <c r="FS116" s="84" t="n">
        <f aca="false">FR116*(1+$I116)</f>
        <v>7945.15858819982</v>
      </c>
      <c r="FT116" s="133" t="n">
        <f aca="false">FS116*Inputs!$K$14</f>
        <v>1589.03171763996</v>
      </c>
      <c r="FU116" s="84" t="n">
        <f aca="false">FS116-FT116</f>
        <v>6356.12687055985</v>
      </c>
      <c r="FV116" s="133" t="n">
        <f aca="false">FH116+$D116*Inputs!$K$13</f>
        <v>8312.46456028675</v>
      </c>
      <c r="FW116" s="84" t="n">
        <f aca="false">MIN(FT116,FV116)</f>
        <v>1589.03171763996</v>
      </c>
      <c r="FX116" s="84" t="n">
        <f aca="false">FV116-FW116</f>
        <v>6723.43284264679</v>
      </c>
      <c r="FY116" s="84" t="n">
        <f aca="false">FK116+$G116*(FV116+FK116)</f>
        <v>11644.1835310903</v>
      </c>
      <c r="FZ116" s="84" t="n">
        <f aca="false">MIN(FT116-FW116,FY116)</f>
        <v>0</v>
      </c>
      <c r="GA116" s="84" t="n">
        <f aca="false">FY116-FZ116</f>
        <v>11644.1835310903</v>
      </c>
      <c r="GB116" s="84" t="n">
        <f aca="false">IF($H116=1,MIN(FT116-FW116-FZ116,MAX(0,$F116/(1-$F116)*(FP116+FZ116)-FQ116)),0)</f>
        <v>0</v>
      </c>
      <c r="GC116" s="84" t="n">
        <f aca="false">FT116-FW116-FZ116-GB116</f>
        <v>0</v>
      </c>
      <c r="GD116" s="84" t="n">
        <f aca="false">FW116+FZ116+(1-$F116)*GC116</f>
        <v>1589.03171763996</v>
      </c>
      <c r="GE116" s="84" t="n">
        <f aca="false">GB116+$F116*GC116</f>
        <v>0</v>
      </c>
      <c r="GF116" s="84" t="n">
        <f aca="false">FP116+FZ116+(1-$F116)*GC116</f>
        <v>0</v>
      </c>
      <c r="GG116" s="84" t="n">
        <f aca="false">FQ116+GE116</f>
        <v>0</v>
      </c>
      <c r="GH116" s="133" t="n">
        <f aca="false">FU116+$D116*Inputs!$L$13-$D116*$E116</f>
        <v>6086.12687055985</v>
      </c>
      <c r="GI116" s="84" t="n">
        <f aca="false">GH116*(1+$I116)</f>
        <v>6207.84940797105</v>
      </c>
      <c r="GJ116" s="133" t="n">
        <f aca="false">GI116*Inputs!$L$14</f>
        <v>6207.84940797105</v>
      </c>
      <c r="GK116" s="84" t="n">
        <f aca="false">GI116-GJ116</f>
        <v>0</v>
      </c>
      <c r="GL116" s="133" t="n">
        <f aca="false">FX116+$D116*Inputs!$L$13</f>
        <v>6723.43284264679</v>
      </c>
      <c r="GM116" s="84" t="n">
        <f aca="false">MIN(GJ116,GL116)</f>
        <v>6207.84940797105</v>
      </c>
      <c r="GN116" s="84" t="n">
        <f aca="false">GL116-GM116</f>
        <v>515.58343467574</v>
      </c>
      <c r="GO116" s="84" t="n">
        <f aca="false">GA116+$G116*(GL116+GA116)</f>
        <v>13113.5928409893</v>
      </c>
      <c r="GP116" s="84" t="n">
        <f aca="false">MIN(GJ116-GM116,GO116)</f>
        <v>0</v>
      </c>
      <c r="GQ116" s="84" t="n">
        <f aca="false">GO116-GP116</f>
        <v>13113.5928409893</v>
      </c>
      <c r="GR116" s="84" t="n">
        <f aca="false">IF($H116=1,MIN(GJ116-GM116-GP116,MAX(0,$F116/(1-$F116)*(GF116+GP116)-GG116)),0)</f>
        <v>0</v>
      </c>
      <c r="GS116" s="84" t="n">
        <f aca="false">GJ116-GM116-GP116-GR116</f>
        <v>0</v>
      </c>
      <c r="GT116" s="84" t="n">
        <f aca="false">GM116+GP116+(1-$F116)*GS116</f>
        <v>6207.84940797105</v>
      </c>
      <c r="GU116" s="84" t="n">
        <f aca="false">GR116+$F116*GS116</f>
        <v>0</v>
      </c>
      <c r="GV116" s="84" t="n">
        <f aca="false">GF116+GP116+(1-$F116)*GS116</f>
        <v>0</v>
      </c>
      <c r="GW116" s="84" t="n">
        <f aca="false">GG116+GU116</f>
        <v>0</v>
      </c>
    </row>
    <row r="117" customFormat="false" ht="15" hidden="false" customHeight="false" outlineLevel="0" collapsed="false">
      <c r="A117" s="5" t="s">
        <v>640</v>
      </c>
      <c r="B117" s="5" t="s">
        <v>428</v>
      </c>
      <c r="C117" s="135" t="n">
        <v>3</v>
      </c>
      <c r="D117" s="47" t="n">
        <f aca="false">Inputs!$C$6</f>
        <v>20000</v>
      </c>
      <c r="E117" s="35" t="n">
        <f aca="false">Inputs!$C$19</f>
        <v>0.0135</v>
      </c>
      <c r="F117" s="36" t="n">
        <f aca="false">Inputs!$C$20</f>
        <v>0.2</v>
      </c>
      <c r="G117" s="36" t="n">
        <f aca="false">Inputs!$C$22</f>
        <v>0.08</v>
      </c>
      <c r="H117" s="44" t="n">
        <f aca="false">Inputs!$C$23</f>
        <v>1</v>
      </c>
      <c r="I117" s="132" t="n">
        <f aca="false">Inputs!$C$38+$C117*Inputs!$C$39</f>
        <v>0.03</v>
      </c>
      <c r="J117" s="36" t="n">
        <f aca="false">Inputs!$C$9</f>
        <v>0.15</v>
      </c>
      <c r="K117" s="89" t="n">
        <f aca="false">IRR(W117:AG117,0.1)</f>
        <v>0.00585372794982102</v>
      </c>
      <c r="L117" s="45" t="n">
        <f aca="false">W117+NPV($J117,X117:AG117)</f>
        <v>-8099.54344747247</v>
      </c>
      <c r="M117" s="45" t="n">
        <f aca="false">SUM(BF117,BV117,CL117,DB117,DR117,EH117,EX117,FN117,GD117,GT117)</f>
        <v>20675.5213852755</v>
      </c>
      <c r="N117" s="43" t="n">
        <f aca="false">IF($D117*SUM(Inputs!$C$13:$L$13)=0,0,M117/($D117*SUM(Inputs!$C$13:$L$13)))</f>
        <v>1.03377606926378</v>
      </c>
      <c r="O117" s="42" t="n">
        <f aca="false">$D117*$E117*COLUMNS(Inputs!$C$13:$L$13)</f>
        <v>2700</v>
      </c>
      <c r="P117" s="45" t="n">
        <f aca="false">SUM(BG117,BW117,CM117,DC117,DS117,EI117,EY117,FO117,GE117,GU117)</f>
        <v>0</v>
      </c>
      <c r="Q117" s="42" t="n">
        <f aca="false">PV($J117,COLUMNS(Inputs!$C$13:$L$13),-$D117*$E117,0,1)</f>
        <v>1558.32765832774</v>
      </c>
      <c r="R117" s="45" t="n">
        <f aca="false">NPV($J117,BG117,BW117,CM117,DC117,DS117,EI117,EY117,FO117,GE117,GU117)</f>
        <v>0</v>
      </c>
      <c r="S117" s="45" t="n">
        <f aca="false">Q117+R117</f>
        <v>1558.32765832774</v>
      </c>
      <c r="T117" s="32" t="n">
        <f aca="false">IF(S117=0,0,Q117/S117)</f>
        <v>1</v>
      </c>
      <c r="U117" s="45" t="n">
        <f aca="false">ROUND(ABS(GK117)+ABS(SUM(AV117,BL117,CB117,CR117,DH117,DX117,EN117,FD117,FT117,GJ117)-M117-P117)+ABS(S117-(AH117+NPV($J117,AI117:AR117))),6)</f>
        <v>0</v>
      </c>
      <c r="W117" s="133" t="n">
        <f aca="false">-$D117*Inputs!$C$13</f>
        <v>-4000</v>
      </c>
      <c r="X117" s="133" t="n">
        <f aca="false">BF117-$D117*Inputs!$D$13</f>
        <v>-4000</v>
      </c>
      <c r="Y117" s="133" t="n">
        <f aca="false">BV117-$D117*Inputs!$E$13</f>
        <v>-4000</v>
      </c>
      <c r="Z117" s="133" t="n">
        <f aca="false">CL117-$D117*Inputs!$F$13</f>
        <v>-4000</v>
      </c>
      <c r="AA117" s="133" t="n">
        <f aca="false">DB117-$D117*Inputs!$G$13</f>
        <v>-4000</v>
      </c>
      <c r="AB117" s="133" t="n">
        <f aca="false">DR117-$D117*Inputs!$H$13</f>
        <v>4079.4337736878</v>
      </c>
      <c r="AC117" s="133" t="n">
        <f aca="false">EH117-$D117*Inputs!$I$13</f>
        <v>3305.83342951875</v>
      </c>
      <c r="AD117" s="133" t="n">
        <f aca="false">EX117-$D117*Inputs!$J$13</f>
        <v>2668.38674592345</v>
      </c>
      <c r="AE117" s="133" t="n">
        <f aca="false">FN117-$D117*Inputs!$K$13</f>
        <v>2143.13067864092</v>
      </c>
      <c r="AF117" s="133" t="n">
        <f aca="false">GD117-$D117*Inputs!$L$13</f>
        <v>1710.31967920012</v>
      </c>
      <c r="AG117" s="84" t="n">
        <f aca="false">GT117</f>
        <v>6768.41707830449</v>
      </c>
      <c r="AH117" s="84" t="n">
        <f aca="false">$D117*$E117</f>
        <v>270</v>
      </c>
      <c r="AI117" s="84" t="n">
        <f aca="false">BG117+$D117*$E117</f>
        <v>270</v>
      </c>
      <c r="AJ117" s="84" t="n">
        <f aca="false">BW117+$D117*$E117</f>
        <v>270</v>
      </c>
      <c r="AK117" s="84" t="n">
        <f aca="false">CM117+$D117*$E117</f>
        <v>270</v>
      </c>
      <c r="AL117" s="84" t="n">
        <f aca="false">DC117+$D117*$E117</f>
        <v>270</v>
      </c>
      <c r="AM117" s="84" t="n">
        <f aca="false">DS117+$D117*$E117</f>
        <v>270</v>
      </c>
      <c r="AN117" s="84" t="n">
        <f aca="false">EI117+$D117*$E117</f>
        <v>270</v>
      </c>
      <c r="AO117" s="84" t="n">
        <f aca="false">EY117+$D117*$E117</f>
        <v>270</v>
      </c>
      <c r="AP117" s="84" t="n">
        <f aca="false">FO117+$D117*$E117</f>
        <v>270</v>
      </c>
      <c r="AQ117" s="84" t="n">
        <f aca="false">GE117+$D117*$E117</f>
        <v>270</v>
      </c>
      <c r="AR117" s="84" t="n">
        <f aca="false">GU117</f>
        <v>0</v>
      </c>
      <c r="AT117" s="133" t="n">
        <f aca="false">$D117*Inputs!$C$13-$D117*$E117</f>
        <v>3730</v>
      </c>
      <c r="AU117" s="84" t="n">
        <f aca="false">AT117*(1+$I117)</f>
        <v>3841.9</v>
      </c>
      <c r="AV117" s="133" t="n">
        <f aca="false">AU117*Inputs!$C$14</f>
        <v>0</v>
      </c>
      <c r="AW117" s="84" t="n">
        <f aca="false">AU117-AV117</f>
        <v>3841.9</v>
      </c>
      <c r="AX117" s="133" t="n">
        <f aca="false">$D117*Inputs!$C$13</f>
        <v>4000</v>
      </c>
      <c r="AY117" s="84" t="n">
        <f aca="false">MIN(AV117,AX117)</f>
        <v>0</v>
      </c>
      <c r="AZ117" s="84" t="n">
        <f aca="false">AX117-AY117</f>
        <v>4000</v>
      </c>
      <c r="BA117" s="84" t="n">
        <f aca="false">$G117*AX117</f>
        <v>320</v>
      </c>
      <c r="BB117" s="84" t="n">
        <f aca="false">MIN(AV117-AY117,BA117)</f>
        <v>0</v>
      </c>
      <c r="BC117" s="84" t="n">
        <f aca="false">BA117-BB117</f>
        <v>320</v>
      </c>
      <c r="BD117" s="84" t="n">
        <f aca="false">IF($H117=1,MIN(AV117-AY117-BB117,MAX(0,$F117/(1-$F117)*BB117)),0)</f>
        <v>0</v>
      </c>
      <c r="BE117" s="84" t="n">
        <f aca="false">AV117-AY117-BB117-BD117</f>
        <v>0</v>
      </c>
      <c r="BF117" s="84" t="n">
        <f aca="false">AY117+BB117+(1-$F117)*BE117</f>
        <v>0</v>
      </c>
      <c r="BG117" s="84" t="n">
        <f aca="false">BD117+$F117*BE117</f>
        <v>0</v>
      </c>
      <c r="BH117" s="84" t="n">
        <f aca="false">BB117+(1-$F117)*BE117</f>
        <v>0</v>
      </c>
      <c r="BI117" s="84" t="n">
        <f aca="false">BG117</f>
        <v>0</v>
      </c>
      <c r="BJ117" s="133" t="n">
        <f aca="false">AW117+$D117*Inputs!$D$13-$D117*$E117</f>
        <v>7571.9</v>
      </c>
      <c r="BK117" s="84" t="n">
        <f aca="false">BJ117*(1+$I117)</f>
        <v>7799.057</v>
      </c>
      <c r="BL117" s="133" t="n">
        <f aca="false">BK117*Inputs!$D$14</f>
        <v>0</v>
      </c>
      <c r="BM117" s="84" t="n">
        <f aca="false">BK117-BL117</f>
        <v>7799.057</v>
      </c>
      <c r="BN117" s="133" t="n">
        <f aca="false">AZ117+$D117*Inputs!$D$13</f>
        <v>8000</v>
      </c>
      <c r="BO117" s="84" t="n">
        <f aca="false">MIN(BL117,BN117)</f>
        <v>0</v>
      </c>
      <c r="BP117" s="84" t="n">
        <f aca="false">BN117-BO117</f>
        <v>8000</v>
      </c>
      <c r="BQ117" s="84" t="n">
        <f aca="false">BC117+$G117*(BN117+BC117)</f>
        <v>985.6</v>
      </c>
      <c r="BR117" s="84" t="n">
        <f aca="false">MIN(BL117-BO117,BQ117)</f>
        <v>0</v>
      </c>
      <c r="BS117" s="84" t="n">
        <f aca="false">BQ117-BR117</f>
        <v>985.6</v>
      </c>
      <c r="BT117" s="84" t="n">
        <f aca="false">IF($H117=1,MIN(BL117-BO117-BR117,MAX(0,$F117/(1-$F117)*(BH117+BR117)-BI117)),0)</f>
        <v>0</v>
      </c>
      <c r="BU117" s="84" t="n">
        <f aca="false">BL117-BO117-BR117-BT117</f>
        <v>0</v>
      </c>
      <c r="BV117" s="84" t="n">
        <f aca="false">BO117+BR117+(1-$F117)*BU117</f>
        <v>0</v>
      </c>
      <c r="BW117" s="84" t="n">
        <f aca="false">BT117+$F117*BU117</f>
        <v>0</v>
      </c>
      <c r="BX117" s="84" t="n">
        <f aca="false">BH117+BR117+(1-$F117)*BU117</f>
        <v>0</v>
      </c>
      <c r="BY117" s="84" t="n">
        <f aca="false">BI117+BW117</f>
        <v>0</v>
      </c>
      <c r="BZ117" s="133" t="n">
        <f aca="false">BM117+$D117*Inputs!$E$13-$D117*$E117</f>
        <v>11529.057</v>
      </c>
      <c r="CA117" s="84" t="n">
        <f aca="false">BZ117*(1+$I117)</f>
        <v>11874.92871</v>
      </c>
      <c r="CB117" s="133" t="n">
        <f aca="false">CA117*Inputs!$E$14</f>
        <v>0</v>
      </c>
      <c r="CC117" s="84" t="n">
        <f aca="false">CA117-CB117</f>
        <v>11874.92871</v>
      </c>
      <c r="CD117" s="133" t="n">
        <f aca="false">BP117+$D117*Inputs!$E$13</f>
        <v>12000</v>
      </c>
      <c r="CE117" s="84" t="n">
        <f aca="false">MIN(CB117,CD117)</f>
        <v>0</v>
      </c>
      <c r="CF117" s="84" t="n">
        <f aca="false">CD117-CE117</f>
        <v>12000</v>
      </c>
      <c r="CG117" s="84" t="n">
        <f aca="false">BS117+$G117*(CD117+BS117)</f>
        <v>2024.448</v>
      </c>
      <c r="CH117" s="84" t="n">
        <f aca="false">MIN(CB117-CE117,CG117)</f>
        <v>0</v>
      </c>
      <c r="CI117" s="84" t="n">
        <f aca="false">CG117-CH117</f>
        <v>2024.448</v>
      </c>
      <c r="CJ117" s="84" t="n">
        <f aca="false">IF($H117=1,MIN(CB117-CE117-CH117,MAX(0,$F117/(1-$F117)*(BX117+CH117)-BY117)),0)</f>
        <v>0</v>
      </c>
      <c r="CK117" s="84" t="n">
        <f aca="false">CB117-CE117-CH117-CJ117</f>
        <v>0</v>
      </c>
      <c r="CL117" s="84" t="n">
        <f aca="false">CE117+CH117+(1-$F117)*CK117</f>
        <v>0</v>
      </c>
      <c r="CM117" s="84" t="n">
        <f aca="false">CJ117+$F117*CK117</f>
        <v>0</v>
      </c>
      <c r="CN117" s="84" t="n">
        <f aca="false">BX117+CH117+(1-$F117)*CK117</f>
        <v>0</v>
      </c>
      <c r="CO117" s="84" t="n">
        <f aca="false">BY117+CM117</f>
        <v>0</v>
      </c>
      <c r="CP117" s="133" t="n">
        <f aca="false">CC117+$D117*Inputs!$F$13-$D117*$E117</f>
        <v>15604.92871</v>
      </c>
      <c r="CQ117" s="84" t="n">
        <f aca="false">CP117*(1+$I117)</f>
        <v>16073.0765713</v>
      </c>
      <c r="CR117" s="133" t="n">
        <f aca="false">CQ117*Inputs!$F$14</f>
        <v>0</v>
      </c>
      <c r="CS117" s="84" t="n">
        <f aca="false">CQ117-CR117</f>
        <v>16073.0765713</v>
      </c>
      <c r="CT117" s="133" t="n">
        <f aca="false">CF117+$D117*Inputs!$F$13</f>
        <v>16000</v>
      </c>
      <c r="CU117" s="84" t="n">
        <f aca="false">MIN(CR117,CT117)</f>
        <v>0</v>
      </c>
      <c r="CV117" s="84" t="n">
        <f aca="false">CT117-CU117</f>
        <v>16000</v>
      </c>
      <c r="CW117" s="84" t="n">
        <f aca="false">CI117+$G117*(CT117+CI117)</f>
        <v>3466.40384</v>
      </c>
      <c r="CX117" s="84" t="n">
        <f aca="false">MIN(CR117-CU117,CW117)</f>
        <v>0</v>
      </c>
      <c r="CY117" s="84" t="n">
        <f aca="false">CW117-CX117</f>
        <v>3466.40384</v>
      </c>
      <c r="CZ117" s="84" t="n">
        <f aca="false">IF($H117=1,MIN(CR117-CU117-CX117,MAX(0,$F117/(1-$F117)*(CN117+CX117)-CO117)),0)</f>
        <v>0</v>
      </c>
      <c r="DA117" s="84" t="n">
        <f aca="false">CR117-CU117-CX117-CZ117</f>
        <v>0</v>
      </c>
      <c r="DB117" s="84" t="n">
        <f aca="false">CU117+CX117+(1-$F117)*DA117</f>
        <v>0</v>
      </c>
      <c r="DC117" s="84" t="n">
        <f aca="false">CZ117+$F117*DA117</f>
        <v>0</v>
      </c>
      <c r="DD117" s="84" t="n">
        <f aca="false">CN117+CX117+(1-$F117)*DA117</f>
        <v>0</v>
      </c>
      <c r="DE117" s="84" t="n">
        <f aca="false">CO117+DC117</f>
        <v>0</v>
      </c>
      <c r="DF117" s="133" t="n">
        <f aca="false">CS117+$D117*Inputs!$G$13-$D117*$E117</f>
        <v>19803.0765713</v>
      </c>
      <c r="DG117" s="84" t="n">
        <f aca="false">DF117*(1+$I117)</f>
        <v>20397.168868439</v>
      </c>
      <c r="DH117" s="133" t="n">
        <f aca="false">DG117*Inputs!$G$14</f>
        <v>4079.4337736878</v>
      </c>
      <c r="DI117" s="84" t="n">
        <f aca="false">DG117-DH117</f>
        <v>16317.7350947512</v>
      </c>
      <c r="DJ117" s="133" t="n">
        <f aca="false">CV117+$D117*Inputs!$G$13</f>
        <v>20000</v>
      </c>
      <c r="DK117" s="84" t="n">
        <f aca="false">MIN(DH117,DJ117)</f>
        <v>4079.4337736878</v>
      </c>
      <c r="DL117" s="84" t="n">
        <f aca="false">DJ117-DK117</f>
        <v>15920.5662263122</v>
      </c>
      <c r="DM117" s="84" t="n">
        <f aca="false">CY117+$G117*(DJ117+CY117)</f>
        <v>5343.7161472</v>
      </c>
      <c r="DN117" s="84" t="n">
        <f aca="false">MIN(DH117-DK117,DM117)</f>
        <v>0</v>
      </c>
      <c r="DO117" s="84" t="n">
        <f aca="false">DM117-DN117</f>
        <v>5343.7161472</v>
      </c>
      <c r="DP117" s="84" t="n">
        <f aca="false">IF($H117=1,MIN(DH117-DK117-DN117,MAX(0,$F117/(1-$F117)*(DD117+DN117)-DE117)),0)</f>
        <v>0</v>
      </c>
      <c r="DQ117" s="84" t="n">
        <f aca="false">DH117-DK117-DN117-DP117</f>
        <v>0</v>
      </c>
      <c r="DR117" s="84" t="n">
        <f aca="false">DK117+DN117+(1-$F117)*DQ117</f>
        <v>4079.4337736878</v>
      </c>
      <c r="DS117" s="84" t="n">
        <f aca="false">DP117+$F117*DQ117</f>
        <v>0</v>
      </c>
      <c r="DT117" s="84" t="n">
        <f aca="false">DD117+DN117+(1-$F117)*DQ117</f>
        <v>0</v>
      </c>
      <c r="DU117" s="84" t="n">
        <f aca="false">DE117+DS117</f>
        <v>0</v>
      </c>
      <c r="DV117" s="133" t="n">
        <f aca="false">DI117+$D117*Inputs!$H$13-$D117*$E117</f>
        <v>16047.7350947512</v>
      </c>
      <c r="DW117" s="84" t="n">
        <f aca="false">DV117*(1+$I117)</f>
        <v>16529.1671475937</v>
      </c>
      <c r="DX117" s="133" t="n">
        <f aca="false">DW117*Inputs!$H$14</f>
        <v>3305.83342951875</v>
      </c>
      <c r="DY117" s="84" t="n">
        <f aca="false">DW117-DX117</f>
        <v>13223.333718075</v>
      </c>
      <c r="DZ117" s="133" t="n">
        <f aca="false">DL117+$D117*Inputs!$H$13</f>
        <v>15920.5662263122</v>
      </c>
      <c r="EA117" s="84" t="n">
        <f aca="false">MIN(DX117,DZ117)</f>
        <v>3305.83342951875</v>
      </c>
      <c r="EB117" s="84" t="n">
        <f aca="false">DZ117-EA117</f>
        <v>12614.7327967935</v>
      </c>
      <c r="EC117" s="84" t="n">
        <f aca="false">DO117+$G117*(DZ117+DO117)</f>
        <v>7044.85873708098</v>
      </c>
      <c r="ED117" s="84" t="n">
        <f aca="false">MIN(DX117-EA117,EC117)</f>
        <v>0</v>
      </c>
      <c r="EE117" s="84" t="n">
        <f aca="false">EC117-ED117</f>
        <v>7044.85873708098</v>
      </c>
      <c r="EF117" s="84" t="n">
        <f aca="false">IF($H117=1,MIN(DX117-EA117-ED117,MAX(0,$F117/(1-$F117)*(DT117+ED117)-DU117)),0)</f>
        <v>0</v>
      </c>
      <c r="EG117" s="84" t="n">
        <f aca="false">DX117-EA117-ED117-EF117</f>
        <v>0</v>
      </c>
      <c r="EH117" s="84" t="n">
        <f aca="false">EA117+ED117+(1-$F117)*EG117</f>
        <v>3305.83342951875</v>
      </c>
      <c r="EI117" s="84" t="n">
        <f aca="false">EF117+$F117*EG117</f>
        <v>0</v>
      </c>
      <c r="EJ117" s="84" t="n">
        <f aca="false">DT117+ED117+(1-$F117)*EG117</f>
        <v>0</v>
      </c>
      <c r="EK117" s="84" t="n">
        <f aca="false">DU117+EI117</f>
        <v>0</v>
      </c>
      <c r="EL117" s="133" t="n">
        <f aca="false">DY117+$D117*Inputs!$I$13-$D117*$E117</f>
        <v>12953.333718075</v>
      </c>
      <c r="EM117" s="84" t="n">
        <f aca="false">EL117*(1+$I117)</f>
        <v>13341.9337296172</v>
      </c>
      <c r="EN117" s="133" t="n">
        <f aca="false">EM117*Inputs!$I$14</f>
        <v>2668.38674592345</v>
      </c>
      <c r="EO117" s="84" t="n">
        <f aca="false">EM117-EN117</f>
        <v>10673.5469836938</v>
      </c>
      <c r="EP117" s="133" t="n">
        <f aca="false">EB117+$D117*Inputs!$I$13</f>
        <v>12614.7327967935</v>
      </c>
      <c r="EQ117" s="84" t="n">
        <f aca="false">MIN(EN117,EP117)</f>
        <v>2668.38674592345</v>
      </c>
      <c r="ER117" s="84" t="n">
        <f aca="false">EP117-EQ117</f>
        <v>9946.34605087001</v>
      </c>
      <c r="ES117" s="84" t="n">
        <f aca="false">EE117+$G117*(EP117+EE117)</f>
        <v>8617.62605979093</v>
      </c>
      <c r="ET117" s="84" t="n">
        <f aca="false">MIN(EN117-EQ117,ES117)</f>
        <v>0</v>
      </c>
      <c r="EU117" s="84" t="n">
        <f aca="false">ES117-ET117</f>
        <v>8617.62605979093</v>
      </c>
      <c r="EV117" s="84" t="n">
        <f aca="false">IF($H117=1,MIN(EN117-EQ117-ET117,MAX(0,$F117/(1-$F117)*(EJ117+ET117)-EK117)),0)</f>
        <v>0</v>
      </c>
      <c r="EW117" s="84" t="n">
        <f aca="false">EN117-EQ117-ET117-EV117</f>
        <v>0</v>
      </c>
      <c r="EX117" s="84" t="n">
        <f aca="false">EQ117+ET117+(1-$F117)*EW117</f>
        <v>2668.38674592345</v>
      </c>
      <c r="EY117" s="84" t="n">
        <f aca="false">EV117+$F117*EW117</f>
        <v>0</v>
      </c>
      <c r="EZ117" s="84" t="n">
        <f aca="false">EJ117+ET117+(1-$F117)*EW117</f>
        <v>0</v>
      </c>
      <c r="FA117" s="84" t="n">
        <f aca="false">EK117+EY117</f>
        <v>0</v>
      </c>
      <c r="FB117" s="133" t="n">
        <f aca="false">EO117+$D117*Inputs!$J$13-$D117*$E117</f>
        <v>10403.5469836938</v>
      </c>
      <c r="FC117" s="84" t="n">
        <f aca="false">FB117*(1+$I117)</f>
        <v>10715.6533932046</v>
      </c>
      <c r="FD117" s="133" t="n">
        <f aca="false">FC117*Inputs!$J$14</f>
        <v>2143.13067864092</v>
      </c>
      <c r="FE117" s="84" t="n">
        <f aca="false">FC117-FD117</f>
        <v>8572.52271456369</v>
      </c>
      <c r="FF117" s="133" t="n">
        <f aca="false">ER117+$D117*Inputs!$J$13</f>
        <v>9946.34605087001</v>
      </c>
      <c r="FG117" s="84" t="n">
        <f aca="false">MIN(FD117,FF117)</f>
        <v>2143.13067864092</v>
      </c>
      <c r="FH117" s="84" t="n">
        <f aca="false">FF117-FG117</f>
        <v>7803.21537222908</v>
      </c>
      <c r="FI117" s="84" t="n">
        <f aca="false">EU117+$G117*(FF117+EU117)</f>
        <v>10102.7438286438</v>
      </c>
      <c r="FJ117" s="84" t="n">
        <f aca="false">MIN(FD117-FG117,FI117)</f>
        <v>0</v>
      </c>
      <c r="FK117" s="84" t="n">
        <f aca="false">FI117-FJ117</f>
        <v>10102.7438286438</v>
      </c>
      <c r="FL117" s="84" t="n">
        <f aca="false">IF($H117=1,MIN(FD117-FG117-FJ117,MAX(0,$F117/(1-$F117)*(EZ117+FJ117)-FA117)),0)</f>
        <v>0</v>
      </c>
      <c r="FM117" s="84" t="n">
        <f aca="false">FD117-FG117-FJ117-FL117</f>
        <v>0</v>
      </c>
      <c r="FN117" s="84" t="n">
        <f aca="false">FG117+FJ117+(1-$F117)*FM117</f>
        <v>2143.13067864092</v>
      </c>
      <c r="FO117" s="84" t="n">
        <f aca="false">FL117+$F117*FM117</f>
        <v>0</v>
      </c>
      <c r="FP117" s="84" t="n">
        <f aca="false">EZ117+FJ117+(1-$F117)*FM117</f>
        <v>0</v>
      </c>
      <c r="FQ117" s="84" t="n">
        <f aca="false">FA117+FO117</f>
        <v>0</v>
      </c>
      <c r="FR117" s="133" t="n">
        <f aca="false">FE117+$D117*Inputs!$K$13-$D117*$E117</f>
        <v>8302.52271456369</v>
      </c>
      <c r="FS117" s="84" t="n">
        <f aca="false">FR117*(1+$I117)</f>
        <v>8551.5983960006</v>
      </c>
      <c r="FT117" s="133" t="n">
        <f aca="false">FS117*Inputs!$K$14</f>
        <v>1710.31967920012</v>
      </c>
      <c r="FU117" s="84" t="n">
        <f aca="false">FS117-FT117</f>
        <v>6841.27871680048</v>
      </c>
      <c r="FV117" s="133" t="n">
        <f aca="false">FH117+$D117*Inputs!$K$13</f>
        <v>7803.21537222908</v>
      </c>
      <c r="FW117" s="84" t="n">
        <f aca="false">MIN(FT117,FV117)</f>
        <v>1710.31967920012</v>
      </c>
      <c r="FX117" s="84" t="n">
        <f aca="false">FV117-FW117</f>
        <v>6092.89569302896</v>
      </c>
      <c r="FY117" s="84" t="n">
        <f aca="false">FK117+$G117*(FV117+FK117)</f>
        <v>11535.2205647136</v>
      </c>
      <c r="FZ117" s="84" t="n">
        <f aca="false">MIN(FT117-FW117,FY117)</f>
        <v>0</v>
      </c>
      <c r="GA117" s="84" t="n">
        <f aca="false">FY117-FZ117</f>
        <v>11535.2205647136</v>
      </c>
      <c r="GB117" s="84" t="n">
        <f aca="false">IF($H117=1,MIN(FT117-FW117-FZ117,MAX(0,$F117/(1-$F117)*(FP117+FZ117)-FQ117)),0)</f>
        <v>0</v>
      </c>
      <c r="GC117" s="84" t="n">
        <f aca="false">FT117-FW117-FZ117-GB117</f>
        <v>0</v>
      </c>
      <c r="GD117" s="84" t="n">
        <f aca="false">FW117+FZ117+(1-$F117)*GC117</f>
        <v>1710.31967920012</v>
      </c>
      <c r="GE117" s="84" t="n">
        <f aca="false">GB117+$F117*GC117</f>
        <v>0</v>
      </c>
      <c r="GF117" s="84" t="n">
        <f aca="false">FP117+FZ117+(1-$F117)*GC117</f>
        <v>0</v>
      </c>
      <c r="GG117" s="84" t="n">
        <f aca="false">FQ117+GE117</f>
        <v>0</v>
      </c>
      <c r="GH117" s="133" t="n">
        <f aca="false">FU117+$D117*Inputs!$L$13-$D117*$E117</f>
        <v>6571.27871680048</v>
      </c>
      <c r="GI117" s="84" t="n">
        <f aca="false">GH117*(1+$I117)</f>
        <v>6768.41707830449</v>
      </c>
      <c r="GJ117" s="133" t="n">
        <f aca="false">GI117*Inputs!$L$14</f>
        <v>6768.41707830449</v>
      </c>
      <c r="GK117" s="84" t="n">
        <f aca="false">GI117-GJ117</f>
        <v>0</v>
      </c>
      <c r="GL117" s="133" t="n">
        <f aca="false">FX117+$D117*Inputs!$L$13</f>
        <v>6092.89569302896</v>
      </c>
      <c r="GM117" s="84" t="n">
        <f aca="false">MIN(GJ117,GL117)</f>
        <v>6092.89569302896</v>
      </c>
      <c r="GN117" s="84" t="n">
        <f aca="false">GL117-GM117</f>
        <v>0</v>
      </c>
      <c r="GO117" s="84" t="n">
        <f aca="false">GA117+$G117*(GL117+GA117)</f>
        <v>12945.469865333</v>
      </c>
      <c r="GP117" s="84" t="n">
        <f aca="false">MIN(GJ117-GM117,GO117)</f>
        <v>675.521385275528</v>
      </c>
      <c r="GQ117" s="84" t="n">
        <f aca="false">GO117-GP117</f>
        <v>12269.9484800575</v>
      </c>
      <c r="GR117" s="84" t="n">
        <f aca="false">IF($H117=1,MIN(GJ117-GM117-GP117,MAX(0,$F117/(1-$F117)*(GF117+GP117)-GG117)),0)</f>
        <v>0</v>
      </c>
      <c r="GS117" s="84" t="n">
        <f aca="false">GJ117-GM117-GP117-GR117</f>
        <v>0</v>
      </c>
      <c r="GT117" s="84" t="n">
        <f aca="false">GM117+GP117+(1-$F117)*GS117</f>
        <v>6768.41707830449</v>
      </c>
      <c r="GU117" s="84" t="n">
        <f aca="false">GR117+$F117*GS117</f>
        <v>0</v>
      </c>
      <c r="GV117" s="84" t="n">
        <f aca="false">GF117+GP117+(1-$F117)*GS117</f>
        <v>675.521385275528</v>
      </c>
      <c r="GW117" s="84" t="n">
        <f aca="false">GG117+GU117</f>
        <v>0</v>
      </c>
    </row>
    <row r="118" customFormat="false" ht="15" hidden="false" customHeight="false" outlineLevel="0" collapsed="false">
      <c r="A118" s="5" t="s">
        <v>640</v>
      </c>
      <c r="B118" s="5" t="s">
        <v>428</v>
      </c>
      <c r="C118" s="135" t="n">
        <v>4</v>
      </c>
      <c r="D118" s="47" t="n">
        <f aca="false">Inputs!$C$6</f>
        <v>20000</v>
      </c>
      <c r="E118" s="35" t="n">
        <f aca="false">Inputs!$C$19</f>
        <v>0.0135</v>
      </c>
      <c r="F118" s="36" t="n">
        <f aca="false">Inputs!$C$20</f>
        <v>0.2</v>
      </c>
      <c r="G118" s="36" t="n">
        <f aca="false">Inputs!$C$22</f>
        <v>0.08</v>
      </c>
      <c r="H118" s="44" t="n">
        <f aca="false">Inputs!$C$23</f>
        <v>1</v>
      </c>
      <c r="I118" s="132" t="n">
        <f aca="false">Inputs!$C$38+$C118*Inputs!$C$39</f>
        <v>0.04</v>
      </c>
      <c r="J118" s="36" t="n">
        <f aca="false">Inputs!$C$9</f>
        <v>0.15</v>
      </c>
      <c r="K118" s="89" t="n">
        <f aca="false">IRR(W118:AG118,0.1)</f>
        <v>0.0162834542979452</v>
      </c>
      <c r="L118" s="45" t="n">
        <f aca="false">W118+NPV($J118,X118:AG118)</f>
        <v>-7698.7494474518</v>
      </c>
      <c r="M118" s="45" t="n">
        <f aca="false">SUM(BF118,BV118,CL118,DB118,DR118,EH118,EX118,FN118,GD118,GT118)</f>
        <v>21937.581297964</v>
      </c>
      <c r="N118" s="43" t="n">
        <f aca="false">IF($D118*SUM(Inputs!$C$13:$L$13)=0,0,M118/($D118*SUM(Inputs!$C$13:$L$13)))</f>
        <v>1.0968790648982</v>
      </c>
      <c r="O118" s="42" t="n">
        <f aca="false">$D118*$E118*COLUMNS(Inputs!$C$13:$L$13)</f>
        <v>2700</v>
      </c>
      <c r="P118" s="45" t="n">
        <f aca="false">SUM(BG118,BW118,CM118,DC118,DS118,EI118,EY118,FO118,GE118,GU118)</f>
        <v>0</v>
      </c>
      <c r="Q118" s="42" t="n">
        <f aca="false">PV($J118,COLUMNS(Inputs!$C$13:$L$13),-$D118*$E118,0,1)</f>
        <v>1558.32765832774</v>
      </c>
      <c r="R118" s="45" t="n">
        <f aca="false">NPV($J118,BG118,BW118,CM118,DC118,DS118,EI118,EY118,FO118,GE118,GU118)</f>
        <v>0</v>
      </c>
      <c r="S118" s="45" t="n">
        <f aca="false">Q118+R118</f>
        <v>1558.32765832774</v>
      </c>
      <c r="T118" s="32" t="n">
        <f aca="false">IF(S118=0,0,Q118/S118)</f>
        <v>1</v>
      </c>
      <c r="U118" s="45" t="n">
        <f aca="false">ROUND(ABS(GK118)+ABS(SUM(AV118,BL118,CB118,CR118,DH118,DX118,EN118,FD118,FT118,GJ118)-M118-P118)+ABS(S118-(AH118+NPV($J118,AI118:AR118))),6)</f>
        <v>0</v>
      </c>
      <c r="W118" s="133" t="n">
        <f aca="false">-$D118*Inputs!$C$13</f>
        <v>-4000</v>
      </c>
      <c r="X118" s="133" t="n">
        <f aca="false">BF118-$D118*Inputs!$D$13</f>
        <v>-4000</v>
      </c>
      <c r="Y118" s="133" t="n">
        <f aca="false">BV118-$D118*Inputs!$E$13</f>
        <v>-4000</v>
      </c>
      <c r="Z118" s="133" t="n">
        <f aca="false">CL118-$D118*Inputs!$F$13</f>
        <v>-4000</v>
      </c>
      <c r="AA118" s="133" t="n">
        <f aca="false">DB118-$D118*Inputs!$G$13</f>
        <v>-4000</v>
      </c>
      <c r="AB118" s="133" t="n">
        <f aca="false">DR118-$D118*Inputs!$H$13</f>
        <v>4202.1996949504</v>
      </c>
      <c r="AC118" s="133" t="n">
        <f aca="false">EH118-$D118*Inputs!$I$13</f>
        <v>3440.07014619873</v>
      </c>
      <c r="AD118" s="133" t="n">
        <f aca="false">EX118-$D118*Inputs!$J$13</f>
        <v>2805.97836163735</v>
      </c>
      <c r="AE118" s="133" t="n">
        <f aca="false">FN118-$D118*Inputs!$K$13</f>
        <v>2278.41399688227</v>
      </c>
      <c r="AF118" s="133" t="n">
        <f aca="false">GD118-$D118*Inputs!$L$13</f>
        <v>1839.48044540605</v>
      </c>
      <c r="AG118" s="84" t="n">
        <f aca="false">GT118</f>
        <v>7371.43865288917</v>
      </c>
      <c r="AH118" s="84" t="n">
        <f aca="false">$D118*$E118</f>
        <v>270</v>
      </c>
      <c r="AI118" s="84" t="n">
        <f aca="false">BG118+$D118*$E118</f>
        <v>270</v>
      </c>
      <c r="AJ118" s="84" t="n">
        <f aca="false">BW118+$D118*$E118</f>
        <v>270</v>
      </c>
      <c r="AK118" s="84" t="n">
        <f aca="false">CM118+$D118*$E118</f>
        <v>270</v>
      </c>
      <c r="AL118" s="84" t="n">
        <f aca="false">DC118+$D118*$E118</f>
        <v>270</v>
      </c>
      <c r="AM118" s="84" t="n">
        <f aca="false">DS118+$D118*$E118</f>
        <v>270</v>
      </c>
      <c r="AN118" s="84" t="n">
        <f aca="false">EI118+$D118*$E118</f>
        <v>270</v>
      </c>
      <c r="AO118" s="84" t="n">
        <f aca="false">EY118+$D118*$E118</f>
        <v>270</v>
      </c>
      <c r="AP118" s="84" t="n">
        <f aca="false">FO118+$D118*$E118</f>
        <v>270</v>
      </c>
      <c r="AQ118" s="84" t="n">
        <f aca="false">GE118+$D118*$E118</f>
        <v>270</v>
      </c>
      <c r="AR118" s="84" t="n">
        <f aca="false">GU118</f>
        <v>0</v>
      </c>
      <c r="AT118" s="133" t="n">
        <f aca="false">$D118*Inputs!$C$13-$D118*$E118</f>
        <v>3730</v>
      </c>
      <c r="AU118" s="84" t="n">
        <f aca="false">AT118*(1+$I118)</f>
        <v>3879.2</v>
      </c>
      <c r="AV118" s="133" t="n">
        <f aca="false">AU118*Inputs!$C$14</f>
        <v>0</v>
      </c>
      <c r="AW118" s="84" t="n">
        <f aca="false">AU118-AV118</f>
        <v>3879.2</v>
      </c>
      <c r="AX118" s="133" t="n">
        <f aca="false">$D118*Inputs!$C$13</f>
        <v>4000</v>
      </c>
      <c r="AY118" s="84" t="n">
        <f aca="false">MIN(AV118,AX118)</f>
        <v>0</v>
      </c>
      <c r="AZ118" s="84" t="n">
        <f aca="false">AX118-AY118</f>
        <v>4000</v>
      </c>
      <c r="BA118" s="84" t="n">
        <f aca="false">$G118*AX118</f>
        <v>320</v>
      </c>
      <c r="BB118" s="84" t="n">
        <f aca="false">MIN(AV118-AY118,BA118)</f>
        <v>0</v>
      </c>
      <c r="BC118" s="84" t="n">
        <f aca="false">BA118-BB118</f>
        <v>320</v>
      </c>
      <c r="BD118" s="84" t="n">
        <f aca="false">IF($H118=1,MIN(AV118-AY118-BB118,MAX(0,$F118/(1-$F118)*BB118)),0)</f>
        <v>0</v>
      </c>
      <c r="BE118" s="84" t="n">
        <f aca="false">AV118-AY118-BB118-BD118</f>
        <v>0</v>
      </c>
      <c r="BF118" s="84" t="n">
        <f aca="false">AY118+BB118+(1-$F118)*BE118</f>
        <v>0</v>
      </c>
      <c r="BG118" s="84" t="n">
        <f aca="false">BD118+$F118*BE118</f>
        <v>0</v>
      </c>
      <c r="BH118" s="84" t="n">
        <f aca="false">BB118+(1-$F118)*BE118</f>
        <v>0</v>
      </c>
      <c r="BI118" s="84" t="n">
        <f aca="false">BG118</f>
        <v>0</v>
      </c>
      <c r="BJ118" s="133" t="n">
        <f aca="false">AW118+$D118*Inputs!$D$13-$D118*$E118</f>
        <v>7609.2</v>
      </c>
      <c r="BK118" s="84" t="n">
        <f aca="false">BJ118*(1+$I118)</f>
        <v>7913.568</v>
      </c>
      <c r="BL118" s="133" t="n">
        <f aca="false">BK118*Inputs!$D$14</f>
        <v>0</v>
      </c>
      <c r="BM118" s="84" t="n">
        <f aca="false">BK118-BL118</f>
        <v>7913.568</v>
      </c>
      <c r="BN118" s="133" t="n">
        <f aca="false">AZ118+$D118*Inputs!$D$13</f>
        <v>8000</v>
      </c>
      <c r="BO118" s="84" t="n">
        <f aca="false">MIN(BL118,BN118)</f>
        <v>0</v>
      </c>
      <c r="BP118" s="84" t="n">
        <f aca="false">BN118-BO118</f>
        <v>8000</v>
      </c>
      <c r="BQ118" s="84" t="n">
        <f aca="false">BC118+$G118*(BN118+BC118)</f>
        <v>985.6</v>
      </c>
      <c r="BR118" s="84" t="n">
        <f aca="false">MIN(BL118-BO118,BQ118)</f>
        <v>0</v>
      </c>
      <c r="BS118" s="84" t="n">
        <f aca="false">BQ118-BR118</f>
        <v>985.6</v>
      </c>
      <c r="BT118" s="84" t="n">
        <f aca="false">IF($H118=1,MIN(BL118-BO118-BR118,MAX(0,$F118/(1-$F118)*(BH118+BR118)-BI118)),0)</f>
        <v>0</v>
      </c>
      <c r="BU118" s="84" t="n">
        <f aca="false">BL118-BO118-BR118-BT118</f>
        <v>0</v>
      </c>
      <c r="BV118" s="84" t="n">
        <f aca="false">BO118+BR118+(1-$F118)*BU118</f>
        <v>0</v>
      </c>
      <c r="BW118" s="84" t="n">
        <f aca="false">BT118+$F118*BU118</f>
        <v>0</v>
      </c>
      <c r="BX118" s="84" t="n">
        <f aca="false">BH118+BR118+(1-$F118)*BU118</f>
        <v>0</v>
      </c>
      <c r="BY118" s="84" t="n">
        <f aca="false">BI118+BW118</f>
        <v>0</v>
      </c>
      <c r="BZ118" s="133" t="n">
        <f aca="false">BM118+$D118*Inputs!$E$13-$D118*$E118</f>
        <v>11643.568</v>
      </c>
      <c r="CA118" s="84" t="n">
        <f aca="false">BZ118*(1+$I118)</f>
        <v>12109.31072</v>
      </c>
      <c r="CB118" s="133" t="n">
        <f aca="false">CA118*Inputs!$E$14</f>
        <v>0</v>
      </c>
      <c r="CC118" s="84" t="n">
        <f aca="false">CA118-CB118</f>
        <v>12109.31072</v>
      </c>
      <c r="CD118" s="133" t="n">
        <f aca="false">BP118+$D118*Inputs!$E$13</f>
        <v>12000</v>
      </c>
      <c r="CE118" s="84" t="n">
        <f aca="false">MIN(CB118,CD118)</f>
        <v>0</v>
      </c>
      <c r="CF118" s="84" t="n">
        <f aca="false">CD118-CE118</f>
        <v>12000</v>
      </c>
      <c r="CG118" s="84" t="n">
        <f aca="false">BS118+$G118*(CD118+BS118)</f>
        <v>2024.448</v>
      </c>
      <c r="CH118" s="84" t="n">
        <f aca="false">MIN(CB118-CE118,CG118)</f>
        <v>0</v>
      </c>
      <c r="CI118" s="84" t="n">
        <f aca="false">CG118-CH118</f>
        <v>2024.448</v>
      </c>
      <c r="CJ118" s="84" t="n">
        <f aca="false">IF($H118=1,MIN(CB118-CE118-CH118,MAX(0,$F118/(1-$F118)*(BX118+CH118)-BY118)),0)</f>
        <v>0</v>
      </c>
      <c r="CK118" s="84" t="n">
        <f aca="false">CB118-CE118-CH118-CJ118</f>
        <v>0</v>
      </c>
      <c r="CL118" s="84" t="n">
        <f aca="false">CE118+CH118+(1-$F118)*CK118</f>
        <v>0</v>
      </c>
      <c r="CM118" s="84" t="n">
        <f aca="false">CJ118+$F118*CK118</f>
        <v>0</v>
      </c>
      <c r="CN118" s="84" t="n">
        <f aca="false">BX118+CH118+(1-$F118)*CK118</f>
        <v>0</v>
      </c>
      <c r="CO118" s="84" t="n">
        <f aca="false">BY118+CM118</f>
        <v>0</v>
      </c>
      <c r="CP118" s="133" t="n">
        <f aca="false">CC118+$D118*Inputs!$F$13-$D118*$E118</f>
        <v>15839.31072</v>
      </c>
      <c r="CQ118" s="84" t="n">
        <f aca="false">CP118*(1+$I118)</f>
        <v>16472.8831488</v>
      </c>
      <c r="CR118" s="133" t="n">
        <f aca="false">CQ118*Inputs!$F$14</f>
        <v>0</v>
      </c>
      <c r="CS118" s="84" t="n">
        <f aca="false">CQ118-CR118</f>
        <v>16472.8831488</v>
      </c>
      <c r="CT118" s="133" t="n">
        <f aca="false">CF118+$D118*Inputs!$F$13</f>
        <v>16000</v>
      </c>
      <c r="CU118" s="84" t="n">
        <f aca="false">MIN(CR118,CT118)</f>
        <v>0</v>
      </c>
      <c r="CV118" s="84" t="n">
        <f aca="false">CT118-CU118</f>
        <v>16000</v>
      </c>
      <c r="CW118" s="84" t="n">
        <f aca="false">CI118+$G118*(CT118+CI118)</f>
        <v>3466.40384</v>
      </c>
      <c r="CX118" s="84" t="n">
        <f aca="false">MIN(CR118-CU118,CW118)</f>
        <v>0</v>
      </c>
      <c r="CY118" s="84" t="n">
        <f aca="false">CW118-CX118</f>
        <v>3466.40384</v>
      </c>
      <c r="CZ118" s="84" t="n">
        <f aca="false">IF($H118=1,MIN(CR118-CU118-CX118,MAX(0,$F118/(1-$F118)*(CN118+CX118)-CO118)),0)</f>
        <v>0</v>
      </c>
      <c r="DA118" s="84" t="n">
        <f aca="false">CR118-CU118-CX118-CZ118</f>
        <v>0</v>
      </c>
      <c r="DB118" s="84" t="n">
        <f aca="false">CU118+CX118+(1-$F118)*DA118</f>
        <v>0</v>
      </c>
      <c r="DC118" s="84" t="n">
        <f aca="false">CZ118+$F118*DA118</f>
        <v>0</v>
      </c>
      <c r="DD118" s="84" t="n">
        <f aca="false">CN118+CX118+(1-$F118)*DA118</f>
        <v>0</v>
      </c>
      <c r="DE118" s="84" t="n">
        <f aca="false">CO118+DC118</f>
        <v>0</v>
      </c>
      <c r="DF118" s="133" t="n">
        <f aca="false">CS118+$D118*Inputs!$G$13-$D118*$E118</f>
        <v>20202.8831488</v>
      </c>
      <c r="DG118" s="84" t="n">
        <f aca="false">DF118*(1+$I118)</f>
        <v>21010.998474752</v>
      </c>
      <c r="DH118" s="133" t="n">
        <f aca="false">DG118*Inputs!$G$14</f>
        <v>4202.1996949504</v>
      </c>
      <c r="DI118" s="84" t="n">
        <f aca="false">DG118-DH118</f>
        <v>16808.7987798016</v>
      </c>
      <c r="DJ118" s="133" t="n">
        <f aca="false">CV118+$D118*Inputs!$G$13</f>
        <v>20000</v>
      </c>
      <c r="DK118" s="84" t="n">
        <f aca="false">MIN(DH118,DJ118)</f>
        <v>4202.1996949504</v>
      </c>
      <c r="DL118" s="84" t="n">
        <f aca="false">DJ118-DK118</f>
        <v>15797.8003050496</v>
      </c>
      <c r="DM118" s="84" t="n">
        <f aca="false">CY118+$G118*(DJ118+CY118)</f>
        <v>5343.7161472</v>
      </c>
      <c r="DN118" s="84" t="n">
        <f aca="false">MIN(DH118-DK118,DM118)</f>
        <v>0</v>
      </c>
      <c r="DO118" s="84" t="n">
        <f aca="false">DM118-DN118</f>
        <v>5343.7161472</v>
      </c>
      <c r="DP118" s="84" t="n">
        <f aca="false">IF($H118=1,MIN(DH118-DK118-DN118,MAX(0,$F118/(1-$F118)*(DD118+DN118)-DE118)),0)</f>
        <v>0</v>
      </c>
      <c r="DQ118" s="84" t="n">
        <f aca="false">DH118-DK118-DN118-DP118</f>
        <v>0</v>
      </c>
      <c r="DR118" s="84" t="n">
        <f aca="false">DK118+DN118+(1-$F118)*DQ118</f>
        <v>4202.1996949504</v>
      </c>
      <c r="DS118" s="84" t="n">
        <f aca="false">DP118+$F118*DQ118</f>
        <v>0</v>
      </c>
      <c r="DT118" s="84" t="n">
        <f aca="false">DD118+DN118+(1-$F118)*DQ118</f>
        <v>0</v>
      </c>
      <c r="DU118" s="84" t="n">
        <f aca="false">DE118+DS118</f>
        <v>0</v>
      </c>
      <c r="DV118" s="133" t="n">
        <f aca="false">DI118+$D118*Inputs!$H$13-$D118*$E118</f>
        <v>16538.7987798016</v>
      </c>
      <c r="DW118" s="84" t="n">
        <f aca="false">DV118*(1+$I118)</f>
        <v>17200.3507309937</v>
      </c>
      <c r="DX118" s="133" t="n">
        <f aca="false">DW118*Inputs!$H$14</f>
        <v>3440.07014619873</v>
      </c>
      <c r="DY118" s="84" t="n">
        <f aca="false">DW118-DX118</f>
        <v>13760.2805847949</v>
      </c>
      <c r="DZ118" s="133" t="n">
        <f aca="false">DL118+$D118*Inputs!$H$13</f>
        <v>15797.8003050496</v>
      </c>
      <c r="EA118" s="84" t="n">
        <f aca="false">MIN(DX118,DZ118)</f>
        <v>3440.07014619873</v>
      </c>
      <c r="EB118" s="84" t="n">
        <f aca="false">DZ118-EA118</f>
        <v>12357.7301588509</v>
      </c>
      <c r="EC118" s="84" t="n">
        <f aca="false">DO118+$G118*(DZ118+DO118)</f>
        <v>7035.03746337997</v>
      </c>
      <c r="ED118" s="84" t="n">
        <f aca="false">MIN(DX118-EA118,EC118)</f>
        <v>0</v>
      </c>
      <c r="EE118" s="84" t="n">
        <f aca="false">EC118-ED118</f>
        <v>7035.03746337997</v>
      </c>
      <c r="EF118" s="84" t="n">
        <f aca="false">IF($H118=1,MIN(DX118-EA118-ED118,MAX(0,$F118/(1-$F118)*(DT118+ED118)-DU118)),0)</f>
        <v>0</v>
      </c>
      <c r="EG118" s="84" t="n">
        <f aca="false">DX118-EA118-ED118-EF118</f>
        <v>0</v>
      </c>
      <c r="EH118" s="84" t="n">
        <f aca="false">EA118+ED118+(1-$F118)*EG118</f>
        <v>3440.07014619873</v>
      </c>
      <c r="EI118" s="84" t="n">
        <f aca="false">EF118+$F118*EG118</f>
        <v>0</v>
      </c>
      <c r="EJ118" s="84" t="n">
        <f aca="false">DT118+ED118+(1-$F118)*EG118</f>
        <v>0</v>
      </c>
      <c r="EK118" s="84" t="n">
        <f aca="false">DU118+EI118</f>
        <v>0</v>
      </c>
      <c r="EL118" s="133" t="n">
        <f aca="false">DY118+$D118*Inputs!$I$13-$D118*$E118</f>
        <v>13490.2805847949</v>
      </c>
      <c r="EM118" s="84" t="n">
        <f aca="false">EL118*(1+$I118)</f>
        <v>14029.8918081867</v>
      </c>
      <c r="EN118" s="133" t="n">
        <f aca="false">EM118*Inputs!$I$14</f>
        <v>2805.97836163735</v>
      </c>
      <c r="EO118" s="84" t="n">
        <f aca="false">EM118-EN118</f>
        <v>11223.9134465494</v>
      </c>
      <c r="EP118" s="133" t="n">
        <f aca="false">EB118+$D118*Inputs!$I$13</f>
        <v>12357.7301588509</v>
      </c>
      <c r="EQ118" s="84" t="n">
        <f aca="false">MIN(EN118,EP118)</f>
        <v>2805.97836163735</v>
      </c>
      <c r="ER118" s="84" t="n">
        <f aca="false">EP118-EQ118</f>
        <v>9551.75179721352</v>
      </c>
      <c r="ES118" s="84" t="n">
        <f aca="false">EE118+$G118*(EP118+EE118)</f>
        <v>8586.45887315843</v>
      </c>
      <c r="ET118" s="84" t="n">
        <f aca="false">MIN(EN118-EQ118,ES118)</f>
        <v>0</v>
      </c>
      <c r="EU118" s="84" t="n">
        <f aca="false">ES118-ET118</f>
        <v>8586.45887315843</v>
      </c>
      <c r="EV118" s="84" t="n">
        <f aca="false">IF($H118=1,MIN(EN118-EQ118-ET118,MAX(0,$F118/(1-$F118)*(EJ118+ET118)-EK118)),0)</f>
        <v>0</v>
      </c>
      <c r="EW118" s="84" t="n">
        <f aca="false">EN118-EQ118-ET118-EV118</f>
        <v>0</v>
      </c>
      <c r="EX118" s="84" t="n">
        <f aca="false">EQ118+ET118+(1-$F118)*EW118</f>
        <v>2805.97836163735</v>
      </c>
      <c r="EY118" s="84" t="n">
        <f aca="false">EV118+$F118*EW118</f>
        <v>0</v>
      </c>
      <c r="EZ118" s="84" t="n">
        <f aca="false">EJ118+ET118+(1-$F118)*EW118</f>
        <v>0</v>
      </c>
      <c r="FA118" s="84" t="n">
        <f aca="false">EK118+EY118</f>
        <v>0</v>
      </c>
      <c r="FB118" s="133" t="n">
        <f aca="false">EO118+$D118*Inputs!$J$13-$D118*$E118</f>
        <v>10953.9134465494</v>
      </c>
      <c r="FC118" s="84" t="n">
        <f aca="false">FB118*(1+$I118)</f>
        <v>11392.0699844114</v>
      </c>
      <c r="FD118" s="133" t="n">
        <f aca="false">FC118*Inputs!$J$14</f>
        <v>2278.41399688227</v>
      </c>
      <c r="FE118" s="84" t="n">
        <f aca="false">FC118-FD118</f>
        <v>9113.65598752909</v>
      </c>
      <c r="FF118" s="133" t="n">
        <f aca="false">ER118+$D118*Inputs!$J$13</f>
        <v>9551.75179721352</v>
      </c>
      <c r="FG118" s="84" t="n">
        <f aca="false">MIN(FD118,FF118)</f>
        <v>2278.41399688227</v>
      </c>
      <c r="FH118" s="84" t="n">
        <f aca="false">FF118-FG118</f>
        <v>7273.33780033125</v>
      </c>
      <c r="FI118" s="84" t="n">
        <f aca="false">EU118+$G118*(FF118+EU118)</f>
        <v>10037.5157267882</v>
      </c>
      <c r="FJ118" s="84" t="n">
        <f aca="false">MIN(FD118-FG118,FI118)</f>
        <v>0</v>
      </c>
      <c r="FK118" s="84" t="n">
        <f aca="false">FI118-FJ118</f>
        <v>10037.5157267882</v>
      </c>
      <c r="FL118" s="84" t="n">
        <f aca="false">IF($H118=1,MIN(FD118-FG118-FJ118,MAX(0,$F118/(1-$F118)*(EZ118+FJ118)-FA118)),0)</f>
        <v>0</v>
      </c>
      <c r="FM118" s="84" t="n">
        <f aca="false">FD118-FG118-FJ118-FL118</f>
        <v>0</v>
      </c>
      <c r="FN118" s="84" t="n">
        <f aca="false">FG118+FJ118+(1-$F118)*FM118</f>
        <v>2278.41399688227</v>
      </c>
      <c r="FO118" s="84" t="n">
        <f aca="false">FL118+$F118*FM118</f>
        <v>0</v>
      </c>
      <c r="FP118" s="84" t="n">
        <f aca="false">EZ118+FJ118+(1-$F118)*FM118</f>
        <v>0</v>
      </c>
      <c r="FQ118" s="84" t="n">
        <f aca="false">FA118+FO118</f>
        <v>0</v>
      </c>
      <c r="FR118" s="133" t="n">
        <f aca="false">FE118+$D118*Inputs!$K$13-$D118*$E118</f>
        <v>8843.65598752909</v>
      </c>
      <c r="FS118" s="84" t="n">
        <f aca="false">FR118*(1+$I118)</f>
        <v>9197.40222703025</v>
      </c>
      <c r="FT118" s="133" t="n">
        <f aca="false">FS118*Inputs!$K$14</f>
        <v>1839.48044540605</v>
      </c>
      <c r="FU118" s="84" t="n">
        <f aca="false">FS118-FT118</f>
        <v>7357.9217816242</v>
      </c>
      <c r="FV118" s="133" t="n">
        <f aca="false">FH118+$D118*Inputs!$K$13</f>
        <v>7273.33780033125</v>
      </c>
      <c r="FW118" s="84" t="n">
        <f aca="false">MIN(FT118,FV118)</f>
        <v>1839.48044540605</v>
      </c>
      <c r="FX118" s="84" t="n">
        <f aca="false">FV118-FW118</f>
        <v>5433.8573549252</v>
      </c>
      <c r="FY118" s="84" t="n">
        <f aca="false">FK118+$G118*(FV118+FK118)</f>
        <v>11422.3840089577</v>
      </c>
      <c r="FZ118" s="84" t="n">
        <f aca="false">MIN(FT118-FW118,FY118)</f>
        <v>0</v>
      </c>
      <c r="GA118" s="84" t="n">
        <f aca="false">FY118-FZ118</f>
        <v>11422.3840089577</v>
      </c>
      <c r="GB118" s="84" t="n">
        <f aca="false">IF($H118=1,MIN(FT118-FW118-FZ118,MAX(0,$F118/(1-$F118)*(FP118+FZ118)-FQ118)),0)</f>
        <v>0</v>
      </c>
      <c r="GC118" s="84" t="n">
        <f aca="false">FT118-FW118-FZ118-GB118</f>
        <v>0</v>
      </c>
      <c r="GD118" s="84" t="n">
        <f aca="false">FW118+FZ118+(1-$F118)*GC118</f>
        <v>1839.48044540605</v>
      </c>
      <c r="GE118" s="84" t="n">
        <f aca="false">GB118+$F118*GC118</f>
        <v>0</v>
      </c>
      <c r="GF118" s="84" t="n">
        <f aca="false">FP118+FZ118+(1-$F118)*GC118</f>
        <v>0</v>
      </c>
      <c r="GG118" s="84" t="n">
        <f aca="false">FQ118+GE118</f>
        <v>0</v>
      </c>
      <c r="GH118" s="133" t="n">
        <f aca="false">FU118+$D118*Inputs!$L$13-$D118*$E118</f>
        <v>7087.9217816242</v>
      </c>
      <c r="GI118" s="84" t="n">
        <f aca="false">GH118*(1+$I118)</f>
        <v>7371.43865288917</v>
      </c>
      <c r="GJ118" s="133" t="n">
        <f aca="false">GI118*Inputs!$L$14</f>
        <v>7371.43865288917</v>
      </c>
      <c r="GK118" s="84" t="n">
        <f aca="false">GI118-GJ118</f>
        <v>0</v>
      </c>
      <c r="GL118" s="133" t="n">
        <f aca="false">FX118+$D118*Inputs!$L$13</f>
        <v>5433.8573549252</v>
      </c>
      <c r="GM118" s="84" t="n">
        <f aca="false">MIN(GJ118,GL118)</f>
        <v>5433.8573549252</v>
      </c>
      <c r="GN118" s="84" t="n">
        <f aca="false">GL118-GM118</f>
        <v>0</v>
      </c>
      <c r="GO118" s="84" t="n">
        <f aca="false">GA118+$G118*(GL118+GA118)</f>
        <v>12770.8833180684</v>
      </c>
      <c r="GP118" s="84" t="n">
        <f aca="false">MIN(GJ118-GM118,GO118)</f>
        <v>1937.58129796398</v>
      </c>
      <c r="GQ118" s="84" t="n">
        <f aca="false">GO118-GP118</f>
        <v>10833.3020201044</v>
      </c>
      <c r="GR118" s="84" t="n">
        <f aca="false">IF($H118=1,MIN(GJ118-GM118-GP118,MAX(0,$F118/(1-$F118)*(GF118+GP118)-GG118)),0)</f>
        <v>0</v>
      </c>
      <c r="GS118" s="84" t="n">
        <f aca="false">GJ118-GM118-GP118-GR118</f>
        <v>0</v>
      </c>
      <c r="GT118" s="84" t="n">
        <f aca="false">GM118+GP118+(1-$F118)*GS118</f>
        <v>7371.43865288917</v>
      </c>
      <c r="GU118" s="84" t="n">
        <f aca="false">GR118+$F118*GS118</f>
        <v>0</v>
      </c>
      <c r="GV118" s="84" t="n">
        <f aca="false">GF118+GP118+(1-$F118)*GS118</f>
        <v>1937.58129796398</v>
      </c>
      <c r="GW118" s="84" t="n">
        <f aca="false">GG118+GU118</f>
        <v>0</v>
      </c>
    </row>
    <row r="119" customFormat="false" ht="15" hidden="false" customHeight="false" outlineLevel="0" collapsed="false">
      <c r="A119" s="5" t="s">
        <v>640</v>
      </c>
      <c r="B119" s="5" t="s">
        <v>428</v>
      </c>
      <c r="C119" s="135" t="n">
        <v>5</v>
      </c>
      <c r="D119" s="47" t="n">
        <f aca="false">Inputs!$C$6</f>
        <v>20000</v>
      </c>
      <c r="E119" s="35" t="n">
        <f aca="false">Inputs!$C$19</f>
        <v>0.0135</v>
      </c>
      <c r="F119" s="36" t="n">
        <f aca="false">Inputs!$C$20</f>
        <v>0.2</v>
      </c>
      <c r="G119" s="36" t="n">
        <f aca="false">Inputs!$C$22</f>
        <v>0.08</v>
      </c>
      <c r="H119" s="44" t="n">
        <f aca="false">Inputs!$C$23</f>
        <v>1</v>
      </c>
      <c r="I119" s="132" t="n">
        <f aca="false">Inputs!$C$38+$C119*Inputs!$C$39</f>
        <v>0.05</v>
      </c>
      <c r="J119" s="36" t="n">
        <f aca="false">Inputs!$C$9</f>
        <v>0.15</v>
      </c>
      <c r="K119" s="89" t="n">
        <f aca="false">IRR(W119:AG119,0.1)</f>
        <v>0.0266851918575835</v>
      </c>
      <c r="L119" s="45" t="n">
        <f aca="false">W119+NPV($J119,X119:AG119)</f>
        <v>-7276.06005974331</v>
      </c>
      <c r="M119" s="45" t="n">
        <f aca="false">SUM(BF119,BV119,CL119,DB119,DR119,EH119,EX119,FN119,GD119,GT119)</f>
        <v>23274.6121627894</v>
      </c>
      <c r="N119" s="43" t="n">
        <f aca="false">IF($D119*SUM(Inputs!$C$13:$L$13)=0,0,M119/($D119*SUM(Inputs!$C$13:$L$13)))</f>
        <v>1.16373060813947</v>
      </c>
      <c r="O119" s="42" t="n">
        <f aca="false">$D119*$E119*COLUMNS(Inputs!$C$13:$L$13)</f>
        <v>2700</v>
      </c>
      <c r="P119" s="45" t="n">
        <f aca="false">SUM(BG119,BW119,CM119,DC119,DS119,EI119,EY119,FO119,GE119,GU119)</f>
        <v>0</v>
      </c>
      <c r="Q119" s="42" t="n">
        <f aca="false">PV($J119,COLUMNS(Inputs!$C$13:$L$13),-$D119*$E119,0,1)</f>
        <v>1558.32765832774</v>
      </c>
      <c r="R119" s="45" t="n">
        <f aca="false">NPV($J119,BG119,BW119,CM119,DC119,DS119,EI119,EY119,FO119,GE119,GU119)</f>
        <v>0</v>
      </c>
      <c r="S119" s="45" t="n">
        <f aca="false">Q119+R119</f>
        <v>1558.32765832774</v>
      </c>
      <c r="T119" s="32" t="n">
        <f aca="false">IF(S119=0,0,Q119/S119)</f>
        <v>1</v>
      </c>
      <c r="U119" s="45" t="n">
        <f aca="false">ROUND(ABS(GK119)+ABS(SUM(AV119,BL119,CB119,CR119,DH119,DX119,EN119,FD119,FT119,GJ119)-M119-P119)+ABS(S119-(AH119+NPV($J119,AI119:AR119))),6)</f>
        <v>0</v>
      </c>
      <c r="W119" s="133" t="n">
        <f aca="false">-$D119*Inputs!$C$13</f>
        <v>-4000</v>
      </c>
      <c r="X119" s="133" t="n">
        <f aca="false">BF119-$D119*Inputs!$D$13</f>
        <v>-4000</v>
      </c>
      <c r="Y119" s="133" t="n">
        <f aca="false">BV119-$D119*Inputs!$E$13</f>
        <v>-4000</v>
      </c>
      <c r="Z119" s="133" t="n">
        <f aca="false">CL119-$D119*Inputs!$F$13</f>
        <v>-4000</v>
      </c>
      <c r="AA119" s="133" t="n">
        <f aca="false">DB119-$D119*Inputs!$G$13</f>
        <v>-4000</v>
      </c>
      <c r="AB119" s="133" t="n">
        <f aca="false">DR119-$D119*Inputs!$H$13</f>
        <v>4328.226958125</v>
      </c>
      <c r="AC119" s="133" t="n">
        <f aca="false">EH119-$D119*Inputs!$I$13</f>
        <v>3579.010644825</v>
      </c>
      <c r="AD119" s="133" t="n">
        <f aca="false">EX119-$D119*Inputs!$J$13</f>
        <v>2949.668941653</v>
      </c>
      <c r="AE119" s="133" t="n">
        <f aca="false">FN119-$D119*Inputs!$K$13</f>
        <v>2421.02191098852</v>
      </c>
      <c r="AF119" s="133" t="n">
        <f aca="false">GD119-$D119*Inputs!$L$13</f>
        <v>1976.95840523036</v>
      </c>
      <c r="AG119" s="84" t="n">
        <f aca="false">GT119</f>
        <v>8019.7253019675</v>
      </c>
      <c r="AH119" s="84" t="n">
        <f aca="false">$D119*$E119</f>
        <v>270</v>
      </c>
      <c r="AI119" s="84" t="n">
        <f aca="false">BG119+$D119*$E119</f>
        <v>270</v>
      </c>
      <c r="AJ119" s="84" t="n">
        <f aca="false">BW119+$D119*$E119</f>
        <v>270</v>
      </c>
      <c r="AK119" s="84" t="n">
        <f aca="false">CM119+$D119*$E119</f>
        <v>270</v>
      </c>
      <c r="AL119" s="84" t="n">
        <f aca="false">DC119+$D119*$E119</f>
        <v>270</v>
      </c>
      <c r="AM119" s="84" t="n">
        <f aca="false">DS119+$D119*$E119</f>
        <v>270</v>
      </c>
      <c r="AN119" s="84" t="n">
        <f aca="false">EI119+$D119*$E119</f>
        <v>270</v>
      </c>
      <c r="AO119" s="84" t="n">
        <f aca="false">EY119+$D119*$E119</f>
        <v>270</v>
      </c>
      <c r="AP119" s="84" t="n">
        <f aca="false">FO119+$D119*$E119</f>
        <v>270</v>
      </c>
      <c r="AQ119" s="84" t="n">
        <f aca="false">GE119+$D119*$E119</f>
        <v>270</v>
      </c>
      <c r="AR119" s="84" t="n">
        <f aca="false">GU119</f>
        <v>0</v>
      </c>
      <c r="AT119" s="133" t="n">
        <f aca="false">$D119*Inputs!$C$13-$D119*$E119</f>
        <v>3730</v>
      </c>
      <c r="AU119" s="84" t="n">
        <f aca="false">AT119*(1+$I119)</f>
        <v>3916.5</v>
      </c>
      <c r="AV119" s="133" t="n">
        <f aca="false">AU119*Inputs!$C$14</f>
        <v>0</v>
      </c>
      <c r="AW119" s="84" t="n">
        <f aca="false">AU119-AV119</f>
        <v>3916.5</v>
      </c>
      <c r="AX119" s="133" t="n">
        <f aca="false">$D119*Inputs!$C$13</f>
        <v>4000</v>
      </c>
      <c r="AY119" s="84" t="n">
        <f aca="false">MIN(AV119,AX119)</f>
        <v>0</v>
      </c>
      <c r="AZ119" s="84" t="n">
        <f aca="false">AX119-AY119</f>
        <v>4000</v>
      </c>
      <c r="BA119" s="84" t="n">
        <f aca="false">$G119*AX119</f>
        <v>320</v>
      </c>
      <c r="BB119" s="84" t="n">
        <f aca="false">MIN(AV119-AY119,BA119)</f>
        <v>0</v>
      </c>
      <c r="BC119" s="84" t="n">
        <f aca="false">BA119-BB119</f>
        <v>320</v>
      </c>
      <c r="BD119" s="84" t="n">
        <f aca="false">IF($H119=1,MIN(AV119-AY119-BB119,MAX(0,$F119/(1-$F119)*BB119)),0)</f>
        <v>0</v>
      </c>
      <c r="BE119" s="84" t="n">
        <f aca="false">AV119-AY119-BB119-BD119</f>
        <v>0</v>
      </c>
      <c r="BF119" s="84" t="n">
        <f aca="false">AY119+BB119+(1-$F119)*BE119</f>
        <v>0</v>
      </c>
      <c r="BG119" s="84" t="n">
        <f aca="false">BD119+$F119*BE119</f>
        <v>0</v>
      </c>
      <c r="BH119" s="84" t="n">
        <f aca="false">BB119+(1-$F119)*BE119</f>
        <v>0</v>
      </c>
      <c r="BI119" s="84" t="n">
        <f aca="false">BG119</f>
        <v>0</v>
      </c>
      <c r="BJ119" s="133" t="n">
        <f aca="false">AW119+$D119*Inputs!$D$13-$D119*$E119</f>
        <v>7646.5</v>
      </c>
      <c r="BK119" s="84" t="n">
        <f aca="false">BJ119*(1+$I119)</f>
        <v>8028.825</v>
      </c>
      <c r="BL119" s="133" t="n">
        <f aca="false">BK119*Inputs!$D$14</f>
        <v>0</v>
      </c>
      <c r="BM119" s="84" t="n">
        <f aca="false">BK119-BL119</f>
        <v>8028.825</v>
      </c>
      <c r="BN119" s="133" t="n">
        <f aca="false">AZ119+$D119*Inputs!$D$13</f>
        <v>8000</v>
      </c>
      <c r="BO119" s="84" t="n">
        <f aca="false">MIN(BL119,BN119)</f>
        <v>0</v>
      </c>
      <c r="BP119" s="84" t="n">
        <f aca="false">BN119-BO119</f>
        <v>8000</v>
      </c>
      <c r="BQ119" s="84" t="n">
        <f aca="false">BC119+$G119*(BN119+BC119)</f>
        <v>985.6</v>
      </c>
      <c r="BR119" s="84" t="n">
        <f aca="false">MIN(BL119-BO119,BQ119)</f>
        <v>0</v>
      </c>
      <c r="BS119" s="84" t="n">
        <f aca="false">BQ119-BR119</f>
        <v>985.6</v>
      </c>
      <c r="BT119" s="84" t="n">
        <f aca="false">IF($H119=1,MIN(BL119-BO119-BR119,MAX(0,$F119/(1-$F119)*(BH119+BR119)-BI119)),0)</f>
        <v>0</v>
      </c>
      <c r="BU119" s="84" t="n">
        <f aca="false">BL119-BO119-BR119-BT119</f>
        <v>0</v>
      </c>
      <c r="BV119" s="84" t="n">
        <f aca="false">BO119+BR119+(1-$F119)*BU119</f>
        <v>0</v>
      </c>
      <c r="BW119" s="84" t="n">
        <f aca="false">BT119+$F119*BU119</f>
        <v>0</v>
      </c>
      <c r="BX119" s="84" t="n">
        <f aca="false">BH119+BR119+(1-$F119)*BU119</f>
        <v>0</v>
      </c>
      <c r="BY119" s="84" t="n">
        <f aca="false">BI119+BW119</f>
        <v>0</v>
      </c>
      <c r="BZ119" s="133" t="n">
        <f aca="false">BM119+$D119*Inputs!$E$13-$D119*$E119</f>
        <v>11758.825</v>
      </c>
      <c r="CA119" s="84" t="n">
        <f aca="false">BZ119*(1+$I119)</f>
        <v>12346.76625</v>
      </c>
      <c r="CB119" s="133" t="n">
        <f aca="false">CA119*Inputs!$E$14</f>
        <v>0</v>
      </c>
      <c r="CC119" s="84" t="n">
        <f aca="false">CA119-CB119</f>
        <v>12346.76625</v>
      </c>
      <c r="CD119" s="133" t="n">
        <f aca="false">BP119+$D119*Inputs!$E$13</f>
        <v>12000</v>
      </c>
      <c r="CE119" s="84" t="n">
        <f aca="false">MIN(CB119,CD119)</f>
        <v>0</v>
      </c>
      <c r="CF119" s="84" t="n">
        <f aca="false">CD119-CE119</f>
        <v>12000</v>
      </c>
      <c r="CG119" s="84" t="n">
        <f aca="false">BS119+$G119*(CD119+BS119)</f>
        <v>2024.448</v>
      </c>
      <c r="CH119" s="84" t="n">
        <f aca="false">MIN(CB119-CE119,CG119)</f>
        <v>0</v>
      </c>
      <c r="CI119" s="84" t="n">
        <f aca="false">CG119-CH119</f>
        <v>2024.448</v>
      </c>
      <c r="CJ119" s="84" t="n">
        <f aca="false">IF($H119=1,MIN(CB119-CE119-CH119,MAX(0,$F119/(1-$F119)*(BX119+CH119)-BY119)),0)</f>
        <v>0</v>
      </c>
      <c r="CK119" s="84" t="n">
        <f aca="false">CB119-CE119-CH119-CJ119</f>
        <v>0</v>
      </c>
      <c r="CL119" s="84" t="n">
        <f aca="false">CE119+CH119+(1-$F119)*CK119</f>
        <v>0</v>
      </c>
      <c r="CM119" s="84" t="n">
        <f aca="false">CJ119+$F119*CK119</f>
        <v>0</v>
      </c>
      <c r="CN119" s="84" t="n">
        <f aca="false">BX119+CH119+(1-$F119)*CK119</f>
        <v>0</v>
      </c>
      <c r="CO119" s="84" t="n">
        <f aca="false">BY119+CM119</f>
        <v>0</v>
      </c>
      <c r="CP119" s="133" t="n">
        <f aca="false">CC119+$D119*Inputs!$F$13-$D119*$E119</f>
        <v>16076.76625</v>
      </c>
      <c r="CQ119" s="84" t="n">
        <f aca="false">CP119*(1+$I119)</f>
        <v>16880.6045625</v>
      </c>
      <c r="CR119" s="133" t="n">
        <f aca="false">CQ119*Inputs!$F$14</f>
        <v>0</v>
      </c>
      <c r="CS119" s="84" t="n">
        <f aca="false">CQ119-CR119</f>
        <v>16880.6045625</v>
      </c>
      <c r="CT119" s="133" t="n">
        <f aca="false">CF119+$D119*Inputs!$F$13</f>
        <v>16000</v>
      </c>
      <c r="CU119" s="84" t="n">
        <f aca="false">MIN(CR119,CT119)</f>
        <v>0</v>
      </c>
      <c r="CV119" s="84" t="n">
        <f aca="false">CT119-CU119</f>
        <v>16000</v>
      </c>
      <c r="CW119" s="84" t="n">
        <f aca="false">CI119+$G119*(CT119+CI119)</f>
        <v>3466.40384</v>
      </c>
      <c r="CX119" s="84" t="n">
        <f aca="false">MIN(CR119-CU119,CW119)</f>
        <v>0</v>
      </c>
      <c r="CY119" s="84" t="n">
        <f aca="false">CW119-CX119</f>
        <v>3466.40384</v>
      </c>
      <c r="CZ119" s="84" t="n">
        <f aca="false">IF($H119=1,MIN(CR119-CU119-CX119,MAX(0,$F119/(1-$F119)*(CN119+CX119)-CO119)),0)</f>
        <v>0</v>
      </c>
      <c r="DA119" s="84" t="n">
        <f aca="false">CR119-CU119-CX119-CZ119</f>
        <v>0</v>
      </c>
      <c r="DB119" s="84" t="n">
        <f aca="false">CU119+CX119+(1-$F119)*DA119</f>
        <v>0</v>
      </c>
      <c r="DC119" s="84" t="n">
        <f aca="false">CZ119+$F119*DA119</f>
        <v>0</v>
      </c>
      <c r="DD119" s="84" t="n">
        <f aca="false">CN119+CX119+(1-$F119)*DA119</f>
        <v>0</v>
      </c>
      <c r="DE119" s="84" t="n">
        <f aca="false">CO119+DC119</f>
        <v>0</v>
      </c>
      <c r="DF119" s="133" t="n">
        <f aca="false">CS119+$D119*Inputs!$G$13-$D119*$E119</f>
        <v>20610.6045625</v>
      </c>
      <c r="DG119" s="84" t="n">
        <f aca="false">DF119*(1+$I119)</f>
        <v>21641.134790625</v>
      </c>
      <c r="DH119" s="133" t="n">
        <f aca="false">DG119*Inputs!$G$14</f>
        <v>4328.226958125</v>
      </c>
      <c r="DI119" s="84" t="n">
        <f aca="false">DG119-DH119</f>
        <v>17312.9078325</v>
      </c>
      <c r="DJ119" s="133" t="n">
        <f aca="false">CV119+$D119*Inputs!$G$13</f>
        <v>20000</v>
      </c>
      <c r="DK119" s="84" t="n">
        <f aca="false">MIN(DH119,DJ119)</f>
        <v>4328.226958125</v>
      </c>
      <c r="DL119" s="84" t="n">
        <f aca="false">DJ119-DK119</f>
        <v>15671.773041875</v>
      </c>
      <c r="DM119" s="84" t="n">
        <f aca="false">CY119+$G119*(DJ119+CY119)</f>
        <v>5343.7161472</v>
      </c>
      <c r="DN119" s="84" t="n">
        <f aca="false">MIN(DH119-DK119,DM119)</f>
        <v>0</v>
      </c>
      <c r="DO119" s="84" t="n">
        <f aca="false">DM119-DN119</f>
        <v>5343.7161472</v>
      </c>
      <c r="DP119" s="84" t="n">
        <f aca="false">IF($H119=1,MIN(DH119-DK119-DN119,MAX(0,$F119/(1-$F119)*(DD119+DN119)-DE119)),0)</f>
        <v>0</v>
      </c>
      <c r="DQ119" s="84" t="n">
        <f aca="false">DH119-DK119-DN119-DP119</f>
        <v>0</v>
      </c>
      <c r="DR119" s="84" t="n">
        <f aca="false">DK119+DN119+(1-$F119)*DQ119</f>
        <v>4328.226958125</v>
      </c>
      <c r="DS119" s="84" t="n">
        <f aca="false">DP119+$F119*DQ119</f>
        <v>0</v>
      </c>
      <c r="DT119" s="84" t="n">
        <f aca="false">DD119+DN119+(1-$F119)*DQ119</f>
        <v>0</v>
      </c>
      <c r="DU119" s="84" t="n">
        <f aca="false">DE119+DS119</f>
        <v>0</v>
      </c>
      <c r="DV119" s="133" t="n">
        <f aca="false">DI119+$D119*Inputs!$H$13-$D119*$E119</f>
        <v>17042.9078325</v>
      </c>
      <c r="DW119" s="84" t="n">
        <f aca="false">DV119*(1+$I119)</f>
        <v>17895.053224125</v>
      </c>
      <c r="DX119" s="133" t="n">
        <f aca="false">DW119*Inputs!$H$14</f>
        <v>3579.010644825</v>
      </c>
      <c r="DY119" s="84" t="n">
        <f aca="false">DW119-DX119</f>
        <v>14316.0425793</v>
      </c>
      <c r="DZ119" s="133" t="n">
        <f aca="false">DL119+$D119*Inputs!$H$13</f>
        <v>15671.773041875</v>
      </c>
      <c r="EA119" s="84" t="n">
        <f aca="false">MIN(DX119,DZ119)</f>
        <v>3579.010644825</v>
      </c>
      <c r="EB119" s="84" t="n">
        <f aca="false">DZ119-EA119</f>
        <v>12092.76239705</v>
      </c>
      <c r="EC119" s="84" t="n">
        <f aca="false">DO119+$G119*(DZ119+DO119)</f>
        <v>7024.955282326</v>
      </c>
      <c r="ED119" s="84" t="n">
        <f aca="false">MIN(DX119-EA119,EC119)</f>
        <v>0</v>
      </c>
      <c r="EE119" s="84" t="n">
        <f aca="false">EC119-ED119</f>
        <v>7024.955282326</v>
      </c>
      <c r="EF119" s="84" t="n">
        <f aca="false">IF($H119=1,MIN(DX119-EA119-ED119,MAX(0,$F119/(1-$F119)*(DT119+ED119)-DU119)),0)</f>
        <v>0</v>
      </c>
      <c r="EG119" s="84" t="n">
        <f aca="false">DX119-EA119-ED119-EF119</f>
        <v>0</v>
      </c>
      <c r="EH119" s="84" t="n">
        <f aca="false">EA119+ED119+(1-$F119)*EG119</f>
        <v>3579.010644825</v>
      </c>
      <c r="EI119" s="84" t="n">
        <f aca="false">EF119+$F119*EG119</f>
        <v>0</v>
      </c>
      <c r="EJ119" s="84" t="n">
        <f aca="false">DT119+ED119+(1-$F119)*EG119</f>
        <v>0</v>
      </c>
      <c r="EK119" s="84" t="n">
        <f aca="false">DU119+EI119</f>
        <v>0</v>
      </c>
      <c r="EL119" s="133" t="n">
        <f aca="false">DY119+$D119*Inputs!$I$13-$D119*$E119</f>
        <v>14046.0425793</v>
      </c>
      <c r="EM119" s="84" t="n">
        <f aca="false">EL119*(1+$I119)</f>
        <v>14748.344708265</v>
      </c>
      <c r="EN119" s="133" t="n">
        <f aca="false">EM119*Inputs!$I$14</f>
        <v>2949.668941653</v>
      </c>
      <c r="EO119" s="84" t="n">
        <f aca="false">EM119-EN119</f>
        <v>11798.675766612</v>
      </c>
      <c r="EP119" s="133" t="n">
        <f aca="false">EB119+$D119*Inputs!$I$13</f>
        <v>12092.76239705</v>
      </c>
      <c r="EQ119" s="84" t="n">
        <f aca="false">MIN(EN119,EP119)</f>
        <v>2949.668941653</v>
      </c>
      <c r="ER119" s="84" t="n">
        <f aca="false">EP119-EQ119</f>
        <v>9143.093455397</v>
      </c>
      <c r="ES119" s="84" t="n">
        <f aca="false">EE119+$G119*(EP119+EE119)</f>
        <v>8554.37269667608</v>
      </c>
      <c r="ET119" s="84" t="n">
        <f aca="false">MIN(EN119-EQ119,ES119)</f>
        <v>0</v>
      </c>
      <c r="EU119" s="84" t="n">
        <f aca="false">ES119-ET119</f>
        <v>8554.37269667608</v>
      </c>
      <c r="EV119" s="84" t="n">
        <f aca="false">IF($H119=1,MIN(EN119-EQ119-ET119,MAX(0,$F119/(1-$F119)*(EJ119+ET119)-EK119)),0)</f>
        <v>0</v>
      </c>
      <c r="EW119" s="84" t="n">
        <f aca="false">EN119-EQ119-ET119-EV119</f>
        <v>0</v>
      </c>
      <c r="EX119" s="84" t="n">
        <f aca="false">EQ119+ET119+(1-$F119)*EW119</f>
        <v>2949.668941653</v>
      </c>
      <c r="EY119" s="84" t="n">
        <f aca="false">EV119+$F119*EW119</f>
        <v>0</v>
      </c>
      <c r="EZ119" s="84" t="n">
        <f aca="false">EJ119+ET119+(1-$F119)*EW119</f>
        <v>0</v>
      </c>
      <c r="FA119" s="84" t="n">
        <f aca="false">EK119+EY119</f>
        <v>0</v>
      </c>
      <c r="FB119" s="133" t="n">
        <f aca="false">EO119+$D119*Inputs!$J$13-$D119*$E119</f>
        <v>11528.675766612</v>
      </c>
      <c r="FC119" s="84" t="n">
        <f aca="false">FB119*(1+$I119)</f>
        <v>12105.1095549426</v>
      </c>
      <c r="FD119" s="133" t="n">
        <f aca="false">FC119*Inputs!$J$14</f>
        <v>2421.02191098852</v>
      </c>
      <c r="FE119" s="84" t="n">
        <f aca="false">FC119-FD119</f>
        <v>9684.08764395408</v>
      </c>
      <c r="FF119" s="133" t="n">
        <f aca="false">ER119+$D119*Inputs!$J$13</f>
        <v>9143.093455397</v>
      </c>
      <c r="FG119" s="84" t="n">
        <f aca="false">MIN(FD119,FF119)</f>
        <v>2421.02191098852</v>
      </c>
      <c r="FH119" s="84" t="n">
        <f aca="false">FF119-FG119</f>
        <v>6722.07154440848</v>
      </c>
      <c r="FI119" s="84" t="n">
        <f aca="false">EU119+$G119*(FF119+EU119)</f>
        <v>9970.16998884193</v>
      </c>
      <c r="FJ119" s="84" t="n">
        <f aca="false">MIN(FD119-FG119,FI119)</f>
        <v>0</v>
      </c>
      <c r="FK119" s="84" t="n">
        <f aca="false">FI119-FJ119</f>
        <v>9970.16998884193</v>
      </c>
      <c r="FL119" s="84" t="n">
        <f aca="false">IF($H119=1,MIN(FD119-FG119-FJ119,MAX(0,$F119/(1-$F119)*(EZ119+FJ119)-FA119)),0)</f>
        <v>0</v>
      </c>
      <c r="FM119" s="84" t="n">
        <f aca="false">FD119-FG119-FJ119-FL119</f>
        <v>0</v>
      </c>
      <c r="FN119" s="84" t="n">
        <f aca="false">FG119+FJ119+(1-$F119)*FM119</f>
        <v>2421.02191098852</v>
      </c>
      <c r="FO119" s="84" t="n">
        <f aca="false">FL119+$F119*FM119</f>
        <v>0</v>
      </c>
      <c r="FP119" s="84" t="n">
        <f aca="false">EZ119+FJ119+(1-$F119)*FM119</f>
        <v>0</v>
      </c>
      <c r="FQ119" s="84" t="n">
        <f aca="false">FA119+FO119</f>
        <v>0</v>
      </c>
      <c r="FR119" s="133" t="n">
        <f aca="false">FE119+$D119*Inputs!$K$13-$D119*$E119</f>
        <v>9414.08764395408</v>
      </c>
      <c r="FS119" s="84" t="n">
        <f aca="false">FR119*(1+$I119)</f>
        <v>9884.79202615178</v>
      </c>
      <c r="FT119" s="133" t="n">
        <f aca="false">FS119*Inputs!$K$14</f>
        <v>1976.95840523036</v>
      </c>
      <c r="FU119" s="84" t="n">
        <f aca="false">FS119-FT119</f>
        <v>7907.83362092143</v>
      </c>
      <c r="FV119" s="133" t="n">
        <f aca="false">FH119+$D119*Inputs!$K$13</f>
        <v>6722.07154440848</v>
      </c>
      <c r="FW119" s="84" t="n">
        <f aca="false">MIN(FT119,FV119)</f>
        <v>1976.95840523036</v>
      </c>
      <c r="FX119" s="84" t="n">
        <f aca="false">FV119-FW119</f>
        <v>4745.11313917812</v>
      </c>
      <c r="FY119" s="84" t="n">
        <f aca="false">FK119+$G119*(FV119+FK119)</f>
        <v>11305.549311502</v>
      </c>
      <c r="FZ119" s="84" t="n">
        <f aca="false">MIN(FT119-FW119,FY119)</f>
        <v>0</v>
      </c>
      <c r="GA119" s="84" t="n">
        <f aca="false">FY119-FZ119</f>
        <v>11305.549311502</v>
      </c>
      <c r="GB119" s="84" t="n">
        <f aca="false">IF($H119=1,MIN(FT119-FW119-FZ119,MAX(0,$F119/(1-$F119)*(FP119+FZ119)-FQ119)),0)</f>
        <v>0</v>
      </c>
      <c r="GC119" s="84" t="n">
        <f aca="false">FT119-FW119-FZ119-GB119</f>
        <v>0</v>
      </c>
      <c r="GD119" s="84" t="n">
        <f aca="false">FW119+FZ119+(1-$F119)*GC119</f>
        <v>1976.95840523036</v>
      </c>
      <c r="GE119" s="84" t="n">
        <f aca="false">GB119+$F119*GC119</f>
        <v>0</v>
      </c>
      <c r="GF119" s="84" t="n">
        <f aca="false">FP119+FZ119+(1-$F119)*GC119</f>
        <v>0</v>
      </c>
      <c r="GG119" s="84" t="n">
        <f aca="false">FQ119+GE119</f>
        <v>0</v>
      </c>
      <c r="GH119" s="133" t="n">
        <f aca="false">FU119+$D119*Inputs!$L$13-$D119*$E119</f>
        <v>7637.83362092143</v>
      </c>
      <c r="GI119" s="84" t="n">
        <f aca="false">GH119*(1+$I119)</f>
        <v>8019.7253019675</v>
      </c>
      <c r="GJ119" s="133" t="n">
        <f aca="false">GI119*Inputs!$L$14</f>
        <v>8019.7253019675</v>
      </c>
      <c r="GK119" s="84" t="n">
        <f aca="false">GI119-GJ119</f>
        <v>0</v>
      </c>
      <c r="GL119" s="133" t="n">
        <f aca="false">FX119+$D119*Inputs!$L$13</f>
        <v>4745.11313917812</v>
      </c>
      <c r="GM119" s="84" t="n">
        <f aca="false">MIN(GJ119,GL119)</f>
        <v>4745.11313917812</v>
      </c>
      <c r="GN119" s="84" t="n">
        <f aca="false">GL119-GM119</f>
        <v>0</v>
      </c>
      <c r="GO119" s="84" t="n">
        <f aca="false">GA119+$G119*(GL119+GA119)</f>
        <v>12589.6023075564</v>
      </c>
      <c r="GP119" s="84" t="n">
        <f aca="false">MIN(GJ119-GM119,GO119)</f>
        <v>3274.61216278938</v>
      </c>
      <c r="GQ119" s="84" t="n">
        <f aca="false">GO119-GP119</f>
        <v>9314.99014476699</v>
      </c>
      <c r="GR119" s="84" t="n">
        <f aca="false">IF($H119=1,MIN(GJ119-GM119-GP119,MAX(0,$F119/(1-$F119)*(GF119+GP119)-GG119)),0)</f>
        <v>0</v>
      </c>
      <c r="GS119" s="84" t="n">
        <f aca="false">GJ119-GM119-GP119-GR119</f>
        <v>0</v>
      </c>
      <c r="GT119" s="84" t="n">
        <f aca="false">GM119+GP119+(1-$F119)*GS119</f>
        <v>8019.7253019675</v>
      </c>
      <c r="GU119" s="84" t="n">
        <f aca="false">GR119+$F119*GS119</f>
        <v>0</v>
      </c>
      <c r="GV119" s="84" t="n">
        <f aca="false">GF119+GP119+(1-$F119)*GS119</f>
        <v>3274.61216278938</v>
      </c>
      <c r="GW119" s="84" t="n">
        <f aca="false">GG119+GU119</f>
        <v>0</v>
      </c>
    </row>
    <row r="120" customFormat="false" ht="15" hidden="false" customHeight="false" outlineLevel="0" collapsed="false">
      <c r="A120" s="5" t="s">
        <v>640</v>
      </c>
      <c r="B120" s="5" t="s">
        <v>428</v>
      </c>
      <c r="C120" s="135" t="n">
        <v>6</v>
      </c>
      <c r="D120" s="47" t="n">
        <f aca="false">Inputs!$C$6</f>
        <v>20000</v>
      </c>
      <c r="E120" s="35" t="n">
        <f aca="false">Inputs!$C$19</f>
        <v>0.0135</v>
      </c>
      <c r="F120" s="36" t="n">
        <f aca="false">Inputs!$C$20</f>
        <v>0.2</v>
      </c>
      <c r="G120" s="36" t="n">
        <f aca="false">Inputs!$C$22</f>
        <v>0.08</v>
      </c>
      <c r="H120" s="44" t="n">
        <f aca="false">Inputs!$C$23</f>
        <v>1</v>
      </c>
      <c r="I120" s="132" t="n">
        <f aca="false">Inputs!$C$38+$C120*Inputs!$C$39</f>
        <v>0.06</v>
      </c>
      <c r="J120" s="36" t="n">
        <f aca="false">Inputs!$C$9</f>
        <v>0.15</v>
      </c>
      <c r="K120" s="89" t="n">
        <f aca="false">IRR(W120:AG120,0.1)</f>
        <v>0.0370608449414686</v>
      </c>
      <c r="L120" s="45" t="n">
        <f aca="false">W120+NPV($J120,X120:AG120)</f>
        <v>-6830.3127160451</v>
      </c>
      <c r="M120" s="45" t="n">
        <f aca="false">SUM(BF120,BV120,CL120,DB120,DR120,EH120,EX120,FN120,GD120,GT120)</f>
        <v>24690.8392469323</v>
      </c>
      <c r="N120" s="43" t="n">
        <f aca="false">IF($D120*SUM(Inputs!$C$13:$L$13)=0,0,M120/($D120*SUM(Inputs!$C$13:$L$13)))</f>
        <v>1.23454196234661</v>
      </c>
      <c r="O120" s="42" t="n">
        <f aca="false">$D120*$E120*COLUMNS(Inputs!$C$13:$L$13)</f>
        <v>2700</v>
      </c>
      <c r="P120" s="45" t="n">
        <f aca="false">SUM(BG120,BW120,CM120,DC120,DS120,EI120,EY120,FO120,GE120,GU120)</f>
        <v>0</v>
      </c>
      <c r="Q120" s="42" t="n">
        <f aca="false">PV($J120,COLUMNS(Inputs!$C$13:$L$13),-$D120*$E120,0,1)</f>
        <v>1558.32765832774</v>
      </c>
      <c r="R120" s="45" t="n">
        <f aca="false">NPV($J120,BG120,BW120,CM120,DC120,DS120,EI120,EY120,FO120,GE120,GU120)</f>
        <v>0</v>
      </c>
      <c r="S120" s="45" t="n">
        <f aca="false">Q120+R120</f>
        <v>1558.32765832774</v>
      </c>
      <c r="T120" s="32" t="n">
        <f aca="false">IF(S120=0,0,Q120/S120)</f>
        <v>1</v>
      </c>
      <c r="U120" s="45" t="n">
        <f aca="false">ROUND(ABS(GK120)+ABS(SUM(AV120,BL120,CB120,CR120,DH120,DX120,EN120,FD120,FT120,GJ120)-M120-P120)+ABS(S120-(AH120+NPV($J120,AI120:AR120))),6)</f>
        <v>0</v>
      </c>
      <c r="W120" s="133" t="n">
        <f aca="false">-$D120*Inputs!$C$13</f>
        <v>-4000</v>
      </c>
      <c r="X120" s="133" t="n">
        <f aca="false">BF120-$D120*Inputs!$D$13</f>
        <v>-4000</v>
      </c>
      <c r="Y120" s="133" t="n">
        <f aca="false">BV120-$D120*Inputs!$E$13</f>
        <v>-4000</v>
      </c>
      <c r="Z120" s="133" t="n">
        <f aca="false">CL120-$D120*Inputs!$F$13</f>
        <v>-4000</v>
      </c>
      <c r="AA120" s="133" t="n">
        <f aca="false">DB120-$D120*Inputs!$G$13</f>
        <v>-4000</v>
      </c>
      <c r="AB120" s="133" t="n">
        <f aca="false">DR120-$D120*Inputs!$H$13</f>
        <v>4457.5876290496</v>
      </c>
      <c r="AC120" s="133" t="n">
        <f aca="false">EH120-$D120*Inputs!$I$13</f>
        <v>3722.79430943406</v>
      </c>
      <c r="AD120" s="133" t="n">
        <f aca="false">EX120-$D120*Inputs!$J$13</f>
        <v>3099.68957440009</v>
      </c>
      <c r="AE120" s="133" t="n">
        <f aca="false">FN120-$D120*Inputs!$K$13</f>
        <v>2571.29675909127</v>
      </c>
      <c r="AF120" s="133" t="n">
        <f aca="false">GD120-$D120*Inputs!$L$13</f>
        <v>2123.2196517094</v>
      </c>
      <c r="AG120" s="84" t="n">
        <f aca="false">GT120</f>
        <v>8716.25132324785</v>
      </c>
      <c r="AH120" s="84" t="n">
        <f aca="false">$D120*$E120</f>
        <v>270</v>
      </c>
      <c r="AI120" s="84" t="n">
        <f aca="false">BG120+$D120*$E120</f>
        <v>270</v>
      </c>
      <c r="AJ120" s="84" t="n">
        <f aca="false">BW120+$D120*$E120</f>
        <v>270</v>
      </c>
      <c r="AK120" s="84" t="n">
        <f aca="false">CM120+$D120*$E120</f>
        <v>270</v>
      </c>
      <c r="AL120" s="84" t="n">
        <f aca="false">DC120+$D120*$E120</f>
        <v>270</v>
      </c>
      <c r="AM120" s="84" t="n">
        <f aca="false">DS120+$D120*$E120</f>
        <v>270</v>
      </c>
      <c r="AN120" s="84" t="n">
        <f aca="false">EI120+$D120*$E120</f>
        <v>270</v>
      </c>
      <c r="AO120" s="84" t="n">
        <f aca="false">EY120+$D120*$E120</f>
        <v>270</v>
      </c>
      <c r="AP120" s="84" t="n">
        <f aca="false">FO120+$D120*$E120</f>
        <v>270</v>
      </c>
      <c r="AQ120" s="84" t="n">
        <f aca="false">GE120+$D120*$E120</f>
        <v>270</v>
      </c>
      <c r="AR120" s="84" t="n">
        <f aca="false">GU120</f>
        <v>0</v>
      </c>
      <c r="AT120" s="133" t="n">
        <f aca="false">$D120*Inputs!$C$13-$D120*$E120</f>
        <v>3730</v>
      </c>
      <c r="AU120" s="84" t="n">
        <f aca="false">AT120*(1+$I120)</f>
        <v>3953.8</v>
      </c>
      <c r="AV120" s="133" t="n">
        <f aca="false">AU120*Inputs!$C$14</f>
        <v>0</v>
      </c>
      <c r="AW120" s="84" t="n">
        <f aca="false">AU120-AV120</f>
        <v>3953.8</v>
      </c>
      <c r="AX120" s="133" t="n">
        <f aca="false">$D120*Inputs!$C$13</f>
        <v>4000</v>
      </c>
      <c r="AY120" s="84" t="n">
        <f aca="false">MIN(AV120,AX120)</f>
        <v>0</v>
      </c>
      <c r="AZ120" s="84" t="n">
        <f aca="false">AX120-AY120</f>
        <v>4000</v>
      </c>
      <c r="BA120" s="84" t="n">
        <f aca="false">$G120*AX120</f>
        <v>320</v>
      </c>
      <c r="BB120" s="84" t="n">
        <f aca="false">MIN(AV120-AY120,BA120)</f>
        <v>0</v>
      </c>
      <c r="BC120" s="84" t="n">
        <f aca="false">BA120-BB120</f>
        <v>320</v>
      </c>
      <c r="BD120" s="84" t="n">
        <f aca="false">IF($H120=1,MIN(AV120-AY120-BB120,MAX(0,$F120/(1-$F120)*BB120)),0)</f>
        <v>0</v>
      </c>
      <c r="BE120" s="84" t="n">
        <f aca="false">AV120-AY120-BB120-BD120</f>
        <v>0</v>
      </c>
      <c r="BF120" s="84" t="n">
        <f aca="false">AY120+BB120+(1-$F120)*BE120</f>
        <v>0</v>
      </c>
      <c r="BG120" s="84" t="n">
        <f aca="false">BD120+$F120*BE120</f>
        <v>0</v>
      </c>
      <c r="BH120" s="84" t="n">
        <f aca="false">BB120+(1-$F120)*BE120</f>
        <v>0</v>
      </c>
      <c r="BI120" s="84" t="n">
        <f aca="false">BG120</f>
        <v>0</v>
      </c>
      <c r="BJ120" s="133" t="n">
        <f aca="false">AW120+$D120*Inputs!$D$13-$D120*$E120</f>
        <v>7683.8</v>
      </c>
      <c r="BK120" s="84" t="n">
        <f aca="false">BJ120*(1+$I120)</f>
        <v>8144.828</v>
      </c>
      <c r="BL120" s="133" t="n">
        <f aca="false">BK120*Inputs!$D$14</f>
        <v>0</v>
      </c>
      <c r="BM120" s="84" t="n">
        <f aca="false">BK120-BL120</f>
        <v>8144.828</v>
      </c>
      <c r="BN120" s="133" t="n">
        <f aca="false">AZ120+$D120*Inputs!$D$13</f>
        <v>8000</v>
      </c>
      <c r="BO120" s="84" t="n">
        <f aca="false">MIN(BL120,BN120)</f>
        <v>0</v>
      </c>
      <c r="BP120" s="84" t="n">
        <f aca="false">BN120-BO120</f>
        <v>8000</v>
      </c>
      <c r="BQ120" s="84" t="n">
        <f aca="false">BC120+$G120*(BN120+BC120)</f>
        <v>985.6</v>
      </c>
      <c r="BR120" s="84" t="n">
        <f aca="false">MIN(BL120-BO120,BQ120)</f>
        <v>0</v>
      </c>
      <c r="BS120" s="84" t="n">
        <f aca="false">BQ120-BR120</f>
        <v>985.6</v>
      </c>
      <c r="BT120" s="84" t="n">
        <f aca="false">IF($H120=1,MIN(BL120-BO120-BR120,MAX(0,$F120/(1-$F120)*(BH120+BR120)-BI120)),0)</f>
        <v>0</v>
      </c>
      <c r="BU120" s="84" t="n">
        <f aca="false">BL120-BO120-BR120-BT120</f>
        <v>0</v>
      </c>
      <c r="BV120" s="84" t="n">
        <f aca="false">BO120+BR120+(1-$F120)*BU120</f>
        <v>0</v>
      </c>
      <c r="BW120" s="84" t="n">
        <f aca="false">BT120+$F120*BU120</f>
        <v>0</v>
      </c>
      <c r="BX120" s="84" t="n">
        <f aca="false">BH120+BR120+(1-$F120)*BU120</f>
        <v>0</v>
      </c>
      <c r="BY120" s="84" t="n">
        <f aca="false">BI120+BW120</f>
        <v>0</v>
      </c>
      <c r="BZ120" s="133" t="n">
        <f aca="false">BM120+$D120*Inputs!$E$13-$D120*$E120</f>
        <v>11874.828</v>
      </c>
      <c r="CA120" s="84" t="n">
        <f aca="false">BZ120*(1+$I120)</f>
        <v>12587.31768</v>
      </c>
      <c r="CB120" s="133" t="n">
        <f aca="false">CA120*Inputs!$E$14</f>
        <v>0</v>
      </c>
      <c r="CC120" s="84" t="n">
        <f aca="false">CA120-CB120</f>
        <v>12587.31768</v>
      </c>
      <c r="CD120" s="133" t="n">
        <f aca="false">BP120+$D120*Inputs!$E$13</f>
        <v>12000</v>
      </c>
      <c r="CE120" s="84" t="n">
        <f aca="false">MIN(CB120,CD120)</f>
        <v>0</v>
      </c>
      <c r="CF120" s="84" t="n">
        <f aca="false">CD120-CE120</f>
        <v>12000</v>
      </c>
      <c r="CG120" s="84" t="n">
        <f aca="false">BS120+$G120*(CD120+BS120)</f>
        <v>2024.448</v>
      </c>
      <c r="CH120" s="84" t="n">
        <f aca="false">MIN(CB120-CE120,CG120)</f>
        <v>0</v>
      </c>
      <c r="CI120" s="84" t="n">
        <f aca="false">CG120-CH120</f>
        <v>2024.448</v>
      </c>
      <c r="CJ120" s="84" t="n">
        <f aca="false">IF($H120=1,MIN(CB120-CE120-CH120,MAX(0,$F120/(1-$F120)*(BX120+CH120)-BY120)),0)</f>
        <v>0</v>
      </c>
      <c r="CK120" s="84" t="n">
        <f aca="false">CB120-CE120-CH120-CJ120</f>
        <v>0</v>
      </c>
      <c r="CL120" s="84" t="n">
        <f aca="false">CE120+CH120+(1-$F120)*CK120</f>
        <v>0</v>
      </c>
      <c r="CM120" s="84" t="n">
        <f aca="false">CJ120+$F120*CK120</f>
        <v>0</v>
      </c>
      <c r="CN120" s="84" t="n">
        <f aca="false">BX120+CH120+(1-$F120)*CK120</f>
        <v>0</v>
      </c>
      <c r="CO120" s="84" t="n">
        <f aca="false">BY120+CM120</f>
        <v>0</v>
      </c>
      <c r="CP120" s="133" t="n">
        <f aca="false">CC120+$D120*Inputs!$F$13-$D120*$E120</f>
        <v>16317.31768</v>
      </c>
      <c r="CQ120" s="84" t="n">
        <f aca="false">CP120*(1+$I120)</f>
        <v>17296.3567408</v>
      </c>
      <c r="CR120" s="133" t="n">
        <f aca="false">CQ120*Inputs!$F$14</f>
        <v>0</v>
      </c>
      <c r="CS120" s="84" t="n">
        <f aca="false">CQ120-CR120</f>
        <v>17296.3567408</v>
      </c>
      <c r="CT120" s="133" t="n">
        <f aca="false">CF120+$D120*Inputs!$F$13</f>
        <v>16000</v>
      </c>
      <c r="CU120" s="84" t="n">
        <f aca="false">MIN(CR120,CT120)</f>
        <v>0</v>
      </c>
      <c r="CV120" s="84" t="n">
        <f aca="false">CT120-CU120</f>
        <v>16000</v>
      </c>
      <c r="CW120" s="84" t="n">
        <f aca="false">CI120+$G120*(CT120+CI120)</f>
        <v>3466.40384</v>
      </c>
      <c r="CX120" s="84" t="n">
        <f aca="false">MIN(CR120-CU120,CW120)</f>
        <v>0</v>
      </c>
      <c r="CY120" s="84" t="n">
        <f aca="false">CW120-CX120</f>
        <v>3466.40384</v>
      </c>
      <c r="CZ120" s="84" t="n">
        <f aca="false">IF($H120=1,MIN(CR120-CU120-CX120,MAX(0,$F120/(1-$F120)*(CN120+CX120)-CO120)),0)</f>
        <v>0</v>
      </c>
      <c r="DA120" s="84" t="n">
        <f aca="false">CR120-CU120-CX120-CZ120</f>
        <v>0</v>
      </c>
      <c r="DB120" s="84" t="n">
        <f aca="false">CU120+CX120+(1-$F120)*DA120</f>
        <v>0</v>
      </c>
      <c r="DC120" s="84" t="n">
        <f aca="false">CZ120+$F120*DA120</f>
        <v>0</v>
      </c>
      <c r="DD120" s="84" t="n">
        <f aca="false">CN120+CX120+(1-$F120)*DA120</f>
        <v>0</v>
      </c>
      <c r="DE120" s="84" t="n">
        <f aca="false">CO120+DC120</f>
        <v>0</v>
      </c>
      <c r="DF120" s="133" t="n">
        <f aca="false">CS120+$D120*Inputs!$G$13-$D120*$E120</f>
        <v>21026.3567408</v>
      </c>
      <c r="DG120" s="84" t="n">
        <f aca="false">DF120*(1+$I120)</f>
        <v>22287.938145248</v>
      </c>
      <c r="DH120" s="133" t="n">
        <f aca="false">DG120*Inputs!$G$14</f>
        <v>4457.5876290496</v>
      </c>
      <c r="DI120" s="84" t="n">
        <f aca="false">DG120-DH120</f>
        <v>17830.3505161984</v>
      </c>
      <c r="DJ120" s="133" t="n">
        <f aca="false">CV120+$D120*Inputs!$G$13</f>
        <v>20000</v>
      </c>
      <c r="DK120" s="84" t="n">
        <f aca="false">MIN(DH120,DJ120)</f>
        <v>4457.5876290496</v>
      </c>
      <c r="DL120" s="84" t="n">
        <f aca="false">DJ120-DK120</f>
        <v>15542.4123709504</v>
      </c>
      <c r="DM120" s="84" t="n">
        <f aca="false">CY120+$G120*(DJ120+CY120)</f>
        <v>5343.7161472</v>
      </c>
      <c r="DN120" s="84" t="n">
        <f aca="false">MIN(DH120-DK120,DM120)</f>
        <v>0</v>
      </c>
      <c r="DO120" s="84" t="n">
        <f aca="false">DM120-DN120</f>
        <v>5343.7161472</v>
      </c>
      <c r="DP120" s="84" t="n">
        <f aca="false">IF($H120=1,MIN(DH120-DK120-DN120,MAX(0,$F120/(1-$F120)*(DD120+DN120)-DE120)),0)</f>
        <v>0</v>
      </c>
      <c r="DQ120" s="84" t="n">
        <f aca="false">DH120-DK120-DN120-DP120</f>
        <v>0</v>
      </c>
      <c r="DR120" s="84" t="n">
        <f aca="false">DK120+DN120+(1-$F120)*DQ120</f>
        <v>4457.5876290496</v>
      </c>
      <c r="DS120" s="84" t="n">
        <f aca="false">DP120+$F120*DQ120</f>
        <v>0</v>
      </c>
      <c r="DT120" s="84" t="n">
        <f aca="false">DD120+DN120+(1-$F120)*DQ120</f>
        <v>0</v>
      </c>
      <c r="DU120" s="84" t="n">
        <f aca="false">DE120+DS120</f>
        <v>0</v>
      </c>
      <c r="DV120" s="133" t="n">
        <f aca="false">DI120+$D120*Inputs!$H$13-$D120*$E120</f>
        <v>17560.3505161984</v>
      </c>
      <c r="DW120" s="84" t="n">
        <f aca="false">DV120*(1+$I120)</f>
        <v>18613.9715471703</v>
      </c>
      <c r="DX120" s="133" t="n">
        <f aca="false">DW120*Inputs!$H$14</f>
        <v>3722.79430943406</v>
      </c>
      <c r="DY120" s="84" t="n">
        <f aca="false">DW120-DX120</f>
        <v>14891.1772377362</v>
      </c>
      <c r="DZ120" s="133" t="n">
        <f aca="false">DL120+$D120*Inputs!$H$13</f>
        <v>15542.4123709504</v>
      </c>
      <c r="EA120" s="84" t="n">
        <f aca="false">MIN(DX120,DZ120)</f>
        <v>3722.79430943406</v>
      </c>
      <c r="EB120" s="84" t="n">
        <f aca="false">DZ120-EA120</f>
        <v>11819.6180615163</v>
      </c>
      <c r="EC120" s="84" t="n">
        <f aca="false">DO120+$G120*(DZ120+DO120)</f>
        <v>7014.60642865203</v>
      </c>
      <c r="ED120" s="84" t="n">
        <f aca="false">MIN(DX120-EA120,EC120)</f>
        <v>0</v>
      </c>
      <c r="EE120" s="84" t="n">
        <f aca="false">EC120-ED120</f>
        <v>7014.60642865203</v>
      </c>
      <c r="EF120" s="84" t="n">
        <f aca="false">IF($H120=1,MIN(DX120-EA120-ED120,MAX(0,$F120/(1-$F120)*(DT120+ED120)-DU120)),0)</f>
        <v>0</v>
      </c>
      <c r="EG120" s="84" t="n">
        <f aca="false">DX120-EA120-ED120-EF120</f>
        <v>0</v>
      </c>
      <c r="EH120" s="84" t="n">
        <f aca="false">EA120+ED120+(1-$F120)*EG120</f>
        <v>3722.79430943406</v>
      </c>
      <c r="EI120" s="84" t="n">
        <f aca="false">EF120+$F120*EG120</f>
        <v>0</v>
      </c>
      <c r="EJ120" s="84" t="n">
        <f aca="false">DT120+ED120+(1-$F120)*EG120</f>
        <v>0</v>
      </c>
      <c r="EK120" s="84" t="n">
        <f aca="false">DU120+EI120</f>
        <v>0</v>
      </c>
      <c r="EL120" s="133" t="n">
        <f aca="false">DY120+$D120*Inputs!$I$13-$D120*$E120</f>
        <v>14621.1772377362</v>
      </c>
      <c r="EM120" s="84" t="n">
        <f aca="false">EL120*(1+$I120)</f>
        <v>15498.4478720004</v>
      </c>
      <c r="EN120" s="133" t="n">
        <f aca="false">EM120*Inputs!$I$14</f>
        <v>3099.68957440009</v>
      </c>
      <c r="EO120" s="84" t="n">
        <f aca="false">EM120-EN120</f>
        <v>12398.7582976003</v>
      </c>
      <c r="EP120" s="133" t="n">
        <f aca="false">EB120+$D120*Inputs!$I$13</f>
        <v>11819.6180615163</v>
      </c>
      <c r="EQ120" s="84" t="n">
        <f aca="false">MIN(EN120,EP120)</f>
        <v>3099.68957440009</v>
      </c>
      <c r="ER120" s="84" t="n">
        <f aca="false">EP120-EQ120</f>
        <v>8719.92848711625</v>
      </c>
      <c r="ES120" s="84" t="n">
        <f aca="false">EE120+$G120*(EP120+EE120)</f>
        <v>8521.3443878655</v>
      </c>
      <c r="ET120" s="84" t="n">
        <f aca="false">MIN(EN120-EQ120,ES120)</f>
        <v>0</v>
      </c>
      <c r="EU120" s="84" t="n">
        <f aca="false">ES120-ET120</f>
        <v>8521.3443878655</v>
      </c>
      <c r="EV120" s="84" t="n">
        <f aca="false">IF($H120=1,MIN(EN120-EQ120-ET120,MAX(0,$F120/(1-$F120)*(EJ120+ET120)-EK120)),0)</f>
        <v>0</v>
      </c>
      <c r="EW120" s="84" t="n">
        <f aca="false">EN120-EQ120-ET120-EV120</f>
        <v>0</v>
      </c>
      <c r="EX120" s="84" t="n">
        <f aca="false">EQ120+ET120+(1-$F120)*EW120</f>
        <v>3099.68957440009</v>
      </c>
      <c r="EY120" s="84" t="n">
        <f aca="false">EV120+$F120*EW120</f>
        <v>0</v>
      </c>
      <c r="EZ120" s="84" t="n">
        <f aca="false">EJ120+ET120+(1-$F120)*EW120</f>
        <v>0</v>
      </c>
      <c r="FA120" s="84" t="n">
        <f aca="false">EK120+EY120</f>
        <v>0</v>
      </c>
      <c r="FB120" s="133" t="n">
        <f aca="false">EO120+$D120*Inputs!$J$13-$D120*$E120</f>
        <v>12128.7582976003</v>
      </c>
      <c r="FC120" s="84" t="n">
        <f aca="false">FB120*(1+$I120)</f>
        <v>12856.4837954564</v>
      </c>
      <c r="FD120" s="133" t="n">
        <f aca="false">FC120*Inputs!$J$14</f>
        <v>2571.29675909127</v>
      </c>
      <c r="FE120" s="84" t="n">
        <f aca="false">FC120-FD120</f>
        <v>10285.1870363651</v>
      </c>
      <c r="FF120" s="133" t="n">
        <f aca="false">ER120+$D120*Inputs!$J$13</f>
        <v>8719.92848711625</v>
      </c>
      <c r="FG120" s="84" t="n">
        <f aca="false">MIN(FD120,FF120)</f>
        <v>2571.29675909127</v>
      </c>
      <c r="FH120" s="84" t="n">
        <f aca="false">FF120-FG120</f>
        <v>6148.63172802498</v>
      </c>
      <c r="FI120" s="84" t="n">
        <f aca="false">EU120+$G120*(FF120+EU120)</f>
        <v>9900.64621786404</v>
      </c>
      <c r="FJ120" s="84" t="n">
        <f aca="false">MIN(FD120-FG120,FI120)</f>
        <v>0</v>
      </c>
      <c r="FK120" s="84" t="n">
        <f aca="false">FI120-FJ120</f>
        <v>9900.64621786404</v>
      </c>
      <c r="FL120" s="84" t="n">
        <f aca="false">IF($H120=1,MIN(FD120-FG120-FJ120,MAX(0,$F120/(1-$F120)*(EZ120+FJ120)-FA120)),0)</f>
        <v>0</v>
      </c>
      <c r="FM120" s="84" t="n">
        <f aca="false">FD120-FG120-FJ120-FL120</f>
        <v>0</v>
      </c>
      <c r="FN120" s="84" t="n">
        <f aca="false">FG120+FJ120+(1-$F120)*FM120</f>
        <v>2571.29675909127</v>
      </c>
      <c r="FO120" s="84" t="n">
        <f aca="false">FL120+$F120*FM120</f>
        <v>0</v>
      </c>
      <c r="FP120" s="84" t="n">
        <f aca="false">EZ120+FJ120+(1-$F120)*FM120</f>
        <v>0</v>
      </c>
      <c r="FQ120" s="84" t="n">
        <f aca="false">FA120+FO120</f>
        <v>0</v>
      </c>
      <c r="FR120" s="133" t="n">
        <f aca="false">FE120+$D120*Inputs!$K$13-$D120*$E120</f>
        <v>10015.1870363651</v>
      </c>
      <c r="FS120" s="84" t="n">
        <f aca="false">FR120*(1+$I120)</f>
        <v>10616.098258547</v>
      </c>
      <c r="FT120" s="133" t="n">
        <f aca="false">FS120*Inputs!$K$14</f>
        <v>2123.2196517094</v>
      </c>
      <c r="FU120" s="84" t="n">
        <f aca="false">FS120-FT120</f>
        <v>8492.87860683759</v>
      </c>
      <c r="FV120" s="133" t="n">
        <f aca="false">FH120+$D120*Inputs!$K$13</f>
        <v>6148.63172802498</v>
      </c>
      <c r="FW120" s="84" t="n">
        <f aca="false">MIN(FT120,FV120)</f>
        <v>2123.2196517094</v>
      </c>
      <c r="FX120" s="84" t="n">
        <f aca="false">FV120-FW120</f>
        <v>4025.41207631558</v>
      </c>
      <c r="FY120" s="84" t="n">
        <f aca="false">FK120+$G120*(FV120+FK120)</f>
        <v>11184.5884535352</v>
      </c>
      <c r="FZ120" s="84" t="n">
        <f aca="false">MIN(FT120-FW120,FY120)</f>
        <v>0</v>
      </c>
      <c r="GA120" s="84" t="n">
        <f aca="false">FY120-FZ120</f>
        <v>11184.5884535352</v>
      </c>
      <c r="GB120" s="84" t="n">
        <f aca="false">IF($H120=1,MIN(FT120-FW120-FZ120,MAX(0,$F120/(1-$F120)*(FP120+FZ120)-FQ120)),0)</f>
        <v>0</v>
      </c>
      <c r="GC120" s="84" t="n">
        <f aca="false">FT120-FW120-FZ120-GB120</f>
        <v>0</v>
      </c>
      <c r="GD120" s="84" t="n">
        <f aca="false">FW120+FZ120+(1-$F120)*GC120</f>
        <v>2123.2196517094</v>
      </c>
      <c r="GE120" s="84" t="n">
        <f aca="false">GB120+$F120*GC120</f>
        <v>0</v>
      </c>
      <c r="GF120" s="84" t="n">
        <f aca="false">FP120+FZ120+(1-$F120)*GC120</f>
        <v>0</v>
      </c>
      <c r="GG120" s="84" t="n">
        <f aca="false">FQ120+GE120</f>
        <v>0</v>
      </c>
      <c r="GH120" s="133" t="n">
        <f aca="false">FU120+$D120*Inputs!$L$13-$D120*$E120</f>
        <v>8222.87860683759</v>
      </c>
      <c r="GI120" s="84" t="n">
        <f aca="false">GH120*(1+$I120)</f>
        <v>8716.25132324785</v>
      </c>
      <c r="GJ120" s="133" t="n">
        <f aca="false">GI120*Inputs!$L$14</f>
        <v>8716.25132324785</v>
      </c>
      <c r="GK120" s="84" t="n">
        <f aca="false">GI120-GJ120</f>
        <v>0</v>
      </c>
      <c r="GL120" s="133" t="n">
        <f aca="false">FX120+$D120*Inputs!$L$13</f>
        <v>4025.41207631558</v>
      </c>
      <c r="GM120" s="84" t="n">
        <f aca="false">MIN(GJ120,GL120)</f>
        <v>4025.41207631558</v>
      </c>
      <c r="GN120" s="84" t="n">
        <f aca="false">GL120-GM120</f>
        <v>0</v>
      </c>
      <c r="GO120" s="84" t="n">
        <f aca="false">GA120+$G120*(GL120+GA120)</f>
        <v>12401.3884959232</v>
      </c>
      <c r="GP120" s="84" t="n">
        <f aca="false">MIN(GJ120-GM120,GO120)</f>
        <v>4690.83924693227</v>
      </c>
      <c r="GQ120" s="84" t="n">
        <f aca="false">GO120-GP120</f>
        <v>7710.54924899095</v>
      </c>
      <c r="GR120" s="84" t="n">
        <f aca="false">IF($H120=1,MIN(GJ120-GM120-GP120,MAX(0,$F120/(1-$F120)*(GF120+GP120)-GG120)),0)</f>
        <v>0</v>
      </c>
      <c r="GS120" s="84" t="n">
        <f aca="false">GJ120-GM120-GP120-GR120</f>
        <v>0</v>
      </c>
      <c r="GT120" s="84" t="n">
        <f aca="false">GM120+GP120+(1-$F120)*GS120</f>
        <v>8716.25132324785</v>
      </c>
      <c r="GU120" s="84" t="n">
        <f aca="false">GR120+$F120*GS120</f>
        <v>0</v>
      </c>
      <c r="GV120" s="84" t="n">
        <f aca="false">GF120+GP120+(1-$F120)*GS120</f>
        <v>4690.83924693227</v>
      </c>
      <c r="GW120" s="84" t="n">
        <f aca="false">GG120+GU120</f>
        <v>0</v>
      </c>
    </row>
    <row r="121" customFormat="false" ht="15" hidden="false" customHeight="false" outlineLevel="0" collapsed="false">
      <c r="A121" s="5" t="s">
        <v>640</v>
      </c>
      <c r="B121" s="5" t="s">
        <v>428</v>
      </c>
      <c r="C121" s="135" t="n">
        <v>7</v>
      </c>
      <c r="D121" s="47" t="n">
        <f aca="false">Inputs!$C$6</f>
        <v>20000</v>
      </c>
      <c r="E121" s="35" t="n">
        <f aca="false">Inputs!$C$19</f>
        <v>0.0135</v>
      </c>
      <c r="F121" s="36" t="n">
        <f aca="false">Inputs!$C$20</f>
        <v>0.2</v>
      </c>
      <c r="G121" s="36" t="n">
        <f aca="false">Inputs!$C$22</f>
        <v>0.08</v>
      </c>
      <c r="H121" s="44" t="n">
        <f aca="false">Inputs!$C$23</f>
        <v>1</v>
      </c>
      <c r="I121" s="132" t="n">
        <f aca="false">Inputs!$C$38+$C121*Inputs!$C$39</f>
        <v>0.07</v>
      </c>
      <c r="J121" s="36" t="n">
        <f aca="false">Inputs!$C$9</f>
        <v>0.15</v>
      </c>
      <c r="K121" s="89" t="n">
        <f aca="false">IRR(W121:AG121,0.1)</f>
        <v>0.047412159548745</v>
      </c>
      <c r="L121" s="45" t="n">
        <f aca="false">W121+NPV($J121,X121:AG121)</f>
        <v>-6360.28693803464</v>
      </c>
      <c r="M121" s="45" t="n">
        <f aca="false">SUM(BF121,BV121,CL121,DB121,DR121,EH121,EX121,FN121,GD121,GT121)</f>
        <v>26190.7069634287</v>
      </c>
      <c r="N121" s="43" t="n">
        <f aca="false">IF($D121*SUM(Inputs!$C$13:$L$13)=0,0,M121/($D121*SUM(Inputs!$C$13:$L$13)))</f>
        <v>1.30953534817143</v>
      </c>
      <c r="O121" s="42" t="n">
        <f aca="false">$D121*$E121*COLUMNS(Inputs!$C$13:$L$13)</f>
        <v>2700</v>
      </c>
      <c r="P121" s="45" t="n">
        <f aca="false">SUM(BG121,BW121,CM121,DC121,DS121,EI121,EY121,FO121,GE121,GU121)</f>
        <v>0</v>
      </c>
      <c r="Q121" s="42" t="n">
        <f aca="false">PV($J121,COLUMNS(Inputs!$C$13:$L$13),-$D121*$E121,0,1)</f>
        <v>1558.32765832774</v>
      </c>
      <c r="R121" s="45" t="n">
        <f aca="false">NPV($J121,BG121,BW121,CM121,DC121,DS121,EI121,EY121,FO121,GE121,GU121)</f>
        <v>0</v>
      </c>
      <c r="S121" s="45" t="n">
        <f aca="false">Q121+R121</f>
        <v>1558.32765832774</v>
      </c>
      <c r="T121" s="32" t="n">
        <f aca="false">IF(S121=0,0,Q121/S121)</f>
        <v>1</v>
      </c>
      <c r="U121" s="45" t="n">
        <f aca="false">ROUND(ABS(GK121)+ABS(SUM(AV121,BL121,CB121,CR121,DH121,DX121,EN121,FD121,FT121,GJ121)-M121-P121)+ABS(S121-(AH121+NPV($J121,AI121:AR121))),6)</f>
        <v>0</v>
      </c>
      <c r="W121" s="133" t="n">
        <f aca="false">-$D121*Inputs!$C$13</f>
        <v>-4000</v>
      </c>
      <c r="X121" s="133" t="n">
        <f aca="false">BF121-$D121*Inputs!$D$13</f>
        <v>-4000</v>
      </c>
      <c r="Y121" s="133" t="n">
        <f aca="false">BV121-$D121*Inputs!$E$13</f>
        <v>-4000</v>
      </c>
      <c r="Z121" s="133" t="n">
        <f aca="false">CL121-$D121*Inputs!$F$13</f>
        <v>-4000</v>
      </c>
      <c r="AA121" s="133" t="n">
        <f aca="false">DB121-$D121*Inputs!$G$13</f>
        <v>-4000</v>
      </c>
      <c r="AB121" s="133" t="n">
        <f aca="false">DR121-$D121*Inputs!$H$13</f>
        <v>4590.3548925622</v>
      </c>
      <c r="AC121" s="133" t="n">
        <f aca="false">EH121-$D121*Inputs!$I$13</f>
        <v>3871.56378803324</v>
      </c>
      <c r="AD121" s="133" t="n">
        <f aca="false">EX121-$D121*Inputs!$J$13</f>
        <v>3256.27860255646</v>
      </c>
      <c r="AE121" s="133" t="n">
        <f aca="false">FN121-$D121*Inputs!$K$13</f>
        <v>2729.59448378833</v>
      </c>
      <c r="AF121" s="133" t="n">
        <f aca="false">GD121-$D121*Inputs!$L$13</f>
        <v>2278.75287812281</v>
      </c>
      <c r="AG121" s="84" t="n">
        <f aca="false">GT121</f>
        <v>9464.16231836562</v>
      </c>
      <c r="AH121" s="84" t="n">
        <f aca="false">$D121*$E121</f>
        <v>270</v>
      </c>
      <c r="AI121" s="84" t="n">
        <f aca="false">BG121+$D121*$E121</f>
        <v>270</v>
      </c>
      <c r="AJ121" s="84" t="n">
        <f aca="false">BW121+$D121*$E121</f>
        <v>270</v>
      </c>
      <c r="AK121" s="84" t="n">
        <f aca="false">CM121+$D121*$E121</f>
        <v>270</v>
      </c>
      <c r="AL121" s="84" t="n">
        <f aca="false">DC121+$D121*$E121</f>
        <v>270</v>
      </c>
      <c r="AM121" s="84" t="n">
        <f aca="false">DS121+$D121*$E121</f>
        <v>270</v>
      </c>
      <c r="AN121" s="84" t="n">
        <f aca="false">EI121+$D121*$E121</f>
        <v>270</v>
      </c>
      <c r="AO121" s="84" t="n">
        <f aca="false">EY121+$D121*$E121</f>
        <v>270</v>
      </c>
      <c r="AP121" s="84" t="n">
        <f aca="false">FO121+$D121*$E121</f>
        <v>270</v>
      </c>
      <c r="AQ121" s="84" t="n">
        <f aca="false">GE121+$D121*$E121</f>
        <v>270</v>
      </c>
      <c r="AR121" s="84" t="n">
        <f aca="false">GU121</f>
        <v>0</v>
      </c>
      <c r="AT121" s="133" t="n">
        <f aca="false">$D121*Inputs!$C$13-$D121*$E121</f>
        <v>3730</v>
      </c>
      <c r="AU121" s="84" t="n">
        <f aca="false">AT121*(1+$I121)</f>
        <v>3991.1</v>
      </c>
      <c r="AV121" s="133" t="n">
        <f aca="false">AU121*Inputs!$C$14</f>
        <v>0</v>
      </c>
      <c r="AW121" s="84" t="n">
        <f aca="false">AU121-AV121</f>
        <v>3991.1</v>
      </c>
      <c r="AX121" s="133" t="n">
        <f aca="false">$D121*Inputs!$C$13</f>
        <v>4000</v>
      </c>
      <c r="AY121" s="84" t="n">
        <f aca="false">MIN(AV121,AX121)</f>
        <v>0</v>
      </c>
      <c r="AZ121" s="84" t="n">
        <f aca="false">AX121-AY121</f>
        <v>4000</v>
      </c>
      <c r="BA121" s="84" t="n">
        <f aca="false">$G121*AX121</f>
        <v>320</v>
      </c>
      <c r="BB121" s="84" t="n">
        <f aca="false">MIN(AV121-AY121,BA121)</f>
        <v>0</v>
      </c>
      <c r="BC121" s="84" t="n">
        <f aca="false">BA121-BB121</f>
        <v>320</v>
      </c>
      <c r="BD121" s="84" t="n">
        <f aca="false">IF($H121=1,MIN(AV121-AY121-BB121,MAX(0,$F121/(1-$F121)*BB121)),0)</f>
        <v>0</v>
      </c>
      <c r="BE121" s="84" t="n">
        <f aca="false">AV121-AY121-BB121-BD121</f>
        <v>0</v>
      </c>
      <c r="BF121" s="84" t="n">
        <f aca="false">AY121+BB121+(1-$F121)*BE121</f>
        <v>0</v>
      </c>
      <c r="BG121" s="84" t="n">
        <f aca="false">BD121+$F121*BE121</f>
        <v>0</v>
      </c>
      <c r="BH121" s="84" t="n">
        <f aca="false">BB121+(1-$F121)*BE121</f>
        <v>0</v>
      </c>
      <c r="BI121" s="84" t="n">
        <f aca="false">BG121</f>
        <v>0</v>
      </c>
      <c r="BJ121" s="133" t="n">
        <f aca="false">AW121+$D121*Inputs!$D$13-$D121*$E121</f>
        <v>7721.1</v>
      </c>
      <c r="BK121" s="84" t="n">
        <f aca="false">BJ121*(1+$I121)</f>
        <v>8261.577</v>
      </c>
      <c r="BL121" s="133" t="n">
        <f aca="false">BK121*Inputs!$D$14</f>
        <v>0</v>
      </c>
      <c r="BM121" s="84" t="n">
        <f aca="false">BK121-BL121</f>
        <v>8261.577</v>
      </c>
      <c r="BN121" s="133" t="n">
        <f aca="false">AZ121+$D121*Inputs!$D$13</f>
        <v>8000</v>
      </c>
      <c r="BO121" s="84" t="n">
        <f aca="false">MIN(BL121,BN121)</f>
        <v>0</v>
      </c>
      <c r="BP121" s="84" t="n">
        <f aca="false">BN121-BO121</f>
        <v>8000</v>
      </c>
      <c r="BQ121" s="84" t="n">
        <f aca="false">BC121+$G121*(BN121+BC121)</f>
        <v>985.6</v>
      </c>
      <c r="BR121" s="84" t="n">
        <f aca="false">MIN(BL121-BO121,BQ121)</f>
        <v>0</v>
      </c>
      <c r="BS121" s="84" t="n">
        <f aca="false">BQ121-BR121</f>
        <v>985.6</v>
      </c>
      <c r="BT121" s="84" t="n">
        <f aca="false">IF($H121=1,MIN(BL121-BO121-BR121,MAX(0,$F121/(1-$F121)*(BH121+BR121)-BI121)),0)</f>
        <v>0</v>
      </c>
      <c r="BU121" s="84" t="n">
        <f aca="false">BL121-BO121-BR121-BT121</f>
        <v>0</v>
      </c>
      <c r="BV121" s="84" t="n">
        <f aca="false">BO121+BR121+(1-$F121)*BU121</f>
        <v>0</v>
      </c>
      <c r="BW121" s="84" t="n">
        <f aca="false">BT121+$F121*BU121</f>
        <v>0</v>
      </c>
      <c r="BX121" s="84" t="n">
        <f aca="false">BH121+BR121+(1-$F121)*BU121</f>
        <v>0</v>
      </c>
      <c r="BY121" s="84" t="n">
        <f aca="false">BI121+BW121</f>
        <v>0</v>
      </c>
      <c r="BZ121" s="133" t="n">
        <f aca="false">BM121+$D121*Inputs!$E$13-$D121*$E121</f>
        <v>11991.577</v>
      </c>
      <c r="CA121" s="84" t="n">
        <f aca="false">BZ121*(1+$I121)</f>
        <v>12830.98739</v>
      </c>
      <c r="CB121" s="133" t="n">
        <f aca="false">CA121*Inputs!$E$14</f>
        <v>0</v>
      </c>
      <c r="CC121" s="84" t="n">
        <f aca="false">CA121-CB121</f>
        <v>12830.98739</v>
      </c>
      <c r="CD121" s="133" t="n">
        <f aca="false">BP121+$D121*Inputs!$E$13</f>
        <v>12000</v>
      </c>
      <c r="CE121" s="84" t="n">
        <f aca="false">MIN(CB121,CD121)</f>
        <v>0</v>
      </c>
      <c r="CF121" s="84" t="n">
        <f aca="false">CD121-CE121</f>
        <v>12000</v>
      </c>
      <c r="CG121" s="84" t="n">
        <f aca="false">BS121+$G121*(CD121+BS121)</f>
        <v>2024.448</v>
      </c>
      <c r="CH121" s="84" t="n">
        <f aca="false">MIN(CB121-CE121,CG121)</f>
        <v>0</v>
      </c>
      <c r="CI121" s="84" t="n">
        <f aca="false">CG121-CH121</f>
        <v>2024.448</v>
      </c>
      <c r="CJ121" s="84" t="n">
        <f aca="false">IF($H121=1,MIN(CB121-CE121-CH121,MAX(0,$F121/(1-$F121)*(BX121+CH121)-BY121)),0)</f>
        <v>0</v>
      </c>
      <c r="CK121" s="84" t="n">
        <f aca="false">CB121-CE121-CH121-CJ121</f>
        <v>0</v>
      </c>
      <c r="CL121" s="84" t="n">
        <f aca="false">CE121+CH121+(1-$F121)*CK121</f>
        <v>0</v>
      </c>
      <c r="CM121" s="84" t="n">
        <f aca="false">CJ121+$F121*CK121</f>
        <v>0</v>
      </c>
      <c r="CN121" s="84" t="n">
        <f aca="false">BX121+CH121+(1-$F121)*CK121</f>
        <v>0</v>
      </c>
      <c r="CO121" s="84" t="n">
        <f aca="false">BY121+CM121</f>
        <v>0</v>
      </c>
      <c r="CP121" s="133" t="n">
        <f aca="false">CC121+$D121*Inputs!$F$13-$D121*$E121</f>
        <v>16560.98739</v>
      </c>
      <c r="CQ121" s="84" t="n">
        <f aca="false">CP121*(1+$I121)</f>
        <v>17720.2565073</v>
      </c>
      <c r="CR121" s="133" t="n">
        <f aca="false">CQ121*Inputs!$F$14</f>
        <v>0</v>
      </c>
      <c r="CS121" s="84" t="n">
        <f aca="false">CQ121-CR121</f>
        <v>17720.2565073</v>
      </c>
      <c r="CT121" s="133" t="n">
        <f aca="false">CF121+$D121*Inputs!$F$13</f>
        <v>16000</v>
      </c>
      <c r="CU121" s="84" t="n">
        <f aca="false">MIN(CR121,CT121)</f>
        <v>0</v>
      </c>
      <c r="CV121" s="84" t="n">
        <f aca="false">CT121-CU121</f>
        <v>16000</v>
      </c>
      <c r="CW121" s="84" t="n">
        <f aca="false">CI121+$G121*(CT121+CI121)</f>
        <v>3466.40384</v>
      </c>
      <c r="CX121" s="84" t="n">
        <f aca="false">MIN(CR121-CU121,CW121)</f>
        <v>0</v>
      </c>
      <c r="CY121" s="84" t="n">
        <f aca="false">CW121-CX121</f>
        <v>3466.40384</v>
      </c>
      <c r="CZ121" s="84" t="n">
        <f aca="false">IF($H121=1,MIN(CR121-CU121-CX121,MAX(0,$F121/(1-$F121)*(CN121+CX121)-CO121)),0)</f>
        <v>0</v>
      </c>
      <c r="DA121" s="84" t="n">
        <f aca="false">CR121-CU121-CX121-CZ121</f>
        <v>0</v>
      </c>
      <c r="DB121" s="84" t="n">
        <f aca="false">CU121+CX121+(1-$F121)*DA121</f>
        <v>0</v>
      </c>
      <c r="DC121" s="84" t="n">
        <f aca="false">CZ121+$F121*DA121</f>
        <v>0</v>
      </c>
      <c r="DD121" s="84" t="n">
        <f aca="false">CN121+CX121+(1-$F121)*DA121</f>
        <v>0</v>
      </c>
      <c r="DE121" s="84" t="n">
        <f aca="false">CO121+DC121</f>
        <v>0</v>
      </c>
      <c r="DF121" s="133" t="n">
        <f aca="false">CS121+$D121*Inputs!$G$13-$D121*$E121</f>
        <v>21450.2565073</v>
      </c>
      <c r="DG121" s="84" t="n">
        <f aca="false">DF121*(1+$I121)</f>
        <v>22951.774462811</v>
      </c>
      <c r="DH121" s="133" t="n">
        <f aca="false">DG121*Inputs!$G$14</f>
        <v>4590.3548925622</v>
      </c>
      <c r="DI121" s="84" t="n">
        <f aca="false">DG121-DH121</f>
        <v>18361.4195702488</v>
      </c>
      <c r="DJ121" s="133" t="n">
        <f aca="false">CV121+$D121*Inputs!$G$13</f>
        <v>20000</v>
      </c>
      <c r="DK121" s="84" t="n">
        <f aca="false">MIN(DH121,DJ121)</f>
        <v>4590.3548925622</v>
      </c>
      <c r="DL121" s="84" t="n">
        <f aca="false">DJ121-DK121</f>
        <v>15409.6451074378</v>
      </c>
      <c r="DM121" s="84" t="n">
        <f aca="false">CY121+$G121*(DJ121+CY121)</f>
        <v>5343.7161472</v>
      </c>
      <c r="DN121" s="84" t="n">
        <f aca="false">MIN(DH121-DK121,DM121)</f>
        <v>0</v>
      </c>
      <c r="DO121" s="84" t="n">
        <f aca="false">DM121-DN121</f>
        <v>5343.7161472</v>
      </c>
      <c r="DP121" s="84" t="n">
        <f aca="false">IF($H121=1,MIN(DH121-DK121-DN121,MAX(0,$F121/(1-$F121)*(DD121+DN121)-DE121)),0)</f>
        <v>0</v>
      </c>
      <c r="DQ121" s="84" t="n">
        <f aca="false">DH121-DK121-DN121-DP121</f>
        <v>0</v>
      </c>
      <c r="DR121" s="84" t="n">
        <f aca="false">DK121+DN121+(1-$F121)*DQ121</f>
        <v>4590.3548925622</v>
      </c>
      <c r="DS121" s="84" t="n">
        <f aca="false">DP121+$F121*DQ121</f>
        <v>0</v>
      </c>
      <c r="DT121" s="84" t="n">
        <f aca="false">DD121+DN121+(1-$F121)*DQ121</f>
        <v>0</v>
      </c>
      <c r="DU121" s="84" t="n">
        <f aca="false">DE121+DS121</f>
        <v>0</v>
      </c>
      <c r="DV121" s="133" t="n">
        <f aca="false">DI121+$D121*Inputs!$H$13-$D121*$E121</f>
        <v>18091.4195702488</v>
      </c>
      <c r="DW121" s="84" t="n">
        <f aca="false">DV121*(1+$I121)</f>
        <v>19357.8189401662</v>
      </c>
      <c r="DX121" s="133" t="n">
        <f aca="false">DW121*Inputs!$H$14</f>
        <v>3871.56378803324</v>
      </c>
      <c r="DY121" s="84" t="n">
        <f aca="false">DW121-DX121</f>
        <v>15486.255152133</v>
      </c>
      <c r="DZ121" s="133" t="n">
        <f aca="false">DL121+$D121*Inputs!$H$13</f>
        <v>15409.6451074378</v>
      </c>
      <c r="EA121" s="84" t="n">
        <f aca="false">MIN(DX121,DZ121)</f>
        <v>3871.56378803324</v>
      </c>
      <c r="EB121" s="84" t="n">
        <f aca="false">DZ121-EA121</f>
        <v>11538.0813194046</v>
      </c>
      <c r="EC121" s="84" t="n">
        <f aca="false">DO121+$G121*(DZ121+DO121)</f>
        <v>7003.98504757102</v>
      </c>
      <c r="ED121" s="84" t="n">
        <f aca="false">MIN(DX121-EA121,EC121)</f>
        <v>0</v>
      </c>
      <c r="EE121" s="84" t="n">
        <f aca="false">EC121-ED121</f>
        <v>7003.98504757102</v>
      </c>
      <c r="EF121" s="84" t="n">
        <f aca="false">IF($H121=1,MIN(DX121-EA121-ED121,MAX(0,$F121/(1-$F121)*(DT121+ED121)-DU121)),0)</f>
        <v>0</v>
      </c>
      <c r="EG121" s="84" t="n">
        <f aca="false">DX121-EA121-ED121-EF121</f>
        <v>0</v>
      </c>
      <c r="EH121" s="84" t="n">
        <f aca="false">EA121+ED121+(1-$F121)*EG121</f>
        <v>3871.56378803324</v>
      </c>
      <c r="EI121" s="84" t="n">
        <f aca="false">EF121+$F121*EG121</f>
        <v>0</v>
      </c>
      <c r="EJ121" s="84" t="n">
        <f aca="false">DT121+ED121+(1-$F121)*EG121</f>
        <v>0</v>
      </c>
      <c r="EK121" s="84" t="n">
        <f aca="false">DU121+EI121</f>
        <v>0</v>
      </c>
      <c r="EL121" s="133" t="n">
        <f aca="false">DY121+$D121*Inputs!$I$13-$D121*$E121</f>
        <v>15216.255152133</v>
      </c>
      <c r="EM121" s="84" t="n">
        <f aca="false">EL121*(1+$I121)</f>
        <v>16281.3930127823</v>
      </c>
      <c r="EN121" s="133" t="n">
        <f aca="false">EM121*Inputs!$I$14</f>
        <v>3256.27860255646</v>
      </c>
      <c r="EO121" s="84" t="n">
        <f aca="false">EM121-EN121</f>
        <v>13025.1144102258</v>
      </c>
      <c r="EP121" s="133" t="n">
        <f aca="false">EB121+$D121*Inputs!$I$13</f>
        <v>11538.0813194046</v>
      </c>
      <c r="EQ121" s="84" t="n">
        <f aca="false">MIN(EN121,EP121)</f>
        <v>3256.27860255646</v>
      </c>
      <c r="ER121" s="84" t="n">
        <f aca="false">EP121-EQ121</f>
        <v>8281.8027168481</v>
      </c>
      <c r="ES121" s="84" t="n">
        <f aca="false">EE121+$G121*(EP121+EE121)</f>
        <v>8487.35035692907</v>
      </c>
      <c r="ET121" s="84" t="n">
        <f aca="false">MIN(EN121-EQ121,ES121)</f>
        <v>0</v>
      </c>
      <c r="EU121" s="84" t="n">
        <f aca="false">ES121-ET121</f>
        <v>8487.35035692907</v>
      </c>
      <c r="EV121" s="84" t="n">
        <f aca="false">IF($H121=1,MIN(EN121-EQ121-ET121,MAX(0,$F121/(1-$F121)*(EJ121+ET121)-EK121)),0)</f>
        <v>0</v>
      </c>
      <c r="EW121" s="84" t="n">
        <f aca="false">EN121-EQ121-ET121-EV121</f>
        <v>0</v>
      </c>
      <c r="EX121" s="84" t="n">
        <f aca="false">EQ121+ET121+(1-$F121)*EW121</f>
        <v>3256.27860255646</v>
      </c>
      <c r="EY121" s="84" t="n">
        <f aca="false">EV121+$F121*EW121</f>
        <v>0</v>
      </c>
      <c r="EZ121" s="84" t="n">
        <f aca="false">EJ121+ET121+(1-$F121)*EW121</f>
        <v>0</v>
      </c>
      <c r="FA121" s="84" t="n">
        <f aca="false">EK121+EY121</f>
        <v>0</v>
      </c>
      <c r="FB121" s="133" t="n">
        <f aca="false">EO121+$D121*Inputs!$J$13-$D121*$E121</f>
        <v>12755.1144102258</v>
      </c>
      <c r="FC121" s="84" t="n">
        <f aca="false">FB121*(1+$I121)</f>
        <v>13647.9724189416</v>
      </c>
      <c r="FD121" s="133" t="n">
        <f aca="false">FC121*Inputs!$J$14</f>
        <v>2729.59448378833</v>
      </c>
      <c r="FE121" s="84" t="n">
        <f aca="false">FC121-FD121</f>
        <v>10918.3779351533</v>
      </c>
      <c r="FF121" s="133" t="n">
        <f aca="false">ER121+$D121*Inputs!$J$13</f>
        <v>8281.8027168481</v>
      </c>
      <c r="FG121" s="84" t="n">
        <f aca="false">MIN(FD121,FF121)</f>
        <v>2729.59448378833</v>
      </c>
      <c r="FH121" s="84" t="n">
        <f aca="false">FF121-FG121</f>
        <v>5552.20823305977</v>
      </c>
      <c r="FI121" s="84" t="n">
        <f aca="false">EU121+$G121*(FF121+EU121)</f>
        <v>9828.88260283124</v>
      </c>
      <c r="FJ121" s="84" t="n">
        <f aca="false">MIN(FD121-FG121,FI121)</f>
        <v>0</v>
      </c>
      <c r="FK121" s="84" t="n">
        <f aca="false">FI121-FJ121</f>
        <v>9828.88260283124</v>
      </c>
      <c r="FL121" s="84" t="n">
        <f aca="false">IF($H121=1,MIN(FD121-FG121-FJ121,MAX(0,$F121/(1-$F121)*(EZ121+FJ121)-FA121)),0)</f>
        <v>0</v>
      </c>
      <c r="FM121" s="84" t="n">
        <f aca="false">FD121-FG121-FJ121-FL121</f>
        <v>0</v>
      </c>
      <c r="FN121" s="84" t="n">
        <f aca="false">FG121+FJ121+(1-$F121)*FM121</f>
        <v>2729.59448378833</v>
      </c>
      <c r="FO121" s="84" t="n">
        <f aca="false">FL121+$F121*FM121</f>
        <v>0</v>
      </c>
      <c r="FP121" s="84" t="n">
        <f aca="false">EZ121+FJ121+(1-$F121)*FM121</f>
        <v>0</v>
      </c>
      <c r="FQ121" s="84" t="n">
        <f aca="false">FA121+FO121</f>
        <v>0</v>
      </c>
      <c r="FR121" s="133" t="n">
        <f aca="false">FE121+$D121*Inputs!$K$13-$D121*$E121</f>
        <v>10648.3779351533</v>
      </c>
      <c r="FS121" s="84" t="n">
        <f aca="false">FR121*(1+$I121)</f>
        <v>11393.764390614</v>
      </c>
      <c r="FT121" s="133" t="n">
        <f aca="false">FS121*Inputs!$K$14</f>
        <v>2278.75287812281</v>
      </c>
      <c r="FU121" s="84" t="n">
        <f aca="false">FS121-FT121</f>
        <v>9115.01151249123</v>
      </c>
      <c r="FV121" s="133" t="n">
        <f aca="false">FH121+$D121*Inputs!$K$13</f>
        <v>5552.20823305977</v>
      </c>
      <c r="FW121" s="84" t="n">
        <f aca="false">MIN(FT121,FV121)</f>
        <v>2278.75287812281</v>
      </c>
      <c r="FX121" s="84" t="n">
        <f aca="false">FV121-FW121</f>
        <v>3273.45535493696</v>
      </c>
      <c r="FY121" s="84" t="n">
        <f aca="false">FK121+$G121*(FV121+FK121)</f>
        <v>11059.3698697025</v>
      </c>
      <c r="FZ121" s="84" t="n">
        <f aca="false">MIN(FT121-FW121,FY121)</f>
        <v>0</v>
      </c>
      <c r="GA121" s="84" t="n">
        <f aca="false">FY121-FZ121</f>
        <v>11059.3698697025</v>
      </c>
      <c r="GB121" s="84" t="n">
        <f aca="false">IF($H121=1,MIN(FT121-FW121-FZ121,MAX(0,$F121/(1-$F121)*(FP121+FZ121)-FQ121)),0)</f>
        <v>0</v>
      </c>
      <c r="GC121" s="84" t="n">
        <f aca="false">FT121-FW121-FZ121-GB121</f>
        <v>0</v>
      </c>
      <c r="GD121" s="84" t="n">
        <f aca="false">FW121+FZ121+(1-$F121)*GC121</f>
        <v>2278.75287812281</v>
      </c>
      <c r="GE121" s="84" t="n">
        <f aca="false">GB121+$F121*GC121</f>
        <v>0</v>
      </c>
      <c r="GF121" s="84" t="n">
        <f aca="false">FP121+FZ121+(1-$F121)*GC121</f>
        <v>0</v>
      </c>
      <c r="GG121" s="84" t="n">
        <f aca="false">FQ121+GE121</f>
        <v>0</v>
      </c>
      <c r="GH121" s="133" t="n">
        <f aca="false">FU121+$D121*Inputs!$L$13-$D121*$E121</f>
        <v>8845.01151249123</v>
      </c>
      <c r="GI121" s="84" t="n">
        <f aca="false">GH121*(1+$I121)</f>
        <v>9464.16231836562</v>
      </c>
      <c r="GJ121" s="133" t="n">
        <f aca="false">GI121*Inputs!$L$14</f>
        <v>9464.16231836562</v>
      </c>
      <c r="GK121" s="84" t="n">
        <f aca="false">GI121-GJ121</f>
        <v>0</v>
      </c>
      <c r="GL121" s="133" t="n">
        <f aca="false">FX121+$D121*Inputs!$L$13</f>
        <v>3273.45535493696</v>
      </c>
      <c r="GM121" s="84" t="n">
        <f aca="false">MIN(GJ121,GL121)</f>
        <v>3273.45535493696</v>
      </c>
      <c r="GN121" s="84" t="n">
        <f aca="false">GL121-GM121</f>
        <v>0</v>
      </c>
      <c r="GO121" s="84" t="n">
        <f aca="false">GA121+$G121*(GL121+GA121)</f>
        <v>12205.9958876737</v>
      </c>
      <c r="GP121" s="84" t="n">
        <f aca="false">MIN(GJ121-GM121,GO121)</f>
        <v>6190.70696342866</v>
      </c>
      <c r="GQ121" s="84" t="n">
        <f aca="false">GO121-GP121</f>
        <v>6015.28892424503</v>
      </c>
      <c r="GR121" s="84" t="n">
        <f aca="false">IF($H121=1,MIN(GJ121-GM121-GP121,MAX(0,$F121/(1-$F121)*(GF121+GP121)-GG121)),0)</f>
        <v>0</v>
      </c>
      <c r="GS121" s="84" t="n">
        <f aca="false">GJ121-GM121-GP121-GR121</f>
        <v>0</v>
      </c>
      <c r="GT121" s="84" t="n">
        <f aca="false">GM121+GP121+(1-$F121)*GS121</f>
        <v>9464.16231836562</v>
      </c>
      <c r="GU121" s="84" t="n">
        <f aca="false">GR121+$F121*GS121</f>
        <v>0</v>
      </c>
      <c r="GV121" s="84" t="n">
        <f aca="false">GF121+GP121+(1-$F121)*GS121</f>
        <v>6190.70696342866</v>
      </c>
      <c r="GW121" s="84" t="n">
        <f aca="false">GG121+GU121</f>
        <v>0</v>
      </c>
    </row>
    <row r="122" customFormat="false" ht="15" hidden="false" customHeight="false" outlineLevel="0" collapsed="false">
      <c r="A122" s="5" t="s">
        <v>640</v>
      </c>
      <c r="B122" s="5" t="s">
        <v>428</v>
      </c>
      <c r="C122" s="135" t="n">
        <v>8</v>
      </c>
      <c r="D122" s="47" t="n">
        <f aca="false">Inputs!$C$6</f>
        <v>20000</v>
      </c>
      <c r="E122" s="35" t="n">
        <f aca="false">Inputs!$C$19</f>
        <v>0.0135</v>
      </c>
      <c r="F122" s="36" t="n">
        <f aca="false">Inputs!$C$20</f>
        <v>0.2</v>
      </c>
      <c r="G122" s="36" t="n">
        <f aca="false">Inputs!$C$22</f>
        <v>0.08</v>
      </c>
      <c r="H122" s="44" t="n">
        <f aca="false">Inputs!$C$23</f>
        <v>1</v>
      </c>
      <c r="I122" s="132" t="n">
        <f aca="false">Inputs!$C$38+$C122*Inputs!$C$39</f>
        <v>0.08</v>
      </c>
      <c r="J122" s="36" t="n">
        <f aca="false">Inputs!$C$9</f>
        <v>0.15</v>
      </c>
      <c r="K122" s="89" t="n">
        <f aca="false">IRR(W122:AG122,0.1)</f>
        <v>0.0577407391827779</v>
      </c>
      <c r="L122" s="45" t="n">
        <f aca="false">W122+NPV($J122,X122:AG122)</f>
        <v>-5864.7017299392</v>
      </c>
      <c r="M122" s="45" t="n">
        <f aca="false">SUM(BF122,BV122,CL122,DB122,DR122,EH122,EX122,FN122,GD122,GT122)</f>
        <v>27778.8889981478</v>
      </c>
      <c r="N122" s="43" t="n">
        <f aca="false">IF($D122*SUM(Inputs!$C$13:$L$13)=0,0,M122/($D122*SUM(Inputs!$C$13:$L$13)))</f>
        <v>1.38894444990739</v>
      </c>
      <c r="O122" s="42" t="n">
        <f aca="false">$D122*$E122*COLUMNS(Inputs!$C$13:$L$13)</f>
        <v>2700</v>
      </c>
      <c r="P122" s="45" t="n">
        <f aca="false">SUM(BG122,BW122,CM122,DC122,DS122,EI122,EY122,FO122,GE122,GU122)</f>
        <v>0</v>
      </c>
      <c r="Q122" s="42" t="n">
        <f aca="false">PV($J122,COLUMNS(Inputs!$C$13:$L$13),-$D122*$E122,0,1)</f>
        <v>1558.32765832774</v>
      </c>
      <c r="R122" s="45" t="n">
        <f aca="false">NPV($J122,BG122,BW122,CM122,DC122,DS122,EI122,EY122,FO122,GE122,GU122)</f>
        <v>0</v>
      </c>
      <c r="S122" s="45" t="n">
        <f aca="false">Q122+R122</f>
        <v>1558.32765832774</v>
      </c>
      <c r="T122" s="32" t="n">
        <f aca="false">IF(S122=0,0,Q122/S122)</f>
        <v>1</v>
      </c>
      <c r="U122" s="45" t="n">
        <f aca="false">ROUND(ABS(GK122)+ABS(SUM(AV122,BL122,CB122,CR122,DH122,DX122,EN122,FD122,FT122,GJ122)-M122-P122)+ABS(S122-(AH122+NPV($J122,AI122:AR122))),6)</f>
        <v>0</v>
      </c>
      <c r="W122" s="133" t="n">
        <f aca="false">-$D122*Inputs!$C$13</f>
        <v>-4000</v>
      </c>
      <c r="X122" s="133" t="n">
        <f aca="false">BF122-$D122*Inputs!$D$13</f>
        <v>-4000</v>
      </c>
      <c r="Y122" s="133" t="n">
        <f aca="false">BV122-$D122*Inputs!$E$13</f>
        <v>-4000</v>
      </c>
      <c r="Z122" s="133" t="n">
        <f aca="false">CL122-$D122*Inputs!$F$13</f>
        <v>-4000</v>
      </c>
      <c r="AA122" s="133" t="n">
        <f aca="false">DB122-$D122*Inputs!$G$13</f>
        <v>-4000</v>
      </c>
      <c r="AB122" s="133" t="n">
        <f aca="false">DR122-$D122*Inputs!$H$13</f>
        <v>4726.6030614528</v>
      </c>
      <c r="AC122" s="133" t="n">
        <f aca="false">EH122-$D122*Inputs!$I$13</f>
        <v>4025.46504509522</v>
      </c>
      <c r="AD122" s="133" t="n">
        <f aca="false">EX122-$D122*Inputs!$J$13</f>
        <v>3419.68179896227</v>
      </c>
      <c r="AE122" s="133" t="n">
        <f aca="false">FN122-$D122*Inputs!$K$13</f>
        <v>2896.2850743034</v>
      </c>
      <c r="AF122" s="133" t="n">
        <f aca="false">GD122-$D122*Inputs!$L$13</f>
        <v>2444.07030419814</v>
      </c>
      <c r="AG122" s="84" t="n">
        <f aca="false">GT122</f>
        <v>10266.783714136</v>
      </c>
      <c r="AH122" s="84" t="n">
        <f aca="false">$D122*$E122</f>
        <v>270</v>
      </c>
      <c r="AI122" s="84" t="n">
        <f aca="false">BG122+$D122*$E122</f>
        <v>270</v>
      </c>
      <c r="AJ122" s="84" t="n">
        <f aca="false">BW122+$D122*$E122</f>
        <v>270</v>
      </c>
      <c r="AK122" s="84" t="n">
        <f aca="false">CM122+$D122*$E122</f>
        <v>270</v>
      </c>
      <c r="AL122" s="84" t="n">
        <f aca="false">DC122+$D122*$E122</f>
        <v>270</v>
      </c>
      <c r="AM122" s="84" t="n">
        <f aca="false">DS122+$D122*$E122</f>
        <v>270</v>
      </c>
      <c r="AN122" s="84" t="n">
        <f aca="false">EI122+$D122*$E122</f>
        <v>270</v>
      </c>
      <c r="AO122" s="84" t="n">
        <f aca="false">EY122+$D122*$E122</f>
        <v>270</v>
      </c>
      <c r="AP122" s="84" t="n">
        <f aca="false">FO122+$D122*$E122</f>
        <v>270</v>
      </c>
      <c r="AQ122" s="84" t="n">
        <f aca="false">GE122+$D122*$E122</f>
        <v>270</v>
      </c>
      <c r="AR122" s="84" t="n">
        <f aca="false">GU122</f>
        <v>0</v>
      </c>
      <c r="AT122" s="133" t="n">
        <f aca="false">$D122*Inputs!$C$13-$D122*$E122</f>
        <v>3730</v>
      </c>
      <c r="AU122" s="84" t="n">
        <f aca="false">AT122*(1+$I122)</f>
        <v>4028.4</v>
      </c>
      <c r="AV122" s="133" t="n">
        <f aca="false">AU122*Inputs!$C$14</f>
        <v>0</v>
      </c>
      <c r="AW122" s="84" t="n">
        <f aca="false">AU122-AV122</f>
        <v>4028.4</v>
      </c>
      <c r="AX122" s="133" t="n">
        <f aca="false">$D122*Inputs!$C$13</f>
        <v>4000</v>
      </c>
      <c r="AY122" s="84" t="n">
        <f aca="false">MIN(AV122,AX122)</f>
        <v>0</v>
      </c>
      <c r="AZ122" s="84" t="n">
        <f aca="false">AX122-AY122</f>
        <v>4000</v>
      </c>
      <c r="BA122" s="84" t="n">
        <f aca="false">$G122*AX122</f>
        <v>320</v>
      </c>
      <c r="BB122" s="84" t="n">
        <f aca="false">MIN(AV122-AY122,BA122)</f>
        <v>0</v>
      </c>
      <c r="BC122" s="84" t="n">
        <f aca="false">BA122-BB122</f>
        <v>320</v>
      </c>
      <c r="BD122" s="84" t="n">
        <f aca="false">IF($H122=1,MIN(AV122-AY122-BB122,MAX(0,$F122/(1-$F122)*BB122)),0)</f>
        <v>0</v>
      </c>
      <c r="BE122" s="84" t="n">
        <f aca="false">AV122-AY122-BB122-BD122</f>
        <v>0</v>
      </c>
      <c r="BF122" s="84" t="n">
        <f aca="false">AY122+BB122+(1-$F122)*BE122</f>
        <v>0</v>
      </c>
      <c r="BG122" s="84" t="n">
        <f aca="false">BD122+$F122*BE122</f>
        <v>0</v>
      </c>
      <c r="BH122" s="84" t="n">
        <f aca="false">BB122+(1-$F122)*BE122</f>
        <v>0</v>
      </c>
      <c r="BI122" s="84" t="n">
        <f aca="false">BG122</f>
        <v>0</v>
      </c>
      <c r="BJ122" s="133" t="n">
        <f aca="false">AW122+$D122*Inputs!$D$13-$D122*$E122</f>
        <v>7758.4</v>
      </c>
      <c r="BK122" s="84" t="n">
        <f aca="false">BJ122*(1+$I122)</f>
        <v>8379.072</v>
      </c>
      <c r="BL122" s="133" t="n">
        <f aca="false">BK122*Inputs!$D$14</f>
        <v>0</v>
      </c>
      <c r="BM122" s="84" t="n">
        <f aca="false">BK122-BL122</f>
        <v>8379.072</v>
      </c>
      <c r="BN122" s="133" t="n">
        <f aca="false">AZ122+$D122*Inputs!$D$13</f>
        <v>8000</v>
      </c>
      <c r="BO122" s="84" t="n">
        <f aca="false">MIN(BL122,BN122)</f>
        <v>0</v>
      </c>
      <c r="BP122" s="84" t="n">
        <f aca="false">BN122-BO122</f>
        <v>8000</v>
      </c>
      <c r="BQ122" s="84" t="n">
        <f aca="false">BC122+$G122*(BN122+BC122)</f>
        <v>985.6</v>
      </c>
      <c r="BR122" s="84" t="n">
        <f aca="false">MIN(BL122-BO122,BQ122)</f>
        <v>0</v>
      </c>
      <c r="BS122" s="84" t="n">
        <f aca="false">BQ122-BR122</f>
        <v>985.6</v>
      </c>
      <c r="BT122" s="84" t="n">
        <f aca="false">IF($H122=1,MIN(BL122-BO122-BR122,MAX(0,$F122/(1-$F122)*(BH122+BR122)-BI122)),0)</f>
        <v>0</v>
      </c>
      <c r="BU122" s="84" t="n">
        <f aca="false">BL122-BO122-BR122-BT122</f>
        <v>0</v>
      </c>
      <c r="BV122" s="84" t="n">
        <f aca="false">BO122+BR122+(1-$F122)*BU122</f>
        <v>0</v>
      </c>
      <c r="BW122" s="84" t="n">
        <f aca="false">BT122+$F122*BU122</f>
        <v>0</v>
      </c>
      <c r="BX122" s="84" t="n">
        <f aca="false">BH122+BR122+(1-$F122)*BU122</f>
        <v>0</v>
      </c>
      <c r="BY122" s="84" t="n">
        <f aca="false">BI122+BW122</f>
        <v>0</v>
      </c>
      <c r="BZ122" s="133" t="n">
        <f aca="false">BM122+$D122*Inputs!$E$13-$D122*$E122</f>
        <v>12109.072</v>
      </c>
      <c r="CA122" s="84" t="n">
        <f aca="false">BZ122*(1+$I122)</f>
        <v>13077.79776</v>
      </c>
      <c r="CB122" s="133" t="n">
        <f aca="false">CA122*Inputs!$E$14</f>
        <v>0</v>
      </c>
      <c r="CC122" s="84" t="n">
        <f aca="false">CA122-CB122</f>
        <v>13077.79776</v>
      </c>
      <c r="CD122" s="133" t="n">
        <f aca="false">BP122+$D122*Inputs!$E$13</f>
        <v>12000</v>
      </c>
      <c r="CE122" s="84" t="n">
        <f aca="false">MIN(CB122,CD122)</f>
        <v>0</v>
      </c>
      <c r="CF122" s="84" t="n">
        <f aca="false">CD122-CE122</f>
        <v>12000</v>
      </c>
      <c r="CG122" s="84" t="n">
        <f aca="false">BS122+$G122*(CD122+BS122)</f>
        <v>2024.448</v>
      </c>
      <c r="CH122" s="84" t="n">
        <f aca="false">MIN(CB122-CE122,CG122)</f>
        <v>0</v>
      </c>
      <c r="CI122" s="84" t="n">
        <f aca="false">CG122-CH122</f>
        <v>2024.448</v>
      </c>
      <c r="CJ122" s="84" t="n">
        <f aca="false">IF($H122=1,MIN(CB122-CE122-CH122,MAX(0,$F122/(1-$F122)*(BX122+CH122)-BY122)),0)</f>
        <v>0</v>
      </c>
      <c r="CK122" s="84" t="n">
        <f aca="false">CB122-CE122-CH122-CJ122</f>
        <v>0</v>
      </c>
      <c r="CL122" s="84" t="n">
        <f aca="false">CE122+CH122+(1-$F122)*CK122</f>
        <v>0</v>
      </c>
      <c r="CM122" s="84" t="n">
        <f aca="false">CJ122+$F122*CK122</f>
        <v>0</v>
      </c>
      <c r="CN122" s="84" t="n">
        <f aca="false">BX122+CH122+(1-$F122)*CK122</f>
        <v>0</v>
      </c>
      <c r="CO122" s="84" t="n">
        <f aca="false">BY122+CM122</f>
        <v>0</v>
      </c>
      <c r="CP122" s="133" t="n">
        <f aca="false">CC122+$D122*Inputs!$F$13-$D122*$E122</f>
        <v>16807.79776</v>
      </c>
      <c r="CQ122" s="84" t="n">
        <f aca="false">CP122*(1+$I122)</f>
        <v>18152.4215808</v>
      </c>
      <c r="CR122" s="133" t="n">
        <f aca="false">CQ122*Inputs!$F$14</f>
        <v>0</v>
      </c>
      <c r="CS122" s="84" t="n">
        <f aca="false">CQ122-CR122</f>
        <v>18152.4215808</v>
      </c>
      <c r="CT122" s="133" t="n">
        <f aca="false">CF122+$D122*Inputs!$F$13</f>
        <v>16000</v>
      </c>
      <c r="CU122" s="84" t="n">
        <f aca="false">MIN(CR122,CT122)</f>
        <v>0</v>
      </c>
      <c r="CV122" s="84" t="n">
        <f aca="false">CT122-CU122</f>
        <v>16000</v>
      </c>
      <c r="CW122" s="84" t="n">
        <f aca="false">CI122+$G122*(CT122+CI122)</f>
        <v>3466.40384</v>
      </c>
      <c r="CX122" s="84" t="n">
        <f aca="false">MIN(CR122-CU122,CW122)</f>
        <v>0</v>
      </c>
      <c r="CY122" s="84" t="n">
        <f aca="false">CW122-CX122</f>
        <v>3466.40384</v>
      </c>
      <c r="CZ122" s="84" t="n">
        <f aca="false">IF($H122=1,MIN(CR122-CU122-CX122,MAX(0,$F122/(1-$F122)*(CN122+CX122)-CO122)),0)</f>
        <v>0</v>
      </c>
      <c r="DA122" s="84" t="n">
        <f aca="false">CR122-CU122-CX122-CZ122</f>
        <v>0</v>
      </c>
      <c r="DB122" s="84" t="n">
        <f aca="false">CU122+CX122+(1-$F122)*DA122</f>
        <v>0</v>
      </c>
      <c r="DC122" s="84" t="n">
        <f aca="false">CZ122+$F122*DA122</f>
        <v>0</v>
      </c>
      <c r="DD122" s="84" t="n">
        <f aca="false">CN122+CX122+(1-$F122)*DA122</f>
        <v>0</v>
      </c>
      <c r="DE122" s="84" t="n">
        <f aca="false">CO122+DC122</f>
        <v>0</v>
      </c>
      <c r="DF122" s="133" t="n">
        <f aca="false">CS122+$D122*Inputs!$G$13-$D122*$E122</f>
        <v>21882.4215808</v>
      </c>
      <c r="DG122" s="84" t="n">
        <f aca="false">DF122*(1+$I122)</f>
        <v>23633.015307264</v>
      </c>
      <c r="DH122" s="133" t="n">
        <f aca="false">DG122*Inputs!$G$14</f>
        <v>4726.6030614528</v>
      </c>
      <c r="DI122" s="84" t="n">
        <f aca="false">DG122-DH122</f>
        <v>18906.4122458112</v>
      </c>
      <c r="DJ122" s="133" t="n">
        <f aca="false">CV122+$D122*Inputs!$G$13</f>
        <v>20000</v>
      </c>
      <c r="DK122" s="84" t="n">
        <f aca="false">MIN(DH122,DJ122)</f>
        <v>4726.6030614528</v>
      </c>
      <c r="DL122" s="84" t="n">
        <f aca="false">DJ122-DK122</f>
        <v>15273.3969385472</v>
      </c>
      <c r="DM122" s="84" t="n">
        <f aca="false">CY122+$G122*(DJ122+CY122)</f>
        <v>5343.7161472</v>
      </c>
      <c r="DN122" s="84" t="n">
        <f aca="false">MIN(DH122-DK122,DM122)</f>
        <v>0</v>
      </c>
      <c r="DO122" s="84" t="n">
        <f aca="false">DM122-DN122</f>
        <v>5343.7161472</v>
      </c>
      <c r="DP122" s="84" t="n">
        <f aca="false">IF($H122=1,MIN(DH122-DK122-DN122,MAX(0,$F122/(1-$F122)*(DD122+DN122)-DE122)),0)</f>
        <v>0</v>
      </c>
      <c r="DQ122" s="84" t="n">
        <f aca="false">DH122-DK122-DN122-DP122</f>
        <v>0</v>
      </c>
      <c r="DR122" s="84" t="n">
        <f aca="false">DK122+DN122+(1-$F122)*DQ122</f>
        <v>4726.6030614528</v>
      </c>
      <c r="DS122" s="84" t="n">
        <f aca="false">DP122+$F122*DQ122</f>
        <v>0</v>
      </c>
      <c r="DT122" s="84" t="n">
        <f aca="false">DD122+DN122+(1-$F122)*DQ122</f>
        <v>0</v>
      </c>
      <c r="DU122" s="84" t="n">
        <f aca="false">DE122+DS122</f>
        <v>0</v>
      </c>
      <c r="DV122" s="133" t="n">
        <f aca="false">DI122+$D122*Inputs!$H$13-$D122*$E122</f>
        <v>18636.4122458112</v>
      </c>
      <c r="DW122" s="84" t="n">
        <f aca="false">DV122*(1+$I122)</f>
        <v>20127.3252254761</v>
      </c>
      <c r="DX122" s="133" t="n">
        <f aca="false">DW122*Inputs!$H$14</f>
        <v>4025.46504509522</v>
      </c>
      <c r="DY122" s="84" t="n">
        <f aca="false">DW122-DX122</f>
        <v>16101.8601803809</v>
      </c>
      <c r="DZ122" s="133" t="n">
        <f aca="false">DL122+$D122*Inputs!$H$13</f>
        <v>15273.3969385472</v>
      </c>
      <c r="EA122" s="84" t="n">
        <f aca="false">MIN(DX122,DZ122)</f>
        <v>4025.46504509522</v>
      </c>
      <c r="EB122" s="84" t="n">
        <f aca="false">DZ122-EA122</f>
        <v>11247.931893452</v>
      </c>
      <c r="EC122" s="84" t="n">
        <f aca="false">DO122+$G122*(DZ122+DO122)</f>
        <v>6993.08519405978</v>
      </c>
      <c r="ED122" s="84" t="n">
        <f aca="false">MIN(DX122-EA122,EC122)</f>
        <v>0</v>
      </c>
      <c r="EE122" s="84" t="n">
        <f aca="false">EC122-ED122</f>
        <v>6993.08519405978</v>
      </c>
      <c r="EF122" s="84" t="n">
        <f aca="false">IF($H122=1,MIN(DX122-EA122-ED122,MAX(0,$F122/(1-$F122)*(DT122+ED122)-DU122)),0)</f>
        <v>0</v>
      </c>
      <c r="EG122" s="84" t="n">
        <f aca="false">DX122-EA122-ED122-EF122</f>
        <v>0</v>
      </c>
      <c r="EH122" s="84" t="n">
        <f aca="false">EA122+ED122+(1-$F122)*EG122</f>
        <v>4025.46504509522</v>
      </c>
      <c r="EI122" s="84" t="n">
        <f aca="false">EF122+$F122*EG122</f>
        <v>0</v>
      </c>
      <c r="EJ122" s="84" t="n">
        <f aca="false">DT122+ED122+(1-$F122)*EG122</f>
        <v>0</v>
      </c>
      <c r="EK122" s="84" t="n">
        <f aca="false">DU122+EI122</f>
        <v>0</v>
      </c>
      <c r="EL122" s="133" t="n">
        <f aca="false">DY122+$D122*Inputs!$I$13-$D122*$E122</f>
        <v>15831.8601803809</v>
      </c>
      <c r="EM122" s="84" t="n">
        <f aca="false">EL122*(1+$I122)</f>
        <v>17098.4089948114</v>
      </c>
      <c r="EN122" s="133" t="n">
        <f aca="false">EM122*Inputs!$I$14</f>
        <v>3419.68179896227</v>
      </c>
      <c r="EO122" s="84" t="n">
        <f aca="false">EM122-EN122</f>
        <v>13678.7271958491</v>
      </c>
      <c r="EP122" s="133" t="n">
        <f aca="false">EB122+$D122*Inputs!$I$13</f>
        <v>11247.931893452</v>
      </c>
      <c r="EQ122" s="84" t="n">
        <f aca="false">MIN(EN122,EP122)</f>
        <v>3419.68179896227</v>
      </c>
      <c r="ER122" s="84" t="n">
        <f aca="false">EP122-EQ122</f>
        <v>7828.25009448971</v>
      </c>
      <c r="ES122" s="84" t="n">
        <f aca="false">EE122+$G122*(EP122+EE122)</f>
        <v>8452.36656106072</v>
      </c>
      <c r="ET122" s="84" t="n">
        <f aca="false">MIN(EN122-EQ122,ES122)</f>
        <v>0</v>
      </c>
      <c r="EU122" s="84" t="n">
        <f aca="false">ES122-ET122</f>
        <v>8452.36656106072</v>
      </c>
      <c r="EV122" s="84" t="n">
        <f aca="false">IF($H122=1,MIN(EN122-EQ122-ET122,MAX(0,$F122/(1-$F122)*(EJ122+ET122)-EK122)),0)</f>
        <v>0</v>
      </c>
      <c r="EW122" s="84" t="n">
        <f aca="false">EN122-EQ122-ET122-EV122</f>
        <v>0</v>
      </c>
      <c r="EX122" s="84" t="n">
        <f aca="false">EQ122+ET122+(1-$F122)*EW122</f>
        <v>3419.68179896227</v>
      </c>
      <c r="EY122" s="84" t="n">
        <f aca="false">EV122+$F122*EW122</f>
        <v>0</v>
      </c>
      <c r="EZ122" s="84" t="n">
        <f aca="false">EJ122+ET122+(1-$F122)*EW122</f>
        <v>0</v>
      </c>
      <c r="FA122" s="84" t="n">
        <f aca="false">EK122+EY122</f>
        <v>0</v>
      </c>
      <c r="FB122" s="133" t="n">
        <f aca="false">EO122+$D122*Inputs!$J$13-$D122*$E122</f>
        <v>13408.7271958491</v>
      </c>
      <c r="FC122" s="84" t="n">
        <f aca="false">FB122*(1+$I122)</f>
        <v>14481.425371517</v>
      </c>
      <c r="FD122" s="133" t="n">
        <f aca="false">FC122*Inputs!$J$14</f>
        <v>2896.2850743034</v>
      </c>
      <c r="FE122" s="84" t="n">
        <f aca="false">FC122-FD122</f>
        <v>11585.1402972136</v>
      </c>
      <c r="FF122" s="133" t="n">
        <f aca="false">ER122+$D122*Inputs!$J$13</f>
        <v>7828.25009448971</v>
      </c>
      <c r="FG122" s="84" t="n">
        <f aca="false">MIN(FD122,FF122)</f>
        <v>2896.2850743034</v>
      </c>
      <c r="FH122" s="84" t="n">
        <f aca="false">FF122-FG122</f>
        <v>4931.96502018631</v>
      </c>
      <c r="FI122" s="84" t="n">
        <f aca="false">EU122+$G122*(FF122+EU122)</f>
        <v>9754.81589350475</v>
      </c>
      <c r="FJ122" s="84" t="n">
        <f aca="false">MIN(FD122-FG122,FI122)</f>
        <v>0</v>
      </c>
      <c r="FK122" s="84" t="n">
        <f aca="false">FI122-FJ122</f>
        <v>9754.81589350475</v>
      </c>
      <c r="FL122" s="84" t="n">
        <f aca="false">IF($H122=1,MIN(FD122-FG122-FJ122,MAX(0,$F122/(1-$F122)*(EZ122+FJ122)-FA122)),0)</f>
        <v>0</v>
      </c>
      <c r="FM122" s="84" t="n">
        <f aca="false">FD122-FG122-FJ122-FL122</f>
        <v>0</v>
      </c>
      <c r="FN122" s="84" t="n">
        <f aca="false">FG122+FJ122+(1-$F122)*FM122</f>
        <v>2896.2850743034</v>
      </c>
      <c r="FO122" s="84" t="n">
        <f aca="false">FL122+$F122*FM122</f>
        <v>0</v>
      </c>
      <c r="FP122" s="84" t="n">
        <f aca="false">EZ122+FJ122+(1-$F122)*FM122</f>
        <v>0</v>
      </c>
      <c r="FQ122" s="84" t="n">
        <f aca="false">FA122+FO122</f>
        <v>0</v>
      </c>
      <c r="FR122" s="133" t="n">
        <f aca="false">FE122+$D122*Inputs!$K$13-$D122*$E122</f>
        <v>11315.1402972136</v>
      </c>
      <c r="FS122" s="84" t="n">
        <f aca="false">FR122*(1+$I122)</f>
        <v>12220.3515209907</v>
      </c>
      <c r="FT122" s="133" t="n">
        <f aca="false">FS122*Inputs!$K$14</f>
        <v>2444.07030419814</v>
      </c>
      <c r="FU122" s="84" t="n">
        <f aca="false">FS122-FT122</f>
        <v>9776.28121679256</v>
      </c>
      <c r="FV122" s="133" t="n">
        <f aca="false">FH122+$D122*Inputs!$K$13</f>
        <v>4931.96502018631</v>
      </c>
      <c r="FW122" s="84" t="n">
        <f aca="false">MIN(FT122,FV122)</f>
        <v>2444.07030419814</v>
      </c>
      <c r="FX122" s="84" t="n">
        <f aca="false">FV122-FW122</f>
        <v>2487.89471598817</v>
      </c>
      <c r="FY122" s="84" t="n">
        <f aca="false">FK122+$G122*(FV122+FK122)</f>
        <v>10929.7583666</v>
      </c>
      <c r="FZ122" s="84" t="n">
        <f aca="false">MIN(FT122-FW122,FY122)</f>
        <v>0</v>
      </c>
      <c r="GA122" s="84" t="n">
        <f aca="false">FY122-FZ122</f>
        <v>10929.7583666</v>
      </c>
      <c r="GB122" s="84" t="n">
        <f aca="false">IF($H122=1,MIN(FT122-FW122-FZ122,MAX(0,$F122/(1-$F122)*(FP122+FZ122)-FQ122)),0)</f>
        <v>0</v>
      </c>
      <c r="GC122" s="84" t="n">
        <f aca="false">FT122-FW122-FZ122-GB122</f>
        <v>0</v>
      </c>
      <c r="GD122" s="84" t="n">
        <f aca="false">FW122+FZ122+(1-$F122)*GC122</f>
        <v>2444.07030419814</v>
      </c>
      <c r="GE122" s="84" t="n">
        <f aca="false">GB122+$F122*GC122</f>
        <v>0</v>
      </c>
      <c r="GF122" s="84" t="n">
        <f aca="false">FP122+FZ122+(1-$F122)*GC122</f>
        <v>0</v>
      </c>
      <c r="GG122" s="84" t="n">
        <f aca="false">FQ122+GE122</f>
        <v>0</v>
      </c>
      <c r="GH122" s="133" t="n">
        <f aca="false">FU122+$D122*Inputs!$L$13-$D122*$E122</f>
        <v>9506.28121679256</v>
      </c>
      <c r="GI122" s="84" t="n">
        <f aca="false">GH122*(1+$I122)</f>
        <v>10266.783714136</v>
      </c>
      <c r="GJ122" s="133" t="n">
        <f aca="false">GI122*Inputs!$L$14</f>
        <v>10266.783714136</v>
      </c>
      <c r="GK122" s="84" t="n">
        <f aca="false">GI122-GJ122</f>
        <v>0</v>
      </c>
      <c r="GL122" s="133" t="n">
        <f aca="false">FX122+$D122*Inputs!$L$13</f>
        <v>2487.89471598817</v>
      </c>
      <c r="GM122" s="84" t="n">
        <f aca="false">MIN(GJ122,GL122)</f>
        <v>2487.89471598817</v>
      </c>
      <c r="GN122" s="84" t="n">
        <f aca="false">GL122-GM122</f>
        <v>0</v>
      </c>
      <c r="GO122" s="84" t="n">
        <f aca="false">GA122+$G122*(GL122+GA122)</f>
        <v>12003.1706132071</v>
      </c>
      <c r="GP122" s="84" t="n">
        <f aca="false">MIN(GJ122-GM122,GO122)</f>
        <v>7778.88899814779</v>
      </c>
      <c r="GQ122" s="84" t="n">
        <f aca="false">GO122-GP122</f>
        <v>4224.2816150593</v>
      </c>
      <c r="GR122" s="84" t="n">
        <f aca="false">IF($H122=1,MIN(GJ122-GM122-GP122,MAX(0,$F122/(1-$F122)*(GF122+GP122)-GG122)),0)</f>
        <v>0</v>
      </c>
      <c r="GS122" s="84" t="n">
        <f aca="false">GJ122-GM122-GP122-GR122</f>
        <v>0</v>
      </c>
      <c r="GT122" s="84" t="n">
        <f aca="false">GM122+GP122+(1-$F122)*GS122</f>
        <v>10266.783714136</v>
      </c>
      <c r="GU122" s="84" t="n">
        <f aca="false">GR122+$F122*GS122</f>
        <v>0</v>
      </c>
      <c r="GV122" s="84" t="n">
        <f aca="false">GF122+GP122+(1-$F122)*GS122</f>
        <v>7778.88899814779</v>
      </c>
      <c r="GW122" s="84" t="n">
        <f aca="false">GG122+GU122</f>
        <v>0</v>
      </c>
    </row>
    <row r="123" customFormat="false" ht="15" hidden="false" customHeight="false" outlineLevel="0" collapsed="false">
      <c r="A123" s="5" t="s">
        <v>640</v>
      </c>
      <c r="B123" s="5" t="s">
        <v>428</v>
      </c>
      <c r="C123" s="135" t="n">
        <v>9</v>
      </c>
      <c r="D123" s="47" t="n">
        <f aca="false">Inputs!$C$6</f>
        <v>20000</v>
      </c>
      <c r="E123" s="35" t="n">
        <f aca="false">Inputs!$C$19</f>
        <v>0.0135</v>
      </c>
      <c r="F123" s="36" t="n">
        <f aca="false">Inputs!$C$20</f>
        <v>0.2</v>
      </c>
      <c r="G123" s="36" t="n">
        <f aca="false">Inputs!$C$22</f>
        <v>0.08</v>
      </c>
      <c r="H123" s="44" t="n">
        <f aca="false">Inputs!$C$23</f>
        <v>1</v>
      </c>
      <c r="I123" s="132" t="n">
        <f aca="false">Inputs!$C$38+$C123*Inputs!$C$39</f>
        <v>0.09</v>
      </c>
      <c r="J123" s="36" t="n">
        <f aca="false">Inputs!$C$9</f>
        <v>0.15</v>
      </c>
      <c r="K123" s="89" t="n">
        <f aca="false">IRR(W123:AG123,0.1)</f>
        <v>0.0680480587975426</v>
      </c>
      <c r="L123" s="45" t="n">
        <f aca="false">W123+NPV($J123,X123:AG123)</f>
        <v>-5342.21286936829</v>
      </c>
      <c r="M123" s="45" t="n">
        <f aca="false">SUM(BF123,BV123,CL123,DB123,DR123,EH123,EX123,FN123,GD123,GT123)</f>
        <v>29460.2988383725</v>
      </c>
      <c r="N123" s="43" t="n">
        <f aca="false">IF($D123*SUM(Inputs!$C$13:$L$13)=0,0,M123/($D123*SUM(Inputs!$C$13:$L$13)))</f>
        <v>1.47301494191862</v>
      </c>
      <c r="O123" s="42" t="n">
        <f aca="false">$D123*$E123*COLUMNS(Inputs!$C$13:$L$13)</f>
        <v>2700</v>
      </c>
      <c r="P123" s="45" t="n">
        <f aca="false">SUM(BG123,BW123,CM123,DC123,DS123,EI123,EY123,FO123,GE123,GU123)</f>
        <v>0</v>
      </c>
      <c r="Q123" s="42" t="n">
        <f aca="false">PV($J123,COLUMNS(Inputs!$C$13:$L$13),-$D123*$E123,0,1)</f>
        <v>1558.32765832774</v>
      </c>
      <c r="R123" s="45" t="n">
        <f aca="false">NPV($J123,BG123,BW123,CM123,DC123,DS123,EI123,EY123,FO123,GE123,GU123)</f>
        <v>0</v>
      </c>
      <c r="S123" s="45" t="n">
        <f aca="false">Q123+R123</f>
        <v>1558.32765832774</v>
      </c>
      <c r="T123" s="32" t="n">
        <f aca="false">IF(S123=0,0,Q123/S123)</f>
        <v>1</v>
      </c>
      <c r="U123" s="45" t="n">
        <f aca="false">ROUND(ABS(GK123)+ABS(SUM(AV123,BL123,CB123,CR123,DH123,DX123,EN123,FD123,FT123,GJ123)-M123-P123)+ABS(S123-(AH123+NPV($J123,AI123:AR123))),6)</f>
        <v>0</v>
      </c>
      <c r="W123" s="133" t="n">
        <f aca="false">-$D123*Inputs!$C$13</f>
        <v>-4000</v>
      </c>
      <c r="X123" s="133" t="n">
        <f aca="false">BF123-$D123*Inputs!$D$13</f>
        <v>-4000</v>
      </c>
      <c r="Y123" s="133" t="n">
        <f aca="false">BV123-$D123*Inputs!$E$13</f>
        <v>-4000</v>
      </c>
      <c r="Z123" s="133" t="n">
        <f aca="false">CL123-$D123*Inputs!$F$13</f>
        <v>-4000</v>
      </c>
      <c r="AA123" s="133" t="n">
        <f aca="false">DB123-$D123*Inputs!$G$13</f>
        <v>-4000</v>
      </c>
      <c r="AB123" s="133" t="n">
        <f aca="false">DR123-$D123*Inputs!$H$13</f>
        <v>4866.4075854154</v>
      </c>
      <c r="AC123" s="133" t="n">
        <f aca="false">EH123-$D123*Inputs!$I$13</f>
        <v>4184.64741448223</v>
      </c>
      <c r="AD123" s="133" t="n">
        <f aca="false">EX123-$D123*Inputs!$J$13</f>
        <v>3590.15254542851</v>
      </c>
      <c r="AE123" s="133" t="n">
        <f aca="false">FN123-$D123*Inputs!$K$13</f>
        <v>3071.75301961366</v>
      </c>
      <c r="AF123" s="133" t="n">
        <f aca="false">GD123-$D123*Inputs!$L$13</f>
        <v>2619.70863310311</v>
      </c>
      <c r="AG123" s="84" t="n">
        <f aca="false">GT123</f>
        <v>11127.6296403296</v>
      </c>
      <c r="AH123" s="84" t="n">
        <f aca="false">$D123*$E123</f>
        <v>270</v>
      </c>
      <c r="AI123" s="84" t="n">
        <f aca="false">BG123+$D123*$E123</f>
        <v>270</v>
      </c>
      <c r="AJ123" s="84" t="n">
        <f aca="false">BW123+$D123*$E123</f>
        <v>270</v>
      </c>
      <c r="AK123" s="84" t="n">
        <f aca="false">CM123+$D123*$E123</f>
        <v>270</v>
      </c>
      <c r="AL123" s="84" t="n">
        <f aca="false">DC123+$D123*$E123</f>
        <v>270</v>
      </c>
      <c r="AM123" s="84" t="n">
        <f aca="false">DS123+$D123*$E123</f>
        <v>270</v>
      </c>
      <c r="AN123" s="84" t="n">
        <f aca="false">EI123+$D123*$E123</f>
        <v>270</v>
      </c>
      <c r="AO123" s="84" t="n">
        <f aca="false">EY123+$D123*$E123</f>
        <v>270</v>
      </c>
      <c r="AP123" s="84" t="n">
        <f aca="false">FO123+$D123*$E123</f>
        <v>270</v>
      </c>
      <c r="AQ123" s="84" t="n">
        <f aca="false">GE123+$D123*$E123</f>
        <v>270</v>
      </c>
      <c r="AR123" s="84" t="n">
        <f aca="false">GU123</f>
        <v>0</v>
      </c>
      <c r="AT123" s="133" t="n">
        <f aca="false">$D123*Inputs!$C$13-$D123*$E123</f>
        <v>3730</v>
      </c>
      <c r="AU123" s="84" t="n">
        <f aca="false">AT123*(1+$I123)</f>
        <v>4065.7</v>
      </c>
      <c r="AV123" s="133" t="n">
        <f aca="false">AU123*Inputs!$C$14</f>
        <v>0</v>
      </c>
      <c r="AW123" s="84" t="n">
        <f aca="false">AU123-AV123</f>
        <v>4065.7</v>
      </c>
      <c r="AX123" s="133" t="n">
        <f aca="false">$D123*Inputs!$C$13</f>
        <v>4000</v>
      </c>
      <c r="AY123" s="84" t="n">
        <f aca="false">MIN(AV123,AX123)</f>
        <v>0</v>
      </c>
      <c r="AZ123" s="84" t="n">
        <f aca="false">AX123-AY123</f>
        <v>4000</v>
      </c>
      <c r="BA123" s="84" t="n">
        <f aca="false">$G123*AX123</f>
        <v>320</v>
      </c>
      <c r="BB123" s="84" t="n">
        <f aca="false">MIN(AV123-AY123,BA123)</f>
        <v>0</v>
      </c>
      <c r="BC123" s="84" t="n">
        <f aca="false">BA123-BB123</f>
        <v>320</v>
      </c>
      <c r="BD123" s="84" t="n">
        <f aca="false">IF($H123=1,MIN(AV123-AY123-BB123,MAX(0,$F123/(1-$F123)*BB123)),0)</f>
        <v>0</v>
      </c>
      <c r="BE123" s="84" t="n">
        <f aca="false">AV123-AY123-BB123-BD123</f>
        <v>0</v>
      </c>
      <c r="BF123" s="84" t="n">
        <f aca="false">AY123+BB123+(1-$F123)*BE123</f>
        <v>0</v>
      </c>
      <c r="BG123" s="84" t="n">
        <f aca="false">BD123+$F123*BE123</f>
        <v>0</v>
      </c>
      <c r="BH123" s="84" t="n">
        <f aca="false">BB123+(1-$F123)*BE123</f>
        <v>0</v>
      </c>
      <c r="BI123" s="84" t="n">
        <f aca="false">BG123</f>
        <v>0</v>
      </c>
      <c r="BJ123" s="133" t="n">
        <f aca="false">AW123+$D123*Inputs!$D$13-$D123*$E123</f>
        <v>7795.7</v>
      </c>
      <c r="BK123" s="84" t="n">
        <f aca="false">BJ123*(1+$I123)</f>
        <v>8497.313</v>
      </c>
      <c r="BL123" s="133" t="n">
        <f aca="false">BK123*Inputs!$D$14</f>
        <v>0</v>
      </c>
      <c r="BM123" s="84" t="n">
        <f aca="false">BK123-BL123</f>
        <v>8497.313</v>
      </c>
      <c r="BN123" s="133" t="n">
        <f aca="false">AZ123+$D123*Inputs!$D$13</f>
        <v>8000</v>
      </c>
      <c r="BO123" s="84" t="n">
        <f aca="false">MIN(BL123,BN123)</f>
        <v>0</v>
      </c>
      <c r="BP123" s="84" t="n">
        <f aca="false">BN123-BO123</f>
        <v>8000</v>
      </c>
      <c r="BQ123" s="84" t="n">
        <f aca="false">BC123+$G123*(BN123+BC123)</f>
        <v>985.6</v>
      </c>
      <c r="BR123" s="84" t="n">
        <f aca="false">MIN(BL123-BO123,BQ123)</f>
        <v>0</v>
      </c>
      <c r="BS123" s="84" t="n">
        <f aca="false">BQ123-BR123</f>
        <v>985.6</v>
      </c>
      <c r="BT123" s="84" t="n">
        <f aca="false">IF($H123=1,MIN(BL123-BO123-BR123,MAX(0,$F123/(1-$F123)*(BH123+BR123)-BI123)),0)</f>
        <v>0</v>
      </c>
      <c r="BU123" s="84" t="n">
        <f aca="false">BL123-BO123-BR123-BT123</f>
        <v>0</v>
      </c>
      <c r="BV123" s="84" t="n">
        <f aca="false">BO123+BR123+(1-$F123)*BU123</f>
        <v>0</v>
      </c>
      <c r="BW123" s="84" t="n">
        <f aca="false">BT123+$F123*BU123</f>
        <v>0</v>
      </c>
      <c r="BX123" s="84" t="n">
        <f aca="false">BH123+BR123+(1-$F123)*BU123</f>
        <v>0</v>
      </c>
      <c r="BY123" s="84" t="n">
        <f aca="false">BI123+BW123</f>
        <v>0</v>
      </c>
      <c r="BZ123" s="133" t="n">
        <f aca="false">BM123+$D123*Inputs!$E$13-$D123*$E123</f>
        <v>12227.313</v>
      </c>
      <c r="CA123" s="84" t="n">
        <f aca="false">BZ123*(1+$I123)</f>
        <v>13327.77117</v>
      </c>
      <c r="CB123" s="133" t="n">
        <f aca="false">CA123*Inputs!$E$14</f>
        <v>0</v>
      </c>
      <c r="CC123" s="84" t="n">
        <f aca="false">CA123-CB123</f>
        <v>13327.77117</v>
      </c>
      <c r="CD123" s="133" t="n">
        <f aca="false">BP123+$D123*Inputs!$E$13</f>
        <v>12000</v>
      </c>
      <c r="CE123" s="84" t="n">
        <f aca="false">MIN(CB123,CD123)</f>
        <v>0</v>
      </c>
      <c r="CF123" s="84" t="n">
        <f aca="false">CD123-CE123</f>
        <v>12000</v>
      </c>
      <c r="CG123" s="84" t="n">
        <f aca="false">BS123+$G123*(CD123+BS123)</f>
        <v>2024.448</v>
      </c>
      <c r="CH123" s="84" t="n">
        <f aca="false">MIN(CB123-CE123,CG123)</f>
        <v>0</v>
      </c>
      <c r="CI123" s="84" t="n">
        <f aca="false">CG123-CH123</f>
        <v>2024.448</v>
      </c>
      <c r="CJ123" s="84" t="n">
        <f aca="false">IF($H123=1,MIN(CB123-CE123-CH123,MAX(0,$F123/(1-$F123)*(BX123+CH123)-BY123)),0)</f>
        <v>0</v>
      </c>
      <c r="CK123" s="84" t="n">
        <f aca="false">CB123-CE123-CH123-CJ123</f>
        <v>0</v>
      </c>
      <c r="CL123" s="84" t="n">
        <f aca="false">CE123+CH123+(1-$F123)*CK123</f>
        <v>0</v>
      </c>
      <c r="CM123" s="84" t="n">
        <f aca="false">CJ123+$F123*CK123</f>
        <v>0</v>
      </c>
      <c r="CN123" s="84" t="n">
        <f aca="false">BX123+CH123+(1-$F123)*CK123</f>
        <v>0</v>
      </c>
      <c r="CO123" s="84" t="n">
        <f aca="false">BY123+CM123</f>
        <v>0</v>
      </c>
      <c r="CP123" s="133" t="n">
        <f aca="false">CC123+$D123*Inputs!$F$13-$D123*$E123</f>
        <v>17057.77117</v>
      </c>
      <c r="CQ123" s="84" t="n">
        <f aca="false">CP123*(1+$I123)</f>
        <v>18592.9705753</v>
      </c>
      <c r="CR123" s="133" t="n">
        <f aca="false">CQ123*Inputs!$F$14</f>
        <v>0</v>
      </c>
      <c r="CS123" s="84" t="n">
        <f aca="false">CQ123-CR123</f>
        <v>18592.9705753</v>
      </c>
      <c r="CT123" s="133" t="n">
        <f aca="false">CF123+$D123*Inputs!$F$13</f>
        <v>16000</v>
      </c>
      <c r="CU123" s="84" t="n">
        <f aca="false">MIN(CR123,CT123)</f>
        <v>0</v>
      </c>
      <c r="CV123" s="84" t="n">
        <f aca="false">CT123-CU123</f>
        <v>16000</v>
      </c>
      <c r="CW123" s="84" t="n">
        <f aca="false">CI123+$G123*(CT123+CI123)</f>
        <v>3466.40384</v>
      </c>
      <c r="CX123" s="84" t="n">
        <f aca="false">MIN(CR123-CU123,CW123)</f>
        <v>0</v>
      </c>
      <c r="CY123" s="84" t="n">
        <f aca="false">CW123-CX123</f>
        <v>3466.40384</v>
      </c>
      <c r="CZ123" s="84" t="n">
        <f aca="false">IF($H123=1,MIN(CR123-CU123-CX123,MAX(0,$F123/(1-$F123)*(CN123+CX123)-CO123)),0)</f>
        <v>0</v>
      </c>
      <c r="DA123" s="84" t="n">
        <f aca="false">CR123-CU123-CX123-CZ123</f>
        <v>0</v>
      </c>
      <c r="DB123" s="84" t="n">
        <f aca="false">CU123+CX123+(1-$F123)*DA123</f>
        <v>0</v>
      </c>
      <c r="DC123" s="84" t="n">
        <f aca="false">CZ123+$F123*DA123</f>
        <v>0</v>
      </c>
      <c r="DD123" s="84" t="n">
        <f aca="false">CN123+CX123+(1-$F123)*DA123</f>
        <v>0</v>
      </c>
      <c r="DE123" s="84" t="n">
        <f aca="false">CO123+DC123</f>
        <v>0</v>
      </c>
      <c r="DF123" s="133" t="n">
        <f aca="false">CS123+$D123*Inputs!$G$13-$D123*$E123</f>
        <v>22322.9705753</v>
      </c>
      <c r="DG123" s="84" t="n">
        <f aca="false">DF123*(1+$I123)</f>
        <v>24332.037927077</v>
      </c>
      <c r="DH123" s="133" t="n">
        <f aca="false">DG123*Inputs!$G$14</f>
        <v>4866.4075854154</v>
      </c>
      <c r="DI123" s="84" t="n">
        <f aca="false">DG123-DH123</f>
        <v>19465.6303416616</v>
      </c>
      <c r="DJ123" s="133" t="n">
        <f aca="false">CV123+$D123*Inputs!$G$13</f>
        <v>20000</v>
      </c>
      <c r="DK123" s="84" t="n">
        <f aca="false">MIN(DH123,DJ123)</f>
        <v>4866.4075854154</v>
      </c>
      <c r="DL123" s="84" t="n">
        <f aca="false">DJ123-DK123</f>
        <v>15133.5924145846</v>
      </c>
      <c r="DM123" s="84" t="n">
        <f aca="false">CY123+$G123*(DJ123+CY123)</f>
        <v>5343.7161472</v>
      </c>
      <c r="DN123" s="84" t="n">
        <f aca="false">MIN(DH123-DK123,DM123)</f>
        <v>0</v>
      </c>
      <c r="DO123" s="84" t="n">
        <f aca="false">DM123-DN123</f>
        <v>5343.7161472</v>
      </c>
      <c r="DP123" s="84" t="n">
        <f aca="false">IF($H123=1,MIN(DH123-DK123-DN123,MAX(0,$F123/(1-$F123)*(DD123+DN123)-DE123)),0)</f>
        <v>0</v>
      </c>
      <c r="DQ123" s="84" t="n">
        <f aca="false">DH123-DK123-DN123-DP123</f>
        <v>0</v>
      </c>
      <c r="DR123" s="84" t="n">
        <f aca="false">DK123+DN123+(1-$F123)*DQ123</f>
        <v>4866.4075854154</v>
      </c>
      <c r="DS123" s="84" t="n">
        <f aca="false">DP123+$F123*DQ123</f>
        <v>0</v>
      </c>
      <c r="DT123" s="84" t="n">
        <f aca="false">DD123+DN123+(1-$F123)*DQ123</f>
        <v>0</v>
      </c>
      <c r="DU123" s="84" t="n">
        <f aca="false">DE123+DS123</f>
        <v>0</v>
      </c>
      <c r="DV123" s="133" t="n">
        <f aca="false">DI123+$D123*Inputs!$H$13-$D123*$E123</f>
        <v>19195.6303416616</v>
      </c>
      <c r="DW123" s="84" t="n">
        <f aca="false">DV123*(1+$I123)</f>
        <v>20923.2370724112</v>
      </c>
      <c r="DX123" s="133" t="n">
        <f aca="false">DW123*Inputs!$H$14</f>
        <v>4184.64741448223</v>
      </c>
      <c r="DY123" s="84" t="n">
        <f aca="false">DW123-DX123</f>
        <v>16738.5896579289</v>
      </c>
      <c r="DZ123" s="133" t="n">
        <f aca="false">DL123+$D123*Inputs!$H$13</f>
        <v>15133.5924145846</v>
      </c>
      <c r="EA123" s="84" t="n">
        <f aca="false">MIN(DX123,DZ123)</f>
        <v>4184.64741448223</v>
      </c>
      <c r="EB123" s="84" t="n">
        <f aca="false">DZ123-EA123</f>
        <v>10948.9450001024</v>
      </c>
      <c r="EC123" s="84" t="n">
        <f aca="false">DO123+$G123*(DZ123+DO123)</f>
        <v>6981.90083214277</v>
      </c>
      <c r="ED123" s="84" t="n">
        <f aca="false">MIN(DX123-EA123,EC123)</f>
        <v>0</v>
      </c>
      <c r="EE123" s="84" t="n">
        <f aca="false">EC123-ED123</f>
        <v>6981.90083214277</v>
      </c>
      <c r="EF123" s="84" t="n">
        <f aca="false">IF($H123=1,MIN(DX123-EA123-ED123,MAX(0,$F123/(1-$F123)*(DT123+ED123)-DU123)),0)</f>
        <v>0</v>
      </c>
      <c r="EG123" s="84" t="n">
        <f aca="false">DX123-EA123-ED123-EF123</f>
        <v>0</v>
      </c>
      <c r="EH123" s="84" t="n">
        <f aca="false">EA123+ED123+(1-$F123)*EG123</f>
        <v>4184.64741448223</v>
      </c>
      <c r="EI123" s="84" t="n">
        <f aca="false">EF123+$F123*EG123</f>
        <v>0</v>
      </c>
      <c r="EJ123" s="84" t="n">
        <f aca="false">DT123+ED123+(1-$F123)*EG123</f>
        <v>0</v>
      </c>
      <c r="EK123" s="84" t="n">
        <f aca="false">DU123+EI123</f>
        <v>0</v>
      </c>
      <c r="EL123" s="133" t="n">
        <f aca="false">DY123+$D123*Inputs!$I$13-$D123*$E123</f>
        <v>16468.5896579289</v>
      </c>
      <c r="EM123" s="84" t="n">
        <f aca="false">EL123*(1+$I123)</f>
        <v>17950.7627271425</v>
      </c>
      <c r="EN123" s="133" t="n">
        <f aca="false">EM123*Inputs!$I$14</f>
        <v>3590.15254542851</v>
      </c>
      <c r="EO123" s="84" t="n">
        <f aca="false">EM123-EN123</f>
        <v>14360.610181714</v>
      </c>
      <c r="EP123" s="133" t="n">
        <f aca="false">EB123+$D123*Inputs!$I$13</f>
        <v>10948.9450001024</v>
      </c>
      <c r="EQ123" s="84" t="n">
        <f aca="false">MIN(EN123,EP123)</f>
        <v>3590.15254542851</v>
      </c>
      <c r="ER123" s="84" t="n">
        <f aca="false">EP123-EQ123</f>
        <v>7358.79245467386</v>
      </c>
      <c r="ES123" s="84" t="n">
        <f aca="false">EE123+$G123*(EP123+EE123)</f>
        <v>8416.36849872238</v>
      </c>
      <c r="ET123" s="84" t="n">
        <f aca="false">MIN(EN123-EQ123,ES123)</f>
        <v>0</v>
      </c>
      <c r="EU123" s="84" t="n">
        <f aca="false">ES123-ET123</f>
        <v>8416.36849872238</v>
      </c>
      <c r="EV123" s="84" t="n">
        <f aca="false">IF($H123=1,MIN(EN123-EQ123-ET123,MAX(0,$F123/(1-$F123)*(EJ123+ET123)-EK123)),0)</f>
        <v>0</v>
      </c>
      <c r="EW123" s="84" t="n">
        <f aca="false">EN123-EQ123-ET123-EV123</f>
        <v>0</v>
      </c>
      <c r="EX123" s="84" t="n">
        <f aca="false">EQ123+ET123+(1-$F123)*EW123</f>
        <v>3590.15254542851</v>
      </c>
      <c r="EY123" s="84" t="n">
        <f aca="false">EV123+$F123*EW123</f>
        <v>0</v>
      </c>
      <c r="EZ123" s="84" t="n">
        <f aca="false">EJ123+ET123+(1-$F123)*EW123</f>
        <v>0</v>
      </c>
      <c r="FA123" s="84" t="n">
        <f aca="false">EK123+EY123</f>
        <v>0</v>
      </c>
      <c r="FB123" s="133" t="n">
        <f aca="false">EO123+$D123*Inputs!$J$13-$D123*$E123</f>
        <v>14090.610181714</v>
      </c>
      <c r="FC123" s="84" t="n">
        <f aca="false">FB123*(1+$I123)</f>
        <v>15358.7650980683</v>
      </c>
      <c r="FD123" s="133" t="n">
        <f aca="false">FC123*Inputs!$J$14</f>
        <v>3071.75301961366</v>
      </c>
      <c r="FE123" s="84" t="n">
        <f aca="false">FC123-FD123</f>
        <v>12287.0120784546</v>
      </c>
      <c r="FF123" s="133" t="n">
        <f aca="false">ER123+$D123*Inputs!$J$13</f>
        <v>7358.79245467386</v>
      </c>
      <c r="FG123" s="84" t="n">
        <f aca="false">MIN(FD123,FF123)</f>
        <v>3071.75301961366</v>
      </c>
      <c r="FH123" s="84" t="n">
        <f aca="false">FF123-FG123</f>
        <v>4287.03943506021</v>
      </c>
      <c r="FI123" s="84" t="n">
        <f aca="false">EU123+$G123*(FF123+EU123)</f>
        <v>9678.38137499408</v>
      </c>
      <c r="FJ123" s="84" t="n">
        <f aca="false">MIN(FD123-FG123,FI123)</f>
        <v>0</v>
      </c>
      <c r="FK123" s="84" t="n">
        <f aca="false">FI123-FJ123</f>
        <v>9678.38137499408</v>
      </c>
      <c r="FL123" s="84" t="n">
        <f aca="false">IF($H123=1,MIN(FD123-FG123-FJ123,MAX(0,$F123/(1-$F123)*(EZ123+FJ123)-FA123)),0)</f>
        <v>0</v>
      </c>
      <c r="FM123" s="84" t="n">
        <f aca="false">FD123-FG123-FJ123-FL123</f>
        <v>0</v>
      </c>
      <c r="FN123" s="84" t="n">
        <f aca="false">FG123+FJ123+(1-$F123)*FM123</f>
        <v>3071.75301961366</v>
      </c>
      <c r="FO123" s="84" t="n">
        <f aca="false">FL123+$F123*FM123</f>
        <v>0</v>
      </c>
      <c r="FP123" s="84" t="n">
        <f aca="false">EZ123+FJ123+(1-$F123)*FM123</f>
        <v>0</v>
      </c>
      <c r="FQ123" s="84" t="n">
        <f aca="false">FA123+FO123</f>
        <v>0</v>
      </c>
      <c r="FR123" s="133" t="n">
        <f aca="false">FE123+$D123*Inputs!$K$13-$D123*$E123</f>
        <v>12017.0120784546</v>
      </c>
      <c r="FS123" s="84" t="n">
        <f aca="false">FR123*(1+$I123)</f>
        <v>13098.5431655155</v>
      </c>
      <c r="FT123" s="133" t="n">
        <f aca="false">FS123*Inputs!$K$14</f>
        <v>2619.70863310311</v>
      </c>
      <c r="FU123" s="84" t="n">
        <f aca="false">FS123-FT123</f>
        <v>10478.8345324124</v>
      </c>
      <c r="FV123" s="133" t="n">
        <f aca="false">FH123+$D123*Inputs!$K$13</f>
        <v>4287.03943506021</v>
      </c>
      <c r="FW123" s="84" t="n">
        <f aca="false">MIN(FT123,FV123)</f>
        <v>2619.70863310311</v>
      </c>
      <c r="FX123" s="84" t="n">
        <f aca="false">FV123-FW123</f>
        <v>1667.3308019571</v>
      </c>
      <c r="FY123" s="84" t="n">
        <f aca="false">FK123+$G123*(FV123+FK123)</f>
        <v>10795.6150397984</v>
      </c>
      <c r="FZ123" s="84" t="n">
        <f aca="false">MIN(FT123-FW123,FY123)</f>
        <v>0</v>
      </c>
      <c r="GA123" s="84" t="n">
        <f aca="false">FY123-FZ123</f>
        <v>10795.6150397984</v>
      </c>
      <c r="GB123" s="84" t="n">
        <f aca="false">IF($H123=1,MIN(FT123-FW123-FZ123,MAX(0,$F123/(1-$F123)*(FP123+FZ123)-FQ123)),0)</f>
        <v>0</v>
      </c>
      <c r="GC123" s="84" t="n">
        <f aca="false">FT123-FW123-FZ123-GB123</f>
        <v>0</v>
      </c>
      <c r="GD123" s="84" t="n">
        <f aca="false">FW123+FZ123+(1-$F123)*GC123</f>
        <v>2619.70863310311</v>
      </c>
      <c r="GE123" s="84" t="n">
        <f aca="false">GB123+$F123*GC123</f>
        <v>0</v>
      </c>
      <c r="GF123" s="84" t="n">
        <f aca="false">FP123+FZ123+(1-$F123)*GC123</f>
        <v>0</v>
      </c>
      <c r="GG123" s="84" t="n">
        <f aca="false">FQ123+GE123</f>
        <v>0</v>
      </c>
      <c r="GH123" s="133" t="n">
        <f aca="false">FU123+$D123*Inputs!$L$13-$D123*$E123</f>
        <v>10208.8345324124</v>
      </c>
      <c r="GI123" s="84" t="n">
        <f aca="false">GH123*(1+$I123)</f>
        <v>11127.6296403296</v>
      </c>
      <c r="GJ123" s="133" t="n">
        <f aca="false">GI123*Inputs!$L$14</f>
        <v>11127.6296403296</v>
      </c>
      <c r="GK123" s="84" t="n">
        <f aca="false">GI123-GJ123</f>
        <v>0</v>
      </c>
      <c r="GL123" s="133" t="n">
        <f aca="false">FX123+$D123*Inputs!$L$13</f>
        <v>1667.3308019571</v>
      </c>
      <c r="GM123" s="84" t="n">
        <f aca="false">MIN(GJ123,GL123)</f>
        <v>1667.3308019571</v>
      </c>
      <c r="GN123" s="84" t="n">
        <f aca="false">GL123-GM123</f>
        <v>0</v>
      </c>
      <c r="GO123" s="84" t="n">
        <f aca="false">GA123+$G123*(GL123+GA123)</f>
        <v>11792.6507071389</v>
      </c>
      <c r="GP123" s="84" t="n">
        <f aca="false">MIN(GJ123-GM123,GO123)</f>
        <v>9460.29883837246</v>
      </c>
      <c r="GQ123" s="84" t="n">
        <f aca="false">GO123-GP123</f>
        <v>2332.35186876641</v>
      </c>
      <c r="GR123" s="84" t="n">
        <f aca="false">IF($H123=1,MIN(GJ123-GM123-GP123,MAX(0,$F123/(1-$F123)*(GF123+GP123)-GG123)),0)</f>
        <v>0</v>
      </c>
      <c r="GS123" s="84" t="n">
        <f aca="false">GJ123-GM123-GP123-GR123</f>
        <v>0</v>
      </c>
      <c r="GT123" s="84" t="n">
        <f aca="false">GM123+GP123+(1-$F123)*GS123</f>
        <v>11127.6296403296</v>
      </c>
      <c r="GU123" s="84" t="n">
        <f aca="false">GR123+$F123*GS123</f>
        <v>0</v>
      </c>
      <c r="GV123" s="84" t="n">
        <f aca="false">GF123+GP123+(1-$F123)*GS123</f>
        <v>9460.29883837246</v>
      </c>
      <c r="GW123" s="84" t="n">
        <f aca="false">GG123+GU123</f>
        <v>0</v>
      </c>
    </row>
    <row r="124" customFormat="false" ht="15" hidden="false" customHeight="false" outlineLevel="0" collapsed="false">
      <c r="A124" s="5" t="s">
        <v>640</v>
      </c>
      <c r="B124" s="5" t="s">
        <v>428</v>
      </c>
      <c r="C124" s="135" t="n">
        <v>10</v>
      </c>
      <c r="D124" s="47" t="n">
        <f aca="false">Inputs!$C$6</f>
        <v>20000</v>
      </c>
      <c r="E124" s="35" t="n">
        <f aca="false">Inputs!$C$19</f>
        <v>0.0135</v>
      </c>
      <c r="F124" s="36" t="n">
        <f aca="false">Inputs!$C$20</f>
        <v>0.2</v>
      </c>
      <c r="G124" s="36" t="n">
        <f aca="false">Inputs!$C$22</f>
        <v>0.08</v>
      </c>
      <c r="H124" s="44" t="n">
        <f aca="false">Inputs!$C$23</f>
        <v>1</v>
      </c>
      <c r="I124" s="132" t="n">
        <f aca="false">Inputs!$C$38+$C124*Inputs!$C$39</f>
        <v>0.1</v>
      </c>
      <c r="J124" s="36" t="n">
        <f aca="false">Inputs!$C$9</f>
        <v>0.15</v>
      </c>
      <c r="K124" s="89" t="n">
        <f aca="false">IRR(W124:AG124,0.1)</f>
        <v>0.0783354771301631</v>
      </c>
      <c r="L124" s="45" t="n">
        <f aca="false">W124+NPV($J124,X124:AG124)</f>
        <v>-4791.4100931443</v>
      </c>
      <c r="M124" s="45" t="n">
        <f aca="false">SUM(BF124,BV124,CL124,DB124,DR124,EH124,EX124,FN124,GD124,GT124)</f>
        <v>31240.1007159973</v>
      </c>
      <c r="N124" s="43" t="n">
        <f aca="false">IF($D124*SUM(Inputs!$C$13:$L$13)=0,0,M124/($D124*SUM(Inputs!$C$13:$L$13)))</f>
        <v>1.56200503579987</v>
      </c>
      <c r="O124" s="42" t="n">
        <f aca="false">$D124*$E124*COLUMNS(Inputs!$C$13:$L$13)</f>
        <v>2700</v>
      </c>
      <c r="P124" s="45" t="n">
        <f aca="false">SUM(BG124,BW124,CM124,DC124,DS124,EI124,EY124,FO124,GE124,GU124)</f>
        <v>0</v>
      </c>
      <c r="Q124" s="42" t="n">
        <f aca="false">PV($J124,COLUMNS(Inputs!$C$13:$L$13),-$D124*$E124,0,1)</f>
        <v>1558.32765832774</v>
      </c>
      <c r="R124" s="45" t="n">
        <f aca="false">NPV($J124,BG124,BW124,CM124,DC124,DS124,EI124,EY124,FO124,GE124,GU124)</f>
        <v>0</v>
      </c>
      <c r="S124" s="45" t="n">
        <f aca="false">Q124+R124</f>
        <v>1558.32765832774</v>
      </c>
      <c r="T124" s="32" t="n">
        <f aca="false">IF(S124=0,0,Q124/S124)</f>
        <v>1</v>
      </c>
      <c r="U124" s="45" t="n">
        <f aca="false">ROUND(ABS(GK124)+ABS(SUM(AV124,BL124,CB124,CR124,DH124,DX124,EN124,FD124,FT124,GJ124)-M124-P124)+ABS(S124-(AH124+NPV($J124,AI124:AR124))),6)</f>
        <v>0</v>
      </c>
      <c r="W124" s="133" t="n">
        <f aca="false">-$D124*Inputs!$C$13</f>
        <v>-4000</v>
      </c>
      <c r="X124" s="133" t="n">
        <f aca="false">BF124-$D124*Inputs!$D$13</f>
        <v>-4000</v>
      </c>
      <c r="Y124" s="133" t="n">
        <f aca="false">BV124-$D124*Inputs!$E$13</f>
        <v>-4000</v>
      </c>
      <c r="Z124" s="133" t="n">
        <f aca="false">CL124-$D124*Inputs!$F$13</f>
        <v>-4000</v>
      </c>
      <c r="AA124" s="133" t="n">
        <f aca="false">DB124-$D124*Inputs!$G$13</f>
        <v>-4000</v>
      </c>
      <c r="AB124" s="133" t="n">
        <f aca="false">DR124-$D124*Inputs!$H$13</f>
        <v>5009.84506</v>
      </c>
      <c r="AC124" s="133" t="n">
        <f aca="false">EH124-$D124*Inputs!$I$13</f>
        <v>4349.2636528</v>
      </c>
      <c r="AD124" s="133" t="n">
        <f aca="false">EX124-$D124*Inputs!$J$13</f>
        <v>3767.952014464</v>
      </c>
      <c r="AE124" s="133" t="n">
        <f aca="false">FN124-$D124*Inputs!$K$13</f>
        <v>3256.39777272832</v>
      </c>
      <c r="AF124" s="133" t="n">
        <f aca="false">GD124-$D124*Inputs!$L$13</f>
        <v>2806.23004000092</v>
      </c>
      <c r="AG124" s="84" t="n">
        <f aca="false">GT124</f>
        <v>12050.4121760041</v>
      </c>
      <c r="AH124" s="84" t="n">
        <f aca="false">$D124*$E124</f>
        <v>270</v>
      </c>
      <c r="AI124" s="84" t="n">
        <f aca="false">BG124+$D124*$E124</f>
        <v>270</v>
      </c>
      <c r="AJ124" s="84" t="n">
        <f aca="false">BW124+$D124*$E124</f>
        <v>270</v>
      </c>
      <c r="AK124" s="84" t="n">
        <f aca="false">CM124+$D124*$E124</f>
        <v>270</v>
      </c>
      <c r="AL124" s="84" t="n">
        <f aca="false">DC124+$D124*$E124</f>
        <v>270</v>
      </c>
      <c r="AM124" s="84" t="n">
        <f aca="false">DS124+$D124*$E124</f>
        <v>270</v>
      </c>
      <c r="AN124" s="84" t="n">
        <f aca="false">EI124+$D124*$E124</f>
        <v>270</v>
      </c>
      <c r="AO124" s="84" t="n">
        <f aca="false">EY124+$D124*$E124</f>
        <v>270</v>
      </c>
      <c r="AP124" s="84" t="n">
        <f aca="false">FO124+$D124*$E124</f>
        <v>270</v>
      </c>
      <c r="AQ124" s="84" t="n">
        <f aca="false">GE124+$D124*$E124</f>
        <v>270</v>
      </c>
      <c r="AR124" s="84" t="n">
        <f aca="false">GU124</f>
        <v>0</v>
      </c>
      <c r="AT124" s="133" t="n">
        <f aca="false">$D124*Inputs!$C$13-$D124*$E124</f>
        <v>3730</v>
      </c>
      <c r="AU124" s="84" t="n">
        <f aca="false">AT124*(1+$I124)</f>
        <v>4103</v>
      </c>
      <c r="AV124" s="133" t="n">
        <f aca="false">AU124*Inputs!$C$14</f>
        <v>0</v>
      </c>
      <c r="AW124" s="84" t="n">
        <f aca="false">AU124-AV124</f>
        <v>4103</v>
      </c>
      <c r="AX124" s="133" t="n">
        <f aca="false">$D124*Inputs!$C$13</f>
        <v>4000</v>
      </c>
      <c r="AY124" s="84" t="n">
        <f aca="false">MIN(AV124,AX124)</f>
        <v>0</v>
      </c>
      <c r="AZ124" s="84" t="n">
        <f aca="false">AX124-AY124</f>
        <v>4000</v>
      </c>
      <c r="BA124" s="84" t="n">
        <f aca="false">$G124*AX124</f>
        <v>320</v>
      </c>
      <c r="BB124" s="84" t="n">
        <f aca="false">MIN(AV124-AY124,BA124)</f>
        <v>0</v>
      </c>
      <c r="BC124" s="84" t="n">
        <f aca="false">BA124-BB124</f>
        <v>320</v>
      </c>
      <c r="BD124" s="84" t="n">
        <f aca="false">IF($H124=1,MIN(AV124-AY124-BB124,MAX(0,$F124/(1-$F124)*BB124)),0)</f>
        <v>0</v>
      </c>
      <c r="BE124" s="84" t="n">
        <f aca="false">AV124-AY124-BB124-BD124</f>
        <v>0</v>
      </c>
      <c r="BF124" s="84" t="n">
        <f aca="false">AY124+BB124+(1-$F124)*BE124</f>
        <v>0</v>
      </c>
      <c r="BG124" s="84" t="n">
        <f aca="false">BD124+$F124*BE124</f>
        <v>0</v>
      </c>
      <c r="BH124" s="84" t="n">
        <f aca="false">BB124+(1-$F124)*BE124</f>
        <v>0</v>
      </c>
      <c r="BI124" s="84" t="n">
        <f aca="false">BG124</f>
        <v>0</v>
      </c>
      <c r="BJ124" s="133" t="n">
        <f aca="false">AW124+$D124*Inputs!$D$13-$D124*$E124</f>
        <v>7833</v>
      </c>
      <c r="BK124" s="84" t="n">
        <f aca="false">BJ124*(1+$I124)</f>
        <v>8616.3</v>
      </c>
      <c r="BL124" s="133" t="n">
        <f aca="false">BK124*Inputs!$D$14</f>
        <v>0</v>
      </c>
      <c r="BM124" s="84" t="n">
        <f aca="false">BK124-BL124</f>
        <v>8616.3</v>
      </c>
      <c r="BN124" s="133" t="n">
        <f aca="false">AZ124+$D124*Inputs!$D$13</f>
        <v>8000</v>
      </c>
      <c r="BO124" s="84" t="n">
        <f aca="false">MIN(BL124,BN124)</f>
        <v>0</v>
      </c>
      <c r="BP124" s="84" t="n">
        <f aca="false">BN124-BO124</f>
        <v>8000</v>
      </c>
      <c r="BQ124" s="84" t="n">
        <f aca="false">BC124+$G124*(BN124+BC124)</f>
        <v>985.6</v>
      </c>
      <c r="BR124" s="84" t="n">
        <f aca="false">MIN(BL124-BO124,BQ124)</f>
        <v>0</v>
      </c>
      <c r="BS124" s="84" t="n">
        <f aca="false">BQ124-BR124</f>
        <v>985.6</v>
      </c>
      <c r="BT124" s="84" t="n">
        <f aca="false">IF($H124=1,MIN(BL124-BO124-BR124,MAX(0,$F124/(1-$F124)*(BH124+BR124)-BI124)),0)</f>
        <v>0</v>
      </c>
      <c r="BU124" s="84" t="n">
        <f aca="false">BL124-BO124-BR124-BT124</f>
        <v>0</v>
      </c>
      <c r="BV124" s="84" t="n">
        <f aca="false">BO124+BR124+(1-$F124)*BU124</f>
        <v>0</v>
      </c>
      <c r="BW124" s="84" t="n">
        <f aca="false">BT124+$F124*BU124</f>
        <v>0</v>
      </c>
      <c r="BX124" s="84" t="n">
        <f aca="false">BH124+BR124+(1-$F124)*BU124</f>
        <v>0</v>
      </c>
      <c r="BY124" s="84" t="n">
        <f aca="false">BI124+BW124</f>
        <v>0</v>
      </c>
      <c r="BZ124" s="133" t="n">
        <f aca="false">BM124+$D124*Inputs!$E$13-$D124*$E124</f>
        <v>12346.3</v>
      </c>
      <c r="CA124" s="84" t="n">
        <f aca="false">BZ124*(1+$I124)</f>
        <v>13580.93</v>
      </c>
      <c r="CB124" s="133" t="n">
        <f aca="false">CA124*Inputs!$E$14</f>
        <v>0</v>
      </c>
      <c r="CC124" s="84" t="n">
        <f aca="false">CA124-CB124</f>
        <v>13580.93</v>
      </c>
      <c r="CD124" s="133" t="n">
        <f aca="false">BP124+$D124*Inputs!$E$13</f>
        <v>12000</v>
      </c>
      <c r="CE124" s="84" t="n">
        <f aca="false">MIN(CB124,CD124)</f>
        <v>0</v>
      </c>
      <c r="CF124" s="84" t="n">
        <f aca="false">CD124-CE124</f>
        <v>12000</v>
      </c>
      <c r="CG124" s="84" t="n">
        <f aca="false">BS124+$G124*(CD124+BS124)</f>
        <v>2024.448</v>
      </c>
      <c r="CH124" s="84" t="n">
        <f aca="false">MIN(CB124-CE124,CG124)</f>
        <v>0</v>
      </c>
      <c r="CI124" s="84" t="n">
        <f aca="false">CG124-CH124</f>
        <v>2024.448</v>
      </c>
      <c r="CJ124" s="84" t="n">
        <f aca="false">IF($H124=1,MIN(CB124-CE124-CH124,MAX(0,$F124/(1-$F124)*(BX124+CH124)-BY124)),0)</f>
        <v>0</v>
      </c>
      <c r="CK124" s="84" t="n">
        <f aca="false">CB124-CE124-CH124-CJ124</f>
        <v>0</v>
      </c>
      <c r="CL124" s="84" t="n">
        <f aca="false">CE124+CH124+(1-$F124)*CK124</f>
        <v>0</v>
      </c>
      <c r="CM124" s="84" t="n">
        <f aca="false">CJ124+$F124*CK124</f>
        <v>0</v>
      </c>
      <c r="CN124" s="84" t="n">
        <f aca="false">BX124+CH124+(1-$F124)*CK124</f>
        <v>0</v>
      </c>
      <c r="CO124" s="84" t="n">
        <f aca="false">BY124+CM124</f>
        <v>0</v>
      </c>
      <c r="CP124" s="133" t="n">
        <f aca="false">CC124+$D124*Inputs!$F$13-$D124*$E124</f>
        <v>17310.93</v>
      </c>
      <c r="CQ124" s="84" t="n">
        <f aca="false">CP124*(1+$I124)</f>
        <v>19042.023</v>
      </c>
      <c r="CR124" s="133" t="n">
        <f aca="false">CQ124*Inputs!$F$14</f>
        <v>0</v>
      </c>
      <c r="CS124" s="84" t="n">
        <f aca="false">CQ124-CR124</f>
        <v>19042.023</v>
      </c>
      <c r="CT124" s="133" t="n">
        <f aca="false">CF124+$D124*Inputs!$F$13</f>
        <v>16000</v>
      </c>
      <c r="CU124" s="84" t="n">
        <f aca="false">MIN(CR124,CT124)</f>
        <v>0</v>
      </c>
      <c r="CV124" s="84" t="n">
        <f aca="false">CT124-CU124</f>
        <v>16000</v>
      </c>
      <c r="CW124" s="84" t="n">
        <f aca="false">CI124+$G124*(CT124+CI124)</f>
        <v>3466.40384</v>
      </c>
      <c r="CX124" s="84" t="n">
        <f aca="false">MIN(CR124-CU124,CW124)</f>
        <v>0</v>
      </c>
      <c r="CY124" s="84" t="n">
        <f aca="false">CW124-CX124</f>
        <v>3466.40384</v>
      </c>
      <c r="CZ124" s="84" t="n">
        <f aca="false">IF($H124=1,MIN(CR124-CU124-CX124,MAX(0,$F124/(1-$F124)*(CN124+CX124)-CO124)),0)</f>
        <v>0</v>
      </c>
      <c r="DA124" s="84" t="n">
        <f aca="false">CR124-CU124-CX124-CZ124</f>
        <v>0</v>
      </c>
      <c r="DB124" s="84" t="n">
        <f aca="false">CU124+CX124+(1-$F124)*DA124</f>
        <v>0</v>
      </c>
      <c r="DC124" s="84" t="n">
        <f aca="false">CZ124+$F124*DA124</f>
        <v>0</v>
      </c>
      <c r="DD124" s="84" t="n">
        <f aca="false">CN124+CX124+(1-$F124)*DA124</f>
        <v>0</v>
      </c>
      <c r="DE124" s="84" t="n">
        <f aca="false">CO124+DC124</f>
        <v>0</v>
      </c>
      <c r="DF124" s="133" t="n">
        <f aca="false">CS124+$D124*Inputs!$G$13-$D124*$E124</f>
        <v>22772.023</v>
      </c>
      <c r="DG124" s="84" t="n">
        <f aca="false">DF124*(1+$I124)</f>
        <v>25049.2253</v>
      </c>
      <c r="DH124" s="133" t="n">
        <f aca="false">DG124*Inputs!$G$14</f>
        <v>5009.84506</v>
      </c>
      <c r="DI124" s="84" t="n">
        <f aca="false">DG124-DH124</f>
        <v>20039.38024</v>
      </c>
      <c r="DJ124" s="133" t="n">
        <f aca="false">CV124+$D124*Inputs!$G$13</f>
        <v>20000</v>
      </c>
      <c r="DK124" s="84" t="n">
        <f aca="false">MIN(DH124,DJ124)</f>
        <v>5009.84506</v>
      </c>
      <c r="DL124" s="84" t="n">
        <f aca="false">DJ124-DK124</f>
        <v>14990.15494</v>
      </c>
      <c r="DM124" s="84" t="n">
        <f aca="false">CY124+$G124*(DJ124+CY124)</f>
        <v>5343.7161472</v>
      </c>
      <c r="DN124" s="84" t="n">
        <f aca="false">MIN(DH124-DK124,DM124)</f>
        <v>0</v>
      </c>
      <c r="DO124" s="84" t="n">
        <f aca="false">DM124-DN124</f>
        <v>5343.7161472</v>
      </c>
      <c r="DP124" s="84" t="n">
        <f aca="false">IF($H124=1,MIN(DH124-DK124-DN124,MAX(0,$F124/(1-$F124)*(DD124+DN124)-DE124)),0)</f>
        <v>0</v>
      </c>
      <c r="DQ124" s="84" t="n">
        <f aca="false">DH124-DK124-DN124-DP124</f>
        <v>0</v>
      </c>
      <c r="DR124" s="84" t="n">
        <f aca="false">DK124+DN124+(1-$F124)*DQ124</f>
        <v>5009.84506</v>
      </c>
      <c r="DS124" s="84" t="n">
        <f aca="false">DP124+$F124*DQ124</f>
        <v>0</v>
      </c>
      <c r="DT124" s="84" t="n">
        <f aca="false">DD124+DN124+(1-$F124)*DQ124</f>
        <v>0</v>
      </c>
      <c r="DU124" s="84" t="n">
        <f aca="false">DE124+DS124</f>
        <v>0</v>
      </c>
      <c r="DV124" s="133" t="n">
        <f aca="false">DI124+$D124*Inputs!$H$13-$D124*$E124</f>
        <v>19769.38024</v>
      </c>
      <c r="DW124" s="84" t="n">
        <f aca="false">DV124*(1+$I124)</f>
        <v>21746.318264</v>
      </c>
      <c r="DX124" s="133" t="n">
        <f aca="false">DW124*Inputs!$H$14</f>
        <v>4349.2636528</v>
      </c>
      <c r="DY124" s="84" t="n">
        <f aca="false">DW124-DX124</f>
        <v>17397.0546112</v>
      </c>
      <c r="DZ124" s="133" t="n">
        <f aca="false">DL124+$D124*Inputs!$H$13</f>
        <v>14990.15494</v>
      </c>
      <c r="EA124" s="84" t="n">
        <f aca="false">MIN(DX124,DZ124)</f>
        <v>4349.2636528</v>
      </c>
      <c r="EB124" s="84" t="n">
        <f aca="false">DZ124-EA124</f>
        <v>10640.8912872</v>
      </c>
      <c r="EC124" s="84" t="n">
        <f aca="false">DO124+$G124*(DZ124+DO124)</f>
        <v>6970.425834176</v>
      </c>
      <c r="ED124" s="84" t="n">
        <f aca="false">MIN(DX124-EA124,EC124)</f>
        <v>0</v>
      </c>
      <c r="EE124" s="84" t="n">
        <f aca="false">EC124-ED124</f>
        <v>6970.425834176</v>
      </c>
      <c r="EF124" s="84" t="n">
        <f aca="false">IF($H124=1,MIN(DX124-EA124-ED124,MAX(0,$F124/(1-$F124)*(DT124+ED124)-DU124)),0)</f>
        <v>0</v>
      </c>
      <c r="EG124" s="84" t="n">
        <f aca="false">DX124-EA124-ED124-EF124</f>
        <v>0</v>
      </c>
      <c r="EH124" s="84" t="n">
        <f aca="false">EA124+ED124+(1-$F124)*EG124</f>
        <v>4349.2636528</v>
      </c>
      <c r="EI124" s="84" t="n">
        <f aca="false">EF124+$F124*EG124</f>
        <v>0</v>
      </c>
      <c r="EJ124" s="84" t="n">
        <f aca="false">DT124+ED124+(1-$F124)*EG124</f>
        <v>0</v>
      </c>
      <c r="EK124" s="84" t="n">
        <f aca="false">DU124+EI124</f>
        <v>0</v>
      </c>
      <c r="EL124" s="133" t="n">
        <f aca="false">DY124+$D124*Inputs!$I$13-$D124*$E124</f>
        <v>17127.0546112</v>
      </c>
      <c r="EM124" s="84" t="n">
        <f aca="false">EL124*(1+$I124)</f>
        <v>18839.76007232</v>
      </c>
      <c r="EN124" s="133" t="n">
        <f aca="false">EM124*Inputs!$I$14</f>
        <v>3767.952014464</v>
      </c>
      <c r="EO124" s="84" t="n">
        <f aca="false">EM124-EN124</f>
        <v>15071.808057856</v>
      </c>
      <c r="EP124" s="133" t="n">
        <f aca="false">EB124+$D124*Inputs!$I$13</f>
        <v>10640.8912872</v>
      </c>
      <c r="EQ124" s="84" t="n">
        <f aca="false">MIN(EN124,EP124)</f>
        <v>3767.952014464</v>
      </c>
      <c r="ER124" s="84" t="n">
        <f aca="false">EP124-EQ124</f>
        <v>6872.939272736</v>
      </c>
      <c r="ES124" s="84" t="n">
        <f aca="false">EE124+$G124*(EP124+EE124)</f>
        <v>8379.33120388608</v>
      </c>
      <c r="ET124" s="84" t="n">
        <f aca="false">MIN(EN124-EQ124,ES124)</f>
        <v>0</v>
      </c>
      <c r="EU124" s="84" t="n">
        <f aca="false">ES124-ET124</f>
        <v>8379.33120388608</v>
      </c>
      <c r="EV124" s="84" t="n">
        <f aca="false">IF($H124=1,MIN(EN124-EQ124-ET124,MAX(0,$F124/(1-$F124)*(EJ124+ET124)-EK124)),0)</f>
        <v>0</v>
      </c>
      <c r="EW124" s="84" t="n">
        <f aca="false">EN124-EQ124-ET124-EV124</f>
        <v>0</v>
      </c>
      <c r="EX124" s="84" t="n">
        <f aca="false">EQ124+ET124+(1-$F124)*EW124</f>
        <v>3767.952014464</v>
      </c>
      <c r="EY124" s="84" t="n">
        <f aca="false">EV124+$F124*EW124</f>
        <v>0</v>
      </c>
      <c r="EZ124" s="84" t="n">
        <f aca="false">EJ124+ET124+(1-$F124)*EW124</f>
        <v>0</v>
      </c>
      <c r="FA124" s="84" t="n">
        <f aca="false">EK124+EY124</f>
        <v>0</v>
      </c>
      <c r="FB124" s="133" t="n">
        <f aca="false">EO124+$D124*Inputs!$J$13-$D124*$E124</f>
        <v>14801.808057856</v>
      </c>
      <c r="FC124" s="84" t="n">
        <f aca="false">FB124*(1+$I124)</f>
        <v>16281.9888636416</v>
      </c>
      <c r="FD124" s="133" t="n">
        <f aca="false">FC124*Inputs!$J$14</f>
        <v>3256.39777272832</v>
      </c>
      <c r="FE124" s="84" t="n">
        <f aca="false">FC124-FD124</f>
        <v>13025.5910909133</v>
      </c>
      <c r="FF124" s="133" t="n">
        <f aca="false">ER124+$D124*Inputs!$J$13</f>
        <v>6872.939272736</v>
      </c>
      <c r="FG124" s="84" t="n">
        <f aca="false">MIN(FD124,FF124)</f>
        <v>3256.39777272832</v>
      </c>
      <c r="FH124" s="84" t="n">
        <f aca="false">FF124-FG124</f>
        <v>3616.54150000768</v>
      </c>
      <c r="FI124" s="84" t="n">
        <f aca="false">EU124+$G124*(FF124+EU124)</f>
        <v>9599.51284201585</v>
      </c>
      <c r="FJ124" s="84" t="n">
        <f aca="false">MIN(FD124-FG124,FI124)</f>
        <v>0</v>
      </c>
      <c r="FK124" s="84" t="n">
        <f aca="false">FI124-FJ124</f>
        <v>9599.51284201585</v>
      </c>
      <c r="FL124" s="84" t="n">
        <f aca="false">IF($H124=1,MIN(FD124-FG124-FJ124,MAX(0,$F124/(1-$F124)*(EZ124+FJ124)-FA124)),0)</f>
        <v>0</v>
      </c>
      <c r="FM124" s="84" t="n">
        <f aca="false">FD124-FG124-FJ124-FL124</f>
        <v>0</v>
      </c>
      <c r="FN124" s="84" t="n">
        <f aca="false">FG124+FJ124+(1-$F124)*FM124</f>
        <v>3256.39777272832</v>
      </c>
      <c r="FO124" s="84" t="n">
        <f aca="false">FL124+$F124*FM124</f>
        <v>0</v>
      </c>
      <c r="FP124" s="84" t="n">
        <f aca="false">EZ124+FJ124+(1-$F124)*FM124</f>
        <v>0</v>
      </c>
      <c r="FQ124" s="84" t="n">
        <f aca="false">FA124+FO124</f>
        <v>0</v>
      </c>
      <c r="FR124" s="133" t="n">
        <f aca="false">FE124+$D124*Inputs!$K$13-$D124*$E124</f>
        <v>12755.5910909133</v>
      </c>
      <c r="FS124" s="84" t="n">
        <f aca="false">FR124*(1+$I124)</f>
        <v>14031.1502000046</v>
      </c>
      <c r="FT124" s="133" t="n">
        <f aca="false">FS124*Inputs!$K$14</f>
        <v>2806.23004000092</v>
      </c>
      <c r="FU124" s="84" t="n">
        <f aca="false">FS124-FT124</f>
        <v>11224.9201600037</v>
      </c>
      <c r="FV124" s="133" t="n">
        <f aca="false">FH124+$D124*Inputs!$K$13</f>
        <v>3616.54150000768</v>
      </c>
      <c r="FW124" s="84" t="n">
        <f aca="false">MIN(FT124,FV124)</f>
        <v>2806.23004000092</v>
      </c>
      <c r="FX124" s="84" t="n">
        <f aca="false">FV124-FW124</f>
        <v>810.311460006753</v>
      </c>
      <c r="FY124" s="84" t="n">
        <f aca="false">FK124+$G124*(FV124+FK124)</f>
        <v>10656.7971893777</v>
      </c>
      <c r="FZ124" s="84" t="n">
        <f aca="false">MIN(FT124-FW124,FY124)</f>
        <v>0</v>
      </c>
      <c r="GA124" s="84" t="n">
        <f aca="false">FY124-FZ124</f>
        <v>10656.7971893777</v>
      </c>
      <c r="GB124" s="84" t="n">
        <f aca="false">IF($H124=1,MIN(FT124-FW124-FZ124,MAX(0,$F124/(1-$F124)*(FP124+FZ124)-FQ124)),0)</f>
        <v>0</v>
      </c>
      <c r="GC124" s="84" t="n">
        <f aca="false">FT124-FW124-FZ124-GB124</f>
        <v>0</v>
      </c>
      <c r="GD124" s="84" t="n">
        <f aca="false">FW124+FZ124+(1-$F124)*GC124</f>
        <v>2806.23004000092</v>
      </c>
      <c r="GE124" s="84" t="n">
        <f aca="false">GB124+$F124*GC124</f>
        <v>0</v>
      </c>
      <c r="GF124" s="84" t="n">
        <f aca="false">FP124+FZ124+(1-$F124)*GC124</f>
        <v>0</v>
      </c>
      <c r="GG124" s="84" t="n">
        <f aca="false">FQ124+GE124</f>
        <v>0</v>
      </c>
      <c r="GH124" s="133" t="n">
        <f aca="false">FU124+$D124*Inputs!$L$13-$D124*$E124</f>
        <v>10954.9201600037</v>
      </c>
      <c r="GI124" s="84" t="n">
        <f aca="false">GH124*(1+$I124)</f>
        <v>12050.4121760041</v>
      </c>
      <c r="GJ124" s="133" t="n">
        <f aca="false">GI124*Inputs!$L$14</f>
        <v>12050.4121760041</v>
      </c>
      <c r="GK124" s="84" t="n">
        <f aca="false">GI124-GJ124</f>
        <v>0</v>
      </c>
      <c r="GL124" s="133" t="n">
        <f aca="false">FX124+$D124*Inputs!$L$13</f>
        <v>810.311460006753</v>
      </c>
      <c r="GM124" s="84" t="n">
        <f aca="false">MIN(GJ124,GL124)</f>
        <v>810.311460006753</v>
      </c>
      <c r="GN124" s="84" t="n">
        <f aca="false">GL124-GM124</f>
        <v>0</v>
      </c>
      <c r="GO124" s="84" t="n">
        <f aca="false">GA124+$G124*(GL124+GA124)</f>
        <v>11574.1658813285</v>
      </c>
      <c r="GP124" s="84" t="n">
        <f aca="false">MIN(GJ124-GM124,GO124)</f>
        <v>11240.1007159973</v>
      </c>
      <c r="GQ124" s="84" t="n">
        <f aca="false">GO124-GP124</f>
        <v>334.065165331174</v>
      </c>
      <c r="GR124" s="84" t="n">
        <f aca="false">IF($H124=1,MIN(GJ124-GM124-GP124,MAX(0,$F124/(1-$F124)*(GF124+GP124)-GG124)),0)</f>
        <v>0</v>
      </c>
      <c r="GS124" s="84" t="n">
        <f aca="false">GJ124-GM124-GP124-GR124</f>
        <v>0</v>
      </c>
      <c r="GT124" s="84" t="n">
        <f aca="false">GM124+GP124+(1-$F124)*GS124</f>
        <v>12050.4121760041</v>
      </c>
      <c r="GU124" s="84" t="n">
        <f aca="false">GR124+$F124*GS124</f>
        <v>0</v>
      </c>
      <c r="GV124" s="84" t="n">
        <f aca="false">GF124+GP124+(1-$F124)*GS124</f>
        <v>11240.1007159973</v>
      </c>
      <c r="GW124" s="84" t="n">
        <f aca="false">GG124+GU124</f>
        <v>0</v>
      </c>
    </row>
    <row r="125" customFormat="false" ht="15" hidden="false" customHeight="false" outlineLevel="0" collapsed="false">
      <c r="A125" s="5" t="s">
        <v>640</v>
      </c>
      <c r="B125" s="5" t="s">
        <v>428</v>
      </c>
      <c r="C125" s="135" t="n">
        <v>11</v>
      </c>
      <c r="D125" s="47" t="n">
        <f aca="false">Inputs!$C$6</f>
        <v>20000</v>
      </c>
      <c r="E125" s="35" t="n">
        <f aca="false">Inputs!$C$19</f>
        <v>0.0135</v>
      </c>
      <c r="F125" s="36" t="n">
        <f aca="false">Inputs!$C$20</f>
        <v>0.2</v>
      </c>
      <c r="G125" s="36" t="n">
        <f aca="false">Inputs!$C$22</f>
        <v>0.08</v>
      </c>
      <c r="H125" s="44" t="n">
        <f aca="false">Inputs!$C$23</f>
        <v>1</v>
      </c>
      <c r="I125" s="132" t="n">
        <f aca="false">Inputs!$C$38+$C125*Inputs!$C$39</f>
        <v>0.11</v>
      </c>
      <c r="J125" s="36" t="n">
        <f aca="false">Inputs!$C$9</f>
        <v>0.15</v>
      </c>
      <c r="K125" s="89" t="n">
        <f aca="false">IRR(W125:AG125,0.1)</f>
        <v>0.08</v>
      </c>
      <c r="L125" s="45" t="n">
        <f aca="false">W125+NPV($J125,X125:AG125)</f>
        <v>-4649.88433574214</v>
      </c>
      <c r="M125" s="45" t="n">
        <f aca="false">SUM(BF125,BV125,CL125,DB125,DR125,EH125,EX125,FN125,GD125,GT125)</f>
        <v>31347.437292514</v>
      </c>
      <c r="N125" s="43" t="n">
        <f aca="false">IF($D125*SUM(Inputs!$C$13:$L$13)=0,0,M125/($D125*SUM(Inputs!$C$13:$L$13)))</f>
        <v>1.5673718646257</v>
      </c>
      <c r="O125" s="42" t="n">
        <f aca="false">$D125*$E125*COLUMNS(Inputs!$C$13:$L$13)</f>
        <v>2700</v>
      </c>
      <c r="P125" s="45" t="n">
        <f aca="false">SUM(BG125,BW125,CM125,DC125,DS125,EI125,EY125,FO125,GE125,GU125)</f>
        <v>1776.2836861677</v>
      </c>
      <c r="Q125" s="42" t="n">
        <f aca="false">PV($J125,COLUMNS(Inputs!$C$13:$L$13),-$D125*$E125,0,1)</f>
        <v>1558.32765832774</v>
      </c>
      <c r="R125" s="45" t="n">
        <f aca="false">NPV($J125,BG125,BW125,CM125,DC125,DS125,EI125,EY125,FO125,GE125,GU125)</f>
        <v>439.070160954428</v>
      </c>
      <c r="S125" s="45" t="n">
        <f aca="false">Q125+R125</f>
        <v>1997.39781928217</v>
      </c>
      <c r="T125" s="32" t="n">
        <f aca="false">IF(S125=0,0,Q125/S125)</f>
        <v>0.780178912425056</v>
      </c>
      <c r="U125" s="45" t="n">
        <f aca="false">ROUND(ABS(GK125)+ABS(SUM(AV125,BL125,CB125,CR125,DH125,DX125,EN125,FD125,FT125,GJ125)-M125-P125)+ABS(S125-(AH125+NPV($J125,AI125:AR125))),6)</f>
        <v>0</v>
      </c>
      <c r="W125" s="133" t="n">
        <f aca="false">-$D125*Inputs!$C$13</f>
        <v>-4000</v>
      </c>
      <c r="X125" s="133" t="n">
        <f aca="false">BF125-$D125*Inputs!$D$13</f>
        <v>-4000</v>
      </c>
      <c r="Y125" s="133" t="n">
        <f aca="false">BV125-$D125*Inputs!$E$13</f>
        <v>-4000</v>
      </c>
      <c r="Z125" s="133" t="n">
        <f aca="false">CL125-$D125*Inputs!$F$13</f>
        <v>-4000</v>
      </c>
      <c r="AA125" s="133" t="n">
        <f aca="false">DB125-$D125*Inputs!$G$13</f>
        <v>-4000</v>
      </c>
      <c r="AB125" s="133" t="n">
        <f aca="false">DR125-$D125*Inputs!$H$13</f>
        <v>5156.9932355646</v>
      </c>
      <c r="AC125" s="133" t="n">
        <f aca="false">EH125-$D125*Inputs!$I$13</f>
        <v>4519.46999318137</v>
      </c>
      <c r="AD125" s="133" t="n">
        <f aca="false">EX125-$D125*Inputs!$J$13</f>
        <v>3953.34935394505</v>
      </c>
      <c r="AE125" s="133" t="n">
        <f aca="false">FN125-$D125*Inputs!$K$13</f>
        <v>3450.63422630321</v>
      </c>
      <c r="AF125" s="133" t="n">
        <f aca="false">GD125-$D125*Inputs!$L$13</f>
        <v>3004.22319295725</v>
      </c>
      <c r="AG125" s="84" t="n">
        <f aca="false">GT125</f>
        <v>11262.7672905625</v>
      </c>
      <c r="AH125" s="84" t="n">
        <f aca="false">$D125*$E125</f>
        <v>270</v>
      </c>
      <c r="AI125" s="84" t="n">
        <f aca="false">BG125+$D125*$E125</f>
        <v>270</v>
      </c>
      <c r="AJ125" s="84" t="n">
        <f aca="false">BW125+$D125*$E125</f>
        <v>270</v>
      </c>
      <c r="AK125" s="84" t="n">
        <f aca="false">CM125+$D125*$E125</f>
        <v>270</v>
      </c>
      <c r="AL125" s="84" t="n">
        <f aca="false">DC125+$D125*$E125</f>
        <v>270</v>
      </c>
      <c r="AM125" s="84" t="n">
        <f aca="false">DS125+$D125*$E125</f>
        <v>270</v>
      </c>
      <c r="AN125" s="84" t="n">
        <f aca="false">EI125+$D125*$E125</f>
        <v>270</v>
      </c>
      <c r="AO125" s="84" t="n">
        <f aca="false">EY125+$D125*$E125</f>
        <v>270</v>
      </c>
      <c r="AP125" s="84" t="n">
        <f aca="false">FO125+$D125*$E125</f>
        <v>270</v>
      </c>
      <c r="AQ125" s="84" t="n">
        <f aca="false">GE125+$D125*$E125</f>
        <v>270</v>
      </c>
      <c r="AR125" s="84" t="n">
        <f aca="false">GU125</f>
        <v>1776.2836861677</v>
      </c>
      <c r="AT125" s="133" t="n">
        <f aca="false">$D125*Inputs!$C$13-$D125*$E125</f>
        <v>3730</v>
      </c>
      <c r="AU125" s="84" t="n">
        <f aca="false">AT125*(1+$I125)</f>
        <v>4140.3</v>
      </c>
      <c r="AV125" s="133" t="n">
        <f aca="false">AU125*Inputs!$C$14</f>
        <v>0</v>
      </c>
      <c r="AW125" s="84" t="n">
        <f aca="false">AU125-AV125</f>
        <v>4140.3</v>
      </c>
      <c r="AX125" s="133" t="n">
        <f aca="false">$D125*Inputs!$C$13</f>
        <v>4000</v>
      </c>
      <c r="AY125" s="84" t="n">
        <f aca="false">MIN(AV125,AX125)</f>
        <v>0</v>
      </c>
      <c r="AZ125" s="84" t="n">
        <f aca="false">AX125-AY125</f>
        <v>4000</v>
      </c>
      <c r="BA125" s="84" t="n">
        <f aca="false">$G125*AX125</f>
        <v>320</v>
      </c>
      <c r="BB125" s="84" t="n">
        <f aca="false">MIN(AV125-AY125,BA125)</f>
        <v>0</v>
      </c>
      <c r="BC125" s="84" t="n">
        <f aca="false">BA125-BB125</f>
        <v>320</v>
      </c>
      <c r="BD125" s="84" t="n">
        <f aca="false">IF($H125=1,MIN(AV125-AY125-BB125,MAX(0,$F125/(1-$F125)*BB125)),0)</f>
        <v>0</v>
      </c>
      <c r="BE125" s="84" t="n">
        <f aca="false">AV125-AY125-BB125-BD125</f>
        <v>0</v>
      </c>
      <c r="BF125" s="84" t="n">
        <f aca="false">AY125+BB125+(1-$F125)*BE125</f>
        <v>0</v>
      </c>
      <c r="BG125" s="84" t="n">
        <f aca="false">BD125+$F125*BE125</f>
        <v>0</v>
      </c>
      <c r="BH125" s="84" t="n">
        <f aca="false">BB125+(1-$F125)*BE125</f>
        <v>0</v>
      </c>
      <c r="BI125" s="84" t="n">
        <f aca="false">BG125</f>
        <v>0</v>
      </c>
      <c r="BJ125" s="133" t="n">
        <f aca="false">AW125+$D125*Inputs!$D$13-$D125*$E125</f>
        <v>7870.3</v>
      </c>
      <c r="BK125" s="84" t="n">
        <f aca="false">BJ125*(1+$I125)</f>
        <v>8736.033</v>
      </c>
      <c r="BL125" s="133" t="n">
        <f aca="false">BK125*Inputs!$D$14</f>
        <v>0</v>
      </c>
      <c r="BM125" s="84" t="n">
        <f aca="false">BK125-BL125</f>
        <v>8736.033</v>
      </c>
      <c r="BN125" s="133" t="n">
        <f aca="false">AZ125+$D125*Inputs!$D$13</f>
        <v>8000</v>
      </c>
      <c r="BO125" s="84" t="n">
        <f aca="false">MIN(BL125,BN125)</f>
        <v>0</v>
      </c>
      <c r="BP125" s="84" t="n">
        <f aca="false">BN125-BO125</f>
        <v>8000</v>
      </c>
      <c r="BQ125" s="84" t="n">
        <f aca="false">BC125+$G125*(BN125+BC125)</f>
        <v>985.6</v>
      </c>
      <c r="BR125" s="84" t="n">
        <f aca="false">MIN(BL125-BO125,BQ125)</f>
        <v>0</v>
      </c>
      <c r="BS125" s="84" t="n">
        <f aca="false">BQ125-BR125</f>
        <v>985.6</v>
      </c>
      <c r="BT125" s="84" t="n">
        <f aca="false">IF($H125=1,MIN(BL125-BO125-BR125,MAX(0,$F125/(1-$F125)*(BH125+BR125)-BI125)),0)</f>
        <v>0</v>
      </c>
      <c r="BU125" s="84" t="n">
        <f aca="false">BL125-BO125-BR125-BT125</f>
        <v>0</v>
      </c>
      <c r="BV125" s="84" t="n">
        <f aca="false">BO125+BR125+(1-$F125)*BU125</f>
        <v>0</v>
      </c>
      <c r="BW125" s="84" t="n">
        <f aca="false">BT125+$F125*BU125</f>
        <v>0</v>
      </c>
      <c r="BX125" s="84" t="n">
        <f aca="false">BH125+BR125+(1-$F125)*BU125</f>
        <v>0</v>
      </c>
      <c r="BY125" s="84" t="n">
        <f aca="false">BI125+BW125</f>
        <v>0</v>
      </c>
      <c r="BZ125" s="133" t="n">
        <f aca="false">BM125+$D125*Inputs!$E$13-$D125*$E125</f>
        <v>12466.033</v>
      </c>
      <c r="CA125" s="84" t="n">
        <f aca="false">BZ125*(1+$I125)</f>
        <v>13837.29663</v>
      </c>
      <c r="CB125" s="133" t="n">
        <f aca="false">CA125*Inputs!$E$14</f>
        <v>0</v>
      </c>
      <c r="CC125" s="84" t="n">
        <f aca="false">CA125-CB125</f>
        <v>13837.29663</v>
      </c>
      <c r="CD125" s="133" t="n">
        <f aca="false">BP125+$D125*Inputs!$E$13</f>
        <v>12000</v>
      </c>
      <c r="CE125" s="84" t="n">
        <f aca="false">MIN(CB125,CD125)</f>
        <v>0</v>
      </c>
      <c r="CF125" s="84" t="n">
        <f aca="false">CD125-CE125</f>
        <v>12000</v>
      </c>
      <c r="CG125" s="84" t="n">
        <f aca="false">BS125+$G125*(CD125+BS125)</f>
        <v>2024.448</v>
      </c>
      <c r="CH125" s="84" t="n">
        <f aca="false">MIN(CB125-CE125,CG125)</f>
        <v>0</v>
      </c>
      <c r="CI125" s="84" t="n">
        <f aca="false">CG125-CH125</f>
        <v>2024.448</v>
      </c>
      <c r="CJ125" s="84" t="n">
        <f aca="false">IF($H125=1,MIN(CB125-CE125-CH125,MAX(0,$F125/(1-$F125)*(BX125+CH125)-BY125)),0)</f>
        <v>0</v>
      </c>
      <c r="CK125" s="84" t="n">
        <f aca="false">CB125-CE125-CH125-CJ125</f>
        <v>0</v>
      </c>
      <c r="CL125" s="84" t="n">
        <f aca="false">CE125+CH125+(1-$F125)*CK125</f>
        <v>0</v>
      </c>
      <c r="CM125" s="84" t="n">
        <f aca="false">CJ125+$F125*CK125</f>
        <v>0</v>
      </c>
      <c r="CN125" s="84" t="n">
        <f aca="false">BX125+CH125+(1-$F125)*CK125</f>
        <v>0</v>
      </c>
      <c r="CO125" s="84" t="n">
        <f aca="false">BY125+CM125</f>
        <v>0</v>
      </c>
      <c r="CP125" s="133" t="n">
        <f aca="false">CC125+$D125*Inputs!$F$13-$D125*$E125</f>
        <v>17567.29663</v>
      </c>
      <c r="CQ125" s="84" t="n">
        <f aca="false">CP125*(1+$I125)</f>
        <v>19499.6992593</v>
      </c>
      <c r="CR125" s="133" t="n">
        <f aca="false">CQ125*Inputs!$F$14</f>
        <v>0</v>
      </c>
      <c r="CS125" s="84" t="n">
        <f aca="false">CQ125-CR125</f>
        <v>19499.6992593</v>
      </c>
      <c r="CT125" s="133" t="n">
        <f aca="false">CF125+$D125*Inputs!$F$13</f>
        <v>16000</v>
      </c>
      <c r="CU125" s="84" t="n">
        <f aca="false">MIN(CR125,CT125)</f>
        <v>0</v>
      </c>
      <c r="CV125" s="84" t="n">
        <f aca="false">CT125-CU125</f>
        <v>16000</v>
      </c>
      <c r="CW125" s="84" t="n">
        <f aca="false">CI125+$G125*(CT125+CI125)</f>
        <v>3466.40384</v>
      </c>
      <c r="CX125" s="84" t="n">
        <f aca="false">MIN(CR125-CU125,CW125)</f>
        <v>0</v>
      </c>
      <c r="CY125" s="84" t="n">
        <f aca="false">CW125-CX125</f>
        <v>3466.40384</v>
      </c>
      <c r="CZ125" s="84" t="n">
        <f aca="false">IF($H125=1,MIN(CR125-CU125-CX125,MAX(0,$F125/(1-$F125)*(CN125+CX125)-CO125)),0)</f>
        <v>0</v>
      </c>
      <c r="DA125" s="84" t="n">
        <f aca="false">CR125-CU125-CX125-CZ125</f>
        <v>0</v>
      </c>
      <c r="DB125" s="84" t="n">
        <f aca="false">CU125+CX125+(1-$F125)*DA125</f>
        <v>0</v>
      </c>
      <c r="DC125" s="84" t="n">
        <f aca="false">CZ125+$F125*DA125</f>
        <v>0</v>
      </c>
      <c r="DD125" s="84" t="n">
        <f aca="false">CN125+CX125+(1-$F125)*DA125</f>
        <v>0</v>
      </c>
      <c r="DE125" s="84" t="n">
        <f aca="false">CO125+DC125</f>
        <v>0</v>
      </c>
      <c r="DF125" s="133" t="n">
        <f aca="false">CS125+$D125*Inputs!$G$13-$D125*$E125</f>
        <v>23229.6992593</v>
      </c>
      <c r="DG125" s="84" t="n">
        <f aca="false">DF125*(1+$I125)</f>
        <v>25784.966177823</v>
      </c>
      <c r="DH125" s="133" t="n">
        <f aca="false">DG125*Inputs!$G$14</f>
        <v>5156.9932355646</v>
      </c>
      <c r="DI125" s="84" t="n">
        <f aca="false">DG125-DH125</f>
        <v>20627.9729422584</v>
      </c>
      <c r="DJ125" s="133" t="n">
        <f aca="false">CV125+$D125*Inputs!$G$13</f>
        <v>20000</v>
      </c>
      <c r="DK125" s="84" t="n">
        <f aca="false">MIN(DH125,DJ125)</f>
        <v>5156.9932355646</v>
      </c>
      <c r="DL125" s="84" t="n">
        <f aca="false">DJ125-DK125</f>
        <v>14843.0067644354</v>
      </c>
      <c r="DM125" s="84" t="n">
        <f aca="false">CY125+$G125*(DJ125+CY125)</f>
        <v>5343.7161472</v>
      </c>
      <c r="DN125" s="84" t="n">
        <f aca="false">MIN(DH125-DK125,DM125)</f>
        <v>0</v>
      </c>
      <c r="DO125" s="84" t="n">
        <f aca="false">DM125-DN125</f>
        <v>5343.7161472</v>
      </c>
      <c r="DP125" s="84" t="n">
        <f aca="false">IF($H125=1,MIN(DH125-DK125-DN125,MAX(0,$F125/(1-$F125)*(DD125+DN125)-DE125)),0)</f>
        <v>0</v>
      </c>
      <c r="DQ125" s="84" t="n">
        <f aca="false">DH125-DK125-DN125-DP125</f>
        <v>0</v>
      </c>
      <c r="DR125" s="84" t="n">
        <f aca="false">DK125+DN125+(1-$F125)*DQ125</f>
        <v>5156.9932355646</v>
      </c>
      <c r="DS125" s="84" t="n">
        <f aca="false">DP125+$F125*DQ125</f>
        <v>0</v>
      </c>
      <c r="DT125" s="84" t="n">
        <f aca="false">DD125+DN125+(1-$F125)*DQ125</f>
        <v>0</v>
      </c>
      <c r="DU125" s="84" t="n">
        <f aca="false">DE125+DS125</f>
        <v>0</v>
      </c>
      <c r="DV125" s="133" t="n">
        <f aca="false">DI125+$D125*Inputs!$H$13-$D125*$E125</f>
        <v>20357.9729422584</v>
      </c>
      <c r="DW125" s="84" t="n">
        <f aca="false">DV125*(1+$I125)</f>
        <v>22597.3499659068</v>
      </c>
      <c r="DX125" s="133" t="n">
        <f aca="false">DW125*Inputs!$H$14</f>
        <v>4519.46999318137</v>
      </c>
      <c r="DY125" s="84" t="n">
        <f aca="false">DW125-DX125</f>
        <v>18077.8799727255</v>
      </c>
      <c r="DZ125" s="133" t="n">
        <f aca="false">DL125+$D125*Inputs!$H$13</f>
        <v>14843.0067644354</v>
      </c>
      <c r="EA125" s="84" t="n">
        <f aca="false">MIN(DX125,DZ125)</f>
        <v>4519.46999318137</v>
      </c>
      <c r="EB125" s="84" t="n">
        <f aca="false">DZ125-EA125</f>
        <v>10323.536771254</v>
      </c>
      <c r="EC125" s="84" t="n">
        <f aca="false">DO125+$G125*(DZ125+DO125)</f>
        <v>6958.65398013083</v>
      </c>
      <c r="ED125" s="84" t="n">
        <f aca="false">MIN(DX125-EA125,EC125)</f>
        <v>0</v>
      </c>
      <c r="EE125" s="84" t="n">
        <f aca="false">EC125-ED125</f>
        <v>6958.65398013083</v>
      </c>
      <c r="EF125" s="84" t="n">
        <f aca="false">IF($H125=1,MIN(DX125-EA125-ED125,MAX(0,$F125/(1-$F125)*(DT125+ED125)-DU125)),0)</f>
        <v>0</v>
      </c>
      <c r="EG125" s="84" t="n">
        <f aca="false">DX125-EA125-ED125-EF125</f>
        <v>0</v>
      </c>
      <c r="EH125" s="84" t="n">
        <f aca="false">EA125+ED125+(1-$F125)*EG125</f>
        <v>4519.46999318137</v>
      </c>
      <c r="EI125" s="84" t="n">
        <f aca="false">EF125+$F125*EG125</f>
        <v>0</v>
      </c>
      <c r="EJ125" s="84" t="n">
        <f aca="false">DT125+ED125+(1-$F125)*EG125</f>
        <v>0</v>
      </c>
      <c r="EK125" s="84" t="n">
        <f aca="false">DU125+EI125</f>
        <v>0</v>
      </c>
      <c r="EL125" s="133" t="n">
        <f aca="false">DY125+$D125*Inputs!$I$13-$D125*$E125</f>
        <v>17807.8799727255</v>
      </c>
      <c r="EM125" s="84" t="n">
        <f aca="false">EL125*(1+$I125)</f>
        <v>19766.7467697253</v>
      </c>
      <c r="EN125" s="133" t="n">
        <f aca="false">EM125*Inputs!$I$14</f>
        <v>3953.34935394505</v>
      </c>
      <c r="EO125" s="84" t="n">
        <f aca="false">EM125-EN125</f>
        <v>15813.3974157802</v>
      </c>
      <c r="EP125" s="133" t="n">
        <f aca="false">EB125+$D125*Inputs!$I$13</f>
        <v>10323.536771254</v>
      </c>
      <c r="EQ125" s="84" t="n">
        <f aca="false">MIN(EN125,EP125)</f>
        <v>3953.34935394505</v>
      </c>
      <c r="ER125" s="84" t="n">
        <f aca="false">EP125-EQ125</f>
        <v>6370.18741730898</v>
      </c>
      <c r="ES125" s="84" t="n">
        <f aca="false">EE125+$G125*(EP125+EE125)</f>
        <v>8341.22924024162</v>
      </c>
      <c r="ET125" s="84" t="n">
        <f aca="false">MIN(EN125-EQ125,ES125)</f>
        <v>0</v>
      </c>
      <c r="EU125" s="84" t="n">
        <f aca="false">ES125-ET125</f>
        <v>8341.22924024162</v>
      </c>
      <c r="EV125" s="84" t="n">
        <f aca="false">IF($H125=1,MIN(EN125-EQ125-ET125,MAX(0,$F125/(1-$F125)*(EJ125+ET125)-EK125)),0)</f>
        <v>0</v>
      </c>
      <c r="EW125" s="84" t="n">
        <f aca="false">EN125-EQ125-ET125-EV125</f>
        <v>0</v>
      </c>
      <c r="EX125" s="84" t="n">
        <f aca="false">EQ125+ET125+(1-$F125)*EW125</f>
        <v>3953.34935394505</v>
      </c>
      <c r="EY125" s="84" t="n">
        <f aca="false">EV125+$F125*EW125</f>
        <v>0</v>
      </c>
      <c r="EZ125" s="84" t="n">
        <f aca="false">EJ125+ET125+(1-$F125)*EW125</f>
        <v>0</v>
      </c>
      <c r="FA125" s="84" t="n">
        <f aca="false">EK125+EY125</f>
        <v>0</v>
      </c>
      <c r="FB125" s="133" t="n">
        <f aca="false">EO125+$D125*Inputs!$J$13-$D125*$E125</f>
        <v>15543.3974157802</v>
      </c>
      <c r="FC125" s="84" t="n">
        <f aca="false">FB125*(1+$I125)</f>
        <v>17253.171131516</v>
      </c>
      <c r="FD125" s="133" t="n">
        <f aca="false">FC125*Inputs!$J$14</f>
        <v>3450.63422630321</v>
      </c>
      <c r="FE125" s="84" t="n">
        <f aca="false">FC125-FD125</f>
        <v>13802.5369052128</v>
      </c>
      <c r="FF125" s="133" t="n">
        <f aca="false">ER125+$D125*Inputs!$J$13</f>
        <v>6370.18741730898</v>
      </c>
      <c r="FG125" s="84" t="n">
        <f aca="false">MIN(FD125,FF125)</f>
        <v>3450.63422630321</v>
      </c>
      <c r="FH125" s="84" t="n">
        <f aca="false">FF125-FG125</f>
        <v>2919.55319100577</v>
      </c>
      <c r="FI125" s="84" t="n">
        <f aca="false">EU125+$G125*(FF125+EU125)</f>
        <v>9518.14257284567</v>
      </c>
      <c r="FJ125" s="84" t="n">
        <f aca="false">MIN(FD125-FG125,FI125)</f>
        <v>0</v>
      </c>
      <c r="FK125" s="84" t="n">
        <f aca="false">FI125-FJ125</f>
        <v>9518.14257284567</v>
      </c>
      <c r="FL125" s="84" t="n">
        <f aca="false">IF($H125=1,MIN(FD125-FG125-FJ125,MAX(0,$F125/(1-$F125)*(EZ125+FJ125)-FA125)),0)</f>
        <v>0</v>
      </c>
      <c r="FM125" s="84" t="n">
        <f aca="false">FD125-FG125-FJ125-FL125</f>
        <v>0</v>
      </c>
      <c r="FN125" s="84" t="n">
        <f aca="false">FG125+FJ125+(1-$F125)*FM125</f>
        <v>3450.63422630321</v>
      </c>
      <c r="FO125" s="84" t="n">
        <f aca="false">FL125+$F125*FM125</f>
        <v>0</v>
      </c>
      <c r="FP125" s="84" t="n">
        <f aca="false">EZ125+FJ125+(1-$F125)*FM125</f>
        <v>0</v>
      </c>
      <c r="FQ125" s="84" t="n">
        <f aca="false">FA125+FO125</f>
        <v>0</v>
      </c>
      <c r="FR125" s="133" t="n">
        <f aca="false">FE125+$D125*Inputs!$K$13-$D125*$E125</f>
        <v>13532.5369052128</v>
      </c>
      <c r="FS125" s="84" t="n">
        <f aca="false">FR125*(1+$I125)</f>
        <v>15021.1159647862</v>
      </c>
      <c r="FT125" s="133" t="n">
        <f aca="false">FS125*Inputs!$K$14</f>
        <v>3004.22319295725</v>
      </c>
      <c r="FU125" s="84" t="n">
        <f aca="false">FS125-FT125</f>
        <v>12016.892771829</v>
      </c>
      <c r="FV125" s="133" t="n">
        <f aca="false">FH125+$D125*Inputs!$K$13</f>
        <v>2919.55319100577</v>
      </c>
      <c r="FW125" s="84" t="n">
        <f aca="false">MIN(FT125,FV125)</f>
        <v>2919.55319100577</v>
      </c>
      <c r="FX125" s="84" t="n">
        <f aca="false">FV125-FW125</f>
        <v>0</v>
      </c>
      <c r="FY125" s="84" t="n">
        <f aca="false">FK125+$G125*(FV125+FK125)</f>
        <v>10513.1582339538</v>
      </c>
      <c r="FZ125" s="84" t="n">
        <f aca="false">MIN(FT125-FW125,FY125)</f>
        <v>84.670001951481</v>
      </c>
      <c r="GA125" s="84" t="n">
        <f aca="false">FY125-FZ125</f>
        <v>10428.4882320023</v>
      </c>
      <c r="GB125" s="84" t="n">
        <f aca="false">IF($H125=1,MIN(FT125-FW125-FZ125,MAX(0,$F125/(1-$F125)*(FP125+FZ125)-FQ125)),0)</f>
        <v>0</v>
      </c>
      <c r="GC125" s="84" t="n">
        <f aca="false">FT125-FW125-FZ125-GB125</f>
        <v>0</v>
      </c>
      <c r="GD125" s="84" t="n">
        <f aca="false">FW125+FZ125+(1-$F125)*GC125</f>
        <v>3004.22319295725</v>
      </c>
      <c r="GE125" s="84" t="n">
        <f aca="false">GB125+$F125*GC125</f>
        <v>0</v>
      </c>
      <c r="GF125" s="84" t="n">
        <f aca="false">FP125+FZ125+(1-$F125)*GC125</f>
        <v>84.670001951481</v>
      </c>
      <c r="GG125" s="84" t="n">
        <f aca="false">FQ125+GE125</f>
        <v>0</v>
      </c>
      <c r="GH125" s="133" t="n">
        <f aca="false">FU125+$D125*Inputs!$L$13-$D125*$E125</f>
        <v>11746.892771829</v>
      </c>
      <c r="GI125" s="84" t="n">
        <f aca="false">GH125*(1+$I125)</f>
        <v>13039.0509767302</v>
      </c>
      <c r="GJ125" s="133" t="n">
        <f aca="false">GI125*Inputs!$L$14</f>
        <v>13039.0509767302</v>
      </c>
      <c r="GK125" s="84" t="n">
        <f aca="false">GI125-GJ125</f>
        <v>0</v>
      </c>
      <c r="GL125" s="133" t="n">
        <f aca="false">FX125+$D125*Inputs!$L$13</f>
        <v>0</v>
      </c>
      <c r="GM125" s="84" t="n">
        <f aca="false">MIN(GJ125,GL125)</f>
        <v>0</v>
      </c>
      <c r="GN125" s="84" t="n">
        <f aca="false">GL125-GM125</f>
        <v>0</v>
      </c>
      <c r="GO125" s="84" t="n">
        <f aca="false">GA125+$G125*(GL125+GA125)</f>
        <v>11262.7672905625</v>
      </c>
      <c r="GP125" s="84" t="n">
        <f aca="false">MIN(GJ125-GM125,GO125)</f>
        <v>11262.7672905625</v>
      </c>
      <c r="GQ125" s="84" t="n">
        <f aca="false">GO125-GP125</f>
        <v>0</v>
      </c>
      <c r="GR125" s="84" t="n">
        <f aca="false">IF($H125=1,MIN(GJ125-GM125-GP125,MAX(0,$F125/(1-$F125)*(GF125+GP125)-GG125)),0)</f>
        <v>1776.2836861677</v>
      </c>
      <c r="GS125" s="84" t="n">
        <f aca="false">GJ125-GM125-GP125-GR125</f>
        <v>0</v>
      </c>
      <c r="GT125" s="84" t="n">
        <f aca="false">GM125+GP125+(1-$F125)*GS125</f>
        <v>11262.7672905625</v>
      </c>
      <c r="GU125" s="84" t="n">
        <f aca="false">GR125+$F125*GS125</f>
        <v>1776.2836861677</v>
      </c>
      <c r="GV125" s="84" t="n">
        <f aca="false">GF125+GP125+(1-$F125)*GS125</f>
        <v>11347.437292514</v>
      </c>
      <c r="GW125" s="84" t="n">
        <f aca="false">GG125+GU125</f>
        <v>1776.2836861677</v>
      </c>
    </row>
    <row r="126" customFormat="false" ht="15" hidden="false" customHeight="false" outlineLevel="0" collapsed="false">
      <c r="A126" s="5" t="s">
        <v>640</v>
      </c>
      <c r="B126" s="5" t="s">
        <v>428</v>
      </c>
      <c r="C126" s="135" t="n">
        <v>12</v>
      </c>
      <c r="D126" s="47" t="n">
        <f aca="false">Inputs!$C$6</f>
        <v>20000</v>
      </c>
      <c r="E126" s="35" t="n">
        <f aca="false">Inputs!$C$19</f>
        <v>0.0135</v>
      </c>
      <c r="F126" s="36" t="n">
        <f aca="false">Inputs!$C$20</f>
        <v>0.2</v>
      </c>
      <c r="G126" s="36" t="n">
        <f aca="false">Inputs!$C$22</f>
        <v>0.08</v>
      </c>
      <c r="H126" s="44" t="n">
        <f aca="false">Inputs!$C$23</f>
        <v>1</v>
      </c>
      <c r="I126" s="132" t="n">
        <f aca="false">Inputs!$C$38+$C126*Inputs!$C$39</f>
        <v>0.12</v>
      </c>
      <c r="J126" s="36" t="n">
        <f aca="false">Inputs!$C$9</f>
        <v>0.15</v>
      </c>
      <c r="K126" s="89" t="n">
        <f aca="false">IRR(W126:AG126,0.1)</f>
        <v>0.0849079079208296</v>
      </c>
      <c r="L126" s="45" t="n">
        <f aca="false">W126+NPV($J126,X126:AG126)</f>
        <v>-4346.205204735</v>
      </c>
      <c r="M126" s="45" t="n">
        <f aca="false">SUM(BF126,BV126,CL126,DB126,DR126,EH126,EX126,FN126,GD126,GT126)</f>
        <v>32093.4879220953</v>
      </c>
      <c r="N126" s="43" t="n">
        <f aca="false">IF($D126*SUM(Inputs!$C$13:$L$13)=0,0,M126/($D126*SUM(Inputs!$C$13:$L$13)))</f>
        <v>1.60467439610476</v>
      </c>
      <c r="O126" s="42" t="n">
        <f aca="false">$D126*$E126*COLUMNS(Inputs!$C$13:$L$13)</f>
        <v>2700</v>
      </c>
      <c r="P126" s="45" t="n">
        <f aca="false">SUM(BG126,BW126,CM126,DC126,DS126,EI126,EY126,FO126,GE126,GU126)</f>
        <v>3023.37198052382</v>
      </c>
      <c r="Q126" s="42" t="n">
        <f aca="false">PV($J126,COLUMNS(Inputs!$C$13:$L$13),-$D126*$E126,0,1)</f>
        <v>1558.32765832774</v>
      </c>
      <c r="R126" s="45" t="n">
        <f aca="false">NPV($J126,BG126,BW126,CM126,DC126,DS126,EI126,EY126,FO126,GE126,GU126)</f>
        <v>747.331314502864</v>
      </c>
      <c r="S126" s="45" t="n">
        <f aca="false">Q126+R126</f>
        <v>2305.6589728306</v>
      </c>
      <c r="T126" s="32" t="n">
        <f aca="false">IF(S126=0,0,Q126/S126)</f>
        <v>0.675870836359905</v>
      </c>
      <c r="U126" s="45" t="n">
        <f aca="false">ROUND(ABS(GK126)+ABS(SUM(AV126,BL126,CB126,CR126,DH126,DX126,EN126,FD126,FT126,GJ126)-M126-P126)+ABS(S126-(AH126+NPV($J126,AI126:AR126))),6)</f>
        <v>0</v>
      </c>
      <c r="W126" s="133" t="n">
        <f aca="false">-$D126*Inputs!$C$13</f>
        <v>-4000</v>
      </c>
      <c r="X126" s="133" t="n">
        <f aca="false">BF126-$D126*Inputs!$D$13</f>
        <v>-4000</v>
      </c>
      <c r="Y126" s="133" t="n">
        <f aca="false">BV126-$D126*Inputs!$E$13</f>
        <v>-4000</v>
      </c>
      <c r="Z126" s="133" t="n">
        <f aca="false">CL126-$D126*Inputs!$F$13</f>
        <v>-4000</v>
      </c>
      <c r="AA126" s="133" t="n">
        <f aca="false">DB126-$D126*Inputs!$G$13</f>
        <v>-4000</v>
      </c>
      <c r="AB126" s="133" t="n">
        <f aca="false">DR126-$D126*Inputs!$H$13</f>
        <v>5307.9310262272</v>
      </c>
      <c r="AC126" s="133" t="n">
        <f aca="false">EH126-$D126*Inputs!$I$13</f>
        <v>4695.42619949957</v>
      </c>
      <c r="AD126" s="133" t="n">
        <f aca="false">EX126-$D126*Inputs!$J$13</f>
        <v>4146.62187475162</v>
      </c>
      <c r="AE126" s="133" t="n">
        <f aca="false">FN126-$D126*Inputs!$K$13</f>
        <v>3654.89319977745</v>
      </c>
      <c r="AF126" s="133" t="n">
        <f aca="false">GD126-$D126*Inputs!$L$13</f>
        <v>3214.30430700059</v>
      </c>
      <c r="AG126" s="84" t="n">
        <f aca="false">GT126</f>
        <v>11074.3113148388</v>
      </c>
      <c r="AH126" s="84" t="n">
        <f aca="false">$D126*$E126</f>
        <v>270</v>
      </c>
      <c r="AI126" s="84" t="n">
        <f aca="false">BG126+$D126*$E126</f>
        <v>270</v>
      </c>
      <c r="AJ126" s="84" t="n">
        <f aca="false">BW126+$D126*$E126</f>
        <v>270</v>
      </c>
      <c r="AK126" s="84" t="n">
        <f aca="false">CM126+$D126*$E126</f>
        <v>270</v>
      </c>
      <c r="AL126" s="84" t="n">
        <f aca="false">DC126+$D126*$E126</f>
        <v>270</v>
      </c>
      <c r="AM126" s="84" t="n">
        <f aca="false">DS126+$D126*$E126</f>
        <v>270</v>
      </c>
      <c r="AN126" s="84" t="n">
        <f aca="false">EI126+$D126*$E126</f>
        <v>270</v>
      </c>
      <c r="AO126" s="84" t="n">
        <f aca="false">EY126+$D126*$E126</f>
        <v>270</v>
      </c>
      <c r="AP126" s="84" t="n">
        <f aca="false">FO126+$D126*$E126</f>
        <v>270</v>
      </c>
      <c r="AQ126" s="84" t="n">
        <f aca="false">GE126+$D126*$E126</f>
        <v>270</v>
      </c>
      <c r="AR126" s="84" t="n">
        <f aca="false">GU126</f>
        <v>3023.37198052382</v>
      </c>
      <c r="AT126" s="133" t="n">
        <f aca="false">$D126*Inputs!$C$13-$D126*$E126</f>
        <v>3730</v>
      </c>
      <c r="AU126" s="84" t="n">
        <f aca="false">AT126*(1+$I126)</f>
        <v>4177.6</v>
      </c>
      <c r="AV126" s="133" t="n">
        <f aca="false">AU126*Inputs!$C$14</f>
        <v>0</v>
      </c>
      <c r="AW126" s="84" t="n">
        <f aca="false">AU126-AV126</f>
        <v>4177.6</v>
      </c>
      <c r="AX126" s="133" t="n">
        <f aca="false">$D126*Inputs!$C$13</f>
        <v>4000</v>
      </c>
      <c r="AY126" s="84" t="n">
        <f aca="false">MIN(AV126,AX126)</f>
        <v>0</v>
      </c>
      <c r="AZ126" s="84" t="n">
        <f aca="false">AX126-AY126</f>
        <v>4000</v>
      </c>
      <c r="BA126" s="84" t="n">
        <f aca="false">$G126*AX126</f>
        <v>320</v>
      </c>
      <c r="BB126" s="84" t="n">
        <f aca="false">MIN(AV126-AY126,BA126)</f>
        <v>0</v>
      </c>
      <c r="BC126" s="84" t="n">
        <f aca="false">BA126-BB126</f>
        <v>320</v>
      </c>
      <c r="BD126" s="84" t="n">
        <f aca="false">IF($H126=1,MIN(AV126-AY126-BB126,MAX(0,$F126/(1-$F126)*BB126)),0)</f>
        <v>0</v>
      </c>
      <c r="BE126" s="84" t="n">
        <f aca="false">AV126-AY126-BB126-BD126</f>
        <v>0</v>
      </c>
      <c r="BF126" s="84" t="n">
        <f aca="false">AY126+BB126+(1-$F126)*BE126</f>
        <v>0</v>
      </c>
      <c r="BG126" s="84" t="n">
        <f aca="false">BD126+$F126*BE126</f>
        <v>0</v>
      </c>
      <c r="BH126" s="84" t="n">
        <f aca="false">BB126+(1-$F126)*BE126</f>
        <v>0</v>
      </c>
      <c r="BI126" s="84" t="n">
        <f aca="false">BG126</f>
        <v>0</v>
      </c>
      <c r="BJ126" s="133" t="n">
        <f aca="false">AW126+$D126*Inputs!$D$13-$D126*$E126</f>
        <v>7907.6</v>
      </c>
      <c r="BK126" s="84" t="n">
        <f aca="false">BJ126*(1+$I126)</f>
        <v>8856.512</v>
      </c>
      <c r="BL126" s="133" t="n">
        <f aca="false">BK126*Inputs!$D$14</f>
        <v>0</v>
      </c>
      <c r="BM126" s="84" t="n">
        <f aca="false">BK126-BL126</f>
        <v>8856.512</v>
      </c>
      <c r="BN126" s="133" t="n">
        <f aca="false">AZ126+$D126*Inputs!$D$13</f>
        <v>8000</v>
      </c>
      <c r="BO126" s="84" t="n">
        <f aca="false">MIN(BL126,BN126)</f>
        <v>0</v>
      </c>
      <c r="BP126" s="84" t="n">
        <f aca="false">BN126-BO126</f>
        <v>8000</v>
      </c>
      <c r="BQ126" s="84" t="n">
        <f aca="false">BC126+$G126*(BN126+BC126)</f>
        <v>985.6</v>
      </c>
      <c r="BR126" s="84" t="n">
        <f aca="false">MIN(BL126-BO126,BQ126)</f>
        <v>0</v>
      </c>
      <c r="BS126" s="84" t="n">
        <f aca="false">BQ126-BR126</f>
        <v>985.6</v>
      </c>
      <c r="BT126" s="84" t="n">
        <f aca="false">IF($H126=1,MIN(BL126-BO126-BR126,MAX(0,$F126/(1-$F126)*(BH126+BR126)-BI126)),0)</f>
        <v>0</v>
      </c>
      <c r="BU126" s="84" t="n">
        <f aca="false">BL126-BO126-BR126-BT126</f>
        <v>0</v>
      </c>
      <c r="BV126" s="84" t="n">
        <f aca="false">BO126+BR126+(1-$F126)*BU126</f>
        <v>0</v>
      </c>
      <c r="BW126" s="84" t="n">
        <f aca="false">BT126+$F126*BU126</f>
        <v>0</v>
      </c>
      <c r="BX126" s="84" t="n">
        <f aca="false">BH126+BR126+(1-$F126)*BU126</f>
        <v>0</v>
      </c>
      <c r="BY126" s="84" t="n">
        <f aca="false">BI126+BW126</f>
        <v>0</v>
      </c>
      <c r="BZ126" s="133" t="n">
        <f aca="false">BM126+$D126*Inputs!$E$13-$D126*$E126</f>
        <v>12586.512</v>
      </c>
      <c r="CA126" s="84" t="n">
        <f aca="false">BZ126*(1+$I126)</f>
        <v>14096.89344</v>
      </c>
      <c r="CB126" s="133" t="n">
        <f aca="false">CA126*Inputs!$E$14</f>
        <v>0</v>
      </c>
      <c r="CC126" s="84" t="n">
        <f aca="false">CA126-CB126</f>
        <v>14096.89344</v>
      </c>
      <c r="CD126" s="133" t="n">
        <f aca="false">BP126+$D126*Inputs!$E$13</f>
        <v>12000</v>
      </c>
      <c r="CE126" s="84" t="n">
        <f aca="false">MIN(CB126,CD126)</f>
        <v>0</v>
      </c>
      <c r="CF126" s="84" t="n">
        <f aca="false">CD126-CE126</f>
        <v>12000</v>
      </c>
      <c r="CG126" s="84" t="n">
        <f aca="false">BS126+$G126*(CD126+BS126)</f>
        <v>2024.448</v>
      </c>
      <c r="CH126" s="84" t="n">
        <f aca="false">MIN(CB126-CE126,CG126)</f>
        <v>0</v>
      </c>
      <c r="CI126" s="84" t="n">
        <f aca="false">CG126-CH126</f>
        <v>2024.448</v>
      </c>
      <c r="CJ126" s="84" t="n">
        <f aca="false">IF($H126=1,MIN(CB126-CE126-CH126,MAX(0,$F126/(1-$F126)*(BX126+CH126)-BY126)),0)</f>
        <v>0</v>
      </c>
      <c r="CK126" s="84" t="n">
        <f aca="false">CB126-CE126-CH126-CJ126</f>
        <v>0</v>
      </c>
      <c r="CL126" s="84" t="n">
        <f aca="false">CE126+CH126+(1-$F126)*CK126</f>
        <v>0</v>
      </c>
      <c r="CM126" s="84" t="n">
        <f aca="false">CJ126+$F126*CK126</f>
        <v>0</v>
      </c>
      <c r="CN126" s="84" t="n">
        <f aca="false">BX126+CH126+(1-$F126)*CK126</f>
        <v>0</v>
      </c>
      <c r="CO126" s="84" t="n">
        <f aca="false">BY126+CM126</f>
        <v>0</v>
      </c>
      <c r="CP126" s="133" t="n">
        <f aca="false">CC126+$D126*Inputs!$F$13-$D126*$E126</f>
        <v>17826.89344</v>
      </c>
      <c r="CQ126" s="84" t="n">
        <f aca="false">CP126*(1+$I126)</f>
        <v>19966.1206528</v>
      </c>
      <c r="CR126" s="133" t="n">
        <f aca="false">CQ126*Inputs!$F$14</f>
        <v>0</v>
      </c>
      <c r="CS126" s="84" t="n">
        <f aca="false">CQ126-CR126</f>
        <v>19966.1206528</v>
      </c>
      <c r="CT126" s="133" t="n">
        <f aca="false">CF126+$D126*Inputs!$F$13</f>
        <v>16000</v>
      </c>
      <c r="CU126" s="84" t="n">
        <f aca="false">MIN(CR126,CT126)</f>
        <v>0</v>
      </c>
      <c r="CV126" s="84" t="n">
        <f aca="false">CT126-CU126</f>
        <v>16000</v>
      </c>
      <c r="CW126" s="84" t="n">
        <f aca="false">CI126+$G126*(CT126+CI126)</f>
        <v>3466.40384</v>
      </c>
      <c r="CX126" s="84" t="n">
        <f aca="false">MIN(CR126-CU126,CW126)</f>
        <v>0</v>
      </c>
      <c r="CY126" s="84" t="n">
        <f aca="false">CW126-CX126</f>
        <v>3466.40384</v>
      </c>
      <c r="CZ126" s="84" t="n">
        <f aca="false">IF($H126=1,MIN(CR126-CU126-CX126,MAX(0,$F126/(1-$F126)*(CN126+CX126)-CO126)),0)</f>
        <v>0</v>
      </c>
      <c r="DA126" s="84" t="n">
        <f aca="false">CR126-CU126-CX126-CZ126</f>
        <v>0</v>
      </c>
      <c r="DB126" s="84" t="n">
        <f aca="false">CU126+CX126+(1-$F126)*DA126</f>
        <v>0</v>
      </c>
      <c r="DC126" s="84" t="n">
        <f aca="false">CZ126+$F126*DA126</f>
        <v>0</v>
      </c>
      <c r="DD126" s="84" t="n">
        <f aca="false">CN126+CX126+(1-$F126)*DA126</f>
        <v>0</v>
      </c>
      <c r="DE126" s="84" t="n">
        <f aca="false">CO126+DC126</f>
        <v>0</v>
      </c>
      <c r="DF126" s="133" t="n">
        <f aca="false">CS126+$D126*Inputs!$G$13-$D126*$E126</f>
        <v>23696.1206528</v>
      </c>
      <c r="DG126" s="84" t="n">
        <f aca="false">DF126*(1+$I126)</f>
        <v>26539.655131136</v>
      </c>
      <c r="DH126" s="133" t="n">
        <f aca="false">DG126*Inputs!$G$14</f>
        <v>5307.9310262272</v>
      </c>
      <c r="DI126" s="84" t="n">
        <f aca="false">DG126-DH126</f>
        <v>21231.7241049088</v>
      </c>
      <c r="DJ126" s="133" t="n">
        <f aca="false">CV126+$D126*Inputs!$G$13</f>
        <v>20000</v>
      </c>
      <c r="DK126" s="84" t="n">
        <f aca="false">MIN(DH126,DJ126)</f>
        <v>5307.9310262272</v>
      </c>
      <c r="DL126" s="84" t="n">
        <f aca="false">DJ126-DK126</f>
        <v>14692.0689737728</v>
      </c>
      <c r="DM126" s="84" t="n">
        <f aca="false">CY126+$G126*(DJ126+CY126)</f>
        <v>5343.7161472</v>
      </c>
      <c r="DN126" s="84" t="n">
        <f aca="false">MIN(DH126-DK126,DM126)</f>
        <v>0</v>
      </c>
      <c r="DO126" s="84" t="n">
        <f aca="false">DM126-DN126</f>
        <v>5343.7161472</v>
      </c>
      <c r="DP126" s="84" t="n">
        <f aca="false">IF($H126=1,MIN(DH126-DK126-DN126,MAX(0,$F126/(1-$F126)*(DD126+DN126)-DE126)),0)</f>
        <v>0</v>
      </c>
      <c r="DQ126" s="84" t="n">
        <f aca="false">DH126-DK126-DN126-DP126</f>
        <v>0</v>
      </c>
      <c r="DR126" s="84" t="n">
        <f aca="false">DK126+DN126+(1-$F126)*DQ126</f>
        <v>5307.9310262272</v>
      </c>
      <c r="DS126" s="84" t="n">
        <f aca="false">DP126+$F126*DQ126</f>
        <v>0</v>
      </c>
      <c r="DT126" s="84" t="n">
        <f aca="false">DD126+DN126+(1-$F126)*DQ126</f>
        <v>0</v>
      </c>
      <c r="DU126" s="84" t="n">
        <f aca="false">DE126+DS126</f>
        <v>0</v>
      </c>
      <c r="DV126" s="133" t="n">
        <f aca="false">DI126+$D126*Inputs!$H$13-$D126*$E126</f>
        <v>20961.7241049088</v>
      </c>
      <c r="DW126" s="84" t="n">
        <f aca="false">DV126*(1+$I126)</f>
        <v>23477.1309974979</v>
      </c>
      <c r="DX126" s="133" t="n">
        <f aca="false">DW126*Inputs!$H$14</f>
        <v>4695.42619949957</v>
      </c>
      <c r="DY126" s="84" t="n">
        <f aca="false">DW126-DX126</f>
        <v>18781.7047979983</v>
      </c>
      <c r="DZ126" s="133" t="n">
        <f aca="false">DL126+$D126*Inputs!$H$13</f>
        <v>14692.0689737728</v>
      </c>
      <c r="EA126" s="84" t="n">
        <f aca="false">MIN(DX126,DZ126)</f>
        <v>4695.42619949957</v>
      </c>
      <c r="EB126" s="84" t="n">
        <f aca="false">DZ126-EA126</f>
        <v>9996.64277427323</v>
      </c>
      <c r="EC126" s="84" t="n">
        <f aca="false">DO126+$G126*(DZ126+DO126)</f>
        <v>6946.57895687782</v>
      </c>
      <c r="ED126" s="84" t="n">
        <f aca="false">MIN(DX126-EA126,EC126)</f>
        <v>0</v>
      </c>
      <c r="EE126" s="84" t="n">
        <f aca="false">EC126-ED126</f>
        <v>6946.57895687782</v>
      </c>
      <c r="EF126" s="84" t="n">
        <f aca="false">IF($H126=1,MIN(DX126-EA126-ED126,MAX(0,$F126/(1-$F126)*(DT126+ED126)-DU126)),0)</f>
        <v>0</v>
      </c>
      <c r="EG126" s="84" t="n">
        <f aca="false">DX126-EA126-ED126-EF126</f>
        <v>0</v>
      </c>
      <c r="EH126" s="84" t="n">
        <f aca="false">EA126+ED126+(1-$F126)*EG126</f>
        <v>4695.42619949957</v>
      </c>
      <c r="EI126" s="84" t="n">
        <f aca="false">EF126+$F126*EG126</f>
        <v>0</v>
      </c>
      <c r="EJ126" s="84" t="n">
        <f aca="false">DT126+ED126+(1-$F126)*EG126</f>
        <v>0</v>
      </c>
      <c r="EK126" s="84" t="n">
        <f aca="false">DU126+EI126</f>
        <v>0</v>
      </c>
      <c r="EL126" s="133" t="n">
        <f aca="false">DY126+$D126*Inputs!$I$13-$D126*$E126</f>
        <v>18511.7047979983</v>
      </c>
      <c r="EM126" s="84" t="n">
        <f aca="false">EL126*(1+$I126)</f>
        <v>20733.1093737581</v>
      </c>
      <c r="EN126" s="133" t="n">
        <f aca="false">EM126*Inputs!$I$14</f>
        <v>4146.62187475162</v>
      </c>
      <c r="EO126" s="84" t="n">
        <f aca="false">EM126-EN126</f>
        <v>16586.4874990065</v>
      </c>
      <c r="EP126" s="133" t="n">
        <f aca="false">EB126+$D126*Inputs!$I$13</f>
        <v>9996.64277427323</v>
      </c>
      <c r="EQ126" s="84" t="n">
        <f aca="false">MIN(EN126,EP126)</f>
        <v>4146.62187475162</v>
      </c>
      <c r="ER126" s="84" t="n">
        <f aca="false">EP126-EQ126</f>
        <v>5850.02089952161</v>
      </c>
      <c r="ES126" s="84" t="n">
        <f aca="false">EE126+$G126*(EP126+EE126)</f>
        <v>8302.03669536991</v>
      </c>
      <c r="ET126" s="84" t="n">
        <f aca="false">MIN(EN126-EQ126,ES126)</f>
        <v>0</v>
      </c>
      <c r="EU126" s="84" t="n">
        <f aca="false">ES126-ET126</f>
        <v>8302.03669536991</v>
      </c>
      <c r="EV126" s="84" t="n">
        <f aca="false">IF($H126=1,MIN(EN126-EQ126-ET126,MAX(0,$F126/(1-$F126)*(EJ126+ET126)-EK126)),0)</f>
        <v>0</v>
      </c>
      <c r="EW126" s="84" t="n">
        <f aca="false">EN126-EQ126-ET126-EV126</f>
        <v>0</v>
      </c>
      <c r="EX126" s="84" t="n">
        <f aca="false">EQ126+ET126+(1-$F126)*EW126</f>
        <v>4146.62187475162</v>
      </c>
      <c r="EY126" s="84" t="n">
        <f aca="false">EV126+$F126*EW126</f>
        <v>0</v>
      </c>
      <c r="EZ126" s="84" t="n">
        <f aca="false">EJ126+ET126+(1-$F126)*EW126</f>
        <v>0</v>
      </c>
      <c r="FA126" s="84" t="n">
        <f aca="false">EK126+EY126</f>
        <v>0</v>
      </c>
      <c r="FB126" s="133" t="n">
        <f aca="false">EO126+$D126*Inputs!$J$13-$D126*$E126</f>
        <v>16316.4874990065</v>
      </c>
      <c r="FC126" s="84" t="n">
        <f aca="false">FB126*(1+$I126)</f>
        <v>18274.4659988872</v>
      </c>
      <c r="FD126" s="133" t="n">
        <f aca="false">FC126*Inputs!$J$14</f>
        <v>3654.89319977745</v>
      </c>
      <c r="FE126" s="84" t="n">
        <f aca="false">FC126-FD126</f>
        <v>14619.5727991098</v>
      </c>
      <c r="FF126" s="133" t="n">
        <f aca="false">ER126+$D126*Inputs!$J$13</f>
        <v>5850.02089952161</v>
      </c>
      <c r="FG126" s="84" t="n">
        <f aca="false">MIN(FD126,FF126)</f>
        <v>3654.89319977745</v>
      </c>
      <c r="FH126" s="84" t="n">
        <f aca="false">FF126-FG126</f>
        <v>2195.12769974416</v>
      </c>
      <c r="FI126" s="84" t="n">
        <f aca="false">EU126+$G126*(FF126+EU126)</f>
        <v>9434.20130296123</v>
      </c>
      <c r="FJ126" s="84" t="n">
        <f aca="false">MIN(FD126-FG126,FI126)</f>
        <v>0</v>
      </c>
      <c r="FK126" s="84" t="n">
        <f aca="false">FI126-FJ126</f>
        <v>9434.20130296123</v>
      </c>
      <c r="FL126" s="84" t="n">
        <f aca="false">IF($H126=1,MIN(FD126-FG126-FJ126,MAX(0,$F126/(1-$F126)*(EZ126+FJ126)-FA126)),0)</f>
        <v>0</v>
      </c>
      <c r="FM126" s="84" t="n">
        <f aca="false">FD126-FG126-FJ126-FL126</f>
        <v>0</v>
      </c>
      <c r="FN126" s="84" t="n">
        <f aca="false">FG126+FJ126+(1-$F126)*FM126</f>
        <v>3654.89319977745</v>
      </c>
      <c r="FO126" s="84" t="n">
        <f aca="false">FL126+$F126*FM126</f>
        <v>0</v>
      </c>
      <c r="FP126" s="84" t="n">
        <f aca="false">EZ126+FJ126+(1-$F126)*FM126</f>
        <v>0</v>
      </c>
      <c r="FQ126" s="84" t="n">
        <f aca="false">FA126+FO126</f>
        <v>0</v>
      </c>
      <c r="FR126" s="133" t="n">
        <f aca="false">FE126+$D126*Inputs!$K$13-$D126*$E126</f>
        <v>14349.5727991098</v>
      </c>
      <c r="FS126" s="84" t="n">
        <f aca="false">FR126*(1+$I126)</f>
        <v>16071.521535003</v>
      </c>
      <c r="FT126" s="133" t="n">
        <f aca="false">FS126*Inputs!$K$14</f>
        <v>3214.30430700059</v>
      </c>
      <c r="FU126" s="84" t="n">
        <f aca="false">FS126-FT126</f>
        <v>12857.2172280024</v>
      </c>
      <c r="FV126" s="133" t="n">
        <f aca="false">FH126+$D126*Inputs!$K$13</f>
        <v>2195.12769974416</v>
      </c>
      <c r="FW126" s="84" t="n">
        <f aca="false">MIN(FT126,FV126)</f>
        <v>2195.12769974416</v>
      </c>
      <c r="FX126" s="84" t="n">
        <f aca="false">FV126-FW126</f>
        <v>0</v>
      </c>
      <c r="FY126" s="84" t="n">
        <f aca="false">FK126+$G126*(FV126+FK126)</f>
        <v>10364.5476231777</v>
      </c>
      <c r="FZ126" s="84" t="n">
        <f aca="false">MIN(FT126-FW126,FY126)</f>
        <v>1019.17660725643</v>
      </c>
      <c r="GA126" s="84" t="n">
        <f aca="false">FY126-FZ126</f>
        <v>9345.37101592123</v>
      </c>
      <c r="GB126" s="84" t="n">
        <f aca="false">IF($H126=1,MIN(FT126-FW126-FZ126,MAX(0,$F126/(1-$F126)*(FP126+FZ126)-FQ126)),0)</f>
        <v>0</v>
      </c>
      <c r="GC126" s="84" t="n">
        <f aca="false">FT126-FW126-FZ126-GB126</f>
        <v>0</v>
      </c>
      <c r="GD126" s="84" t="n">
        <f aca="false">FW126+FZ126+(1-$F126)*GC126</f>
        <v>3214.30430700059</v>
      </c>
      <c r="GE126" s="84" t="n">
        <f aca="false">GB126+$F126*GC126</f>
        <v>0</v>
      </c>
      <c r="GF126" s="84" t="n">
        <f aca="false">FP126+FZ126+(1-$F126)*GC126</f>
        <v>1019.17660725643</v>
      </c>
      <c r="GG126" s="84" t="n">
        <f aca="false">FQ126+GE126</f>
        <v>0</v>
      </c>
      <c r="GH126" s="133" t="n">
        <f aca="false">FU126+$D126*Inputs!$L$13-$D126*$E126</f>
        <v>12587.2172280024</v>
      </c>
      <c r="GI126" s="84" t="n">
        <f aca="false">GH126*(1+$I126)</f>
        <v>14097.6832953627</v>
      </c>
      <c r="GJ126" s="133" t="n">
        <f aca="false">GI126*Inputs!$L$14</f>
        <v>14097.6832953627</v>
      </c>
      <c r="GK126" s="84" t="n">
        <f aca="false">GI126-GJ126</f>
        <v>0</v>
      </c>
      <c r="GL126" s="133" t="n">
        <f aca="false">FX126+$D126*Inputs!$L$13</f>
        <v>0</v>
      </c>
      <c r="GM126" s="84" t="n">
        <f aca="false">MIN(GJ126,GL126)</f>
        <v>0</v>
      </c>
      <c r="GN126" s="84" t="n">
        <f aca="false">GL126-GM126</f>
        <v>0</v>
      </c>
      <c r="GO126" s="84" t="n">
        <f aca="false">GA126+$G126*(GL126+GA126)</f>
        <v>10093.0006971949</v>
      </c>
      <c r="GP126" s="84" t="n">
        <f aca="false">MIN(GJ126-GM126,GO126)</f>
        <v>10093.0006971949</v>
      </c>
      <c r="GQ126" s="84" t="n">
        <f aca="false">GO126-GP126</f>
        <v>0</v>
      </c>
      <c r="GR126" s="84" t="n">
        <f aca="false">IF($H126=1,MIN(GJ126-GM126-GP126,MAX(0,$F126/(1-$F126)*(GF126+GP126)-GG126)),0)</f>
        <v>2778.04432611284</v>
      </c>
      <c r="GS126" s="84" t="n">
        <f aca="false">GJ126-GM126-GP126-GR126</f>
        <v>1226.6382720549</v>
      </c>
      <c r="GT126" s="84" t="n">
        <f aca="false">GM126+GP126+(1-$F126)*GS126</f>
        <v>11074.3113148388</v>
      </c>
      <c r="GU126" s="84" t="n">
        <f aca="false">GR126+$F126*GS126</f>
        <v>3023.37198052382</v>
      </c>
      <c r="GV126" s="84" t="n">
        <f aca="false">GF126+GP126+(1-$F126)*GS126</f>
        <v>12093.4879220953</v>
      </c>
      <c r="GW126" s="84" t="n">
        <f aca="false">GG126+GU126</f>
        <v>3023.37198052382</v>
      </c>
    </row>
    <row r="127" customFormat="false" ht="15" hidden="false" customHeight="false" outlineLevel="0" collapsed="false">
      <c r="A127" s="5" t="s">
        <v>640</v>
      </c>
      <c r="B127" s="5" t="s">
        <v>428</v>
      </c>
      <c r="C127" s="135" t="n">
        <v>13</v>
      </c>
      <c r="D127" s="47" t="n">
        <f aca="false">Inputs!$C$6</f>
        <v>20000</v>
      </c>
      <c r="E127" s="35" t="n">
        <f aca="false">Inputs!$C$19</f>
        <v>0.0135</v>
      </c>
      <c r="F127" s="36" t="n">
        <f aca="false">Inputs!$C$20</f>
        <v>0.2</v>
      </c>
      <c r="G127" s="36" t="n">
        <f aca="false">Inputs!$C$22</f>
        <v>0.08</v>
      </c>
      <c r="H127" s="44" t="n">
        <f aca="false">Inputs!$C$23</f>
        <v>1</v>
      </c>
      <c r="I127" s="132" t="n">
        <f aca="false">Inputs!$C$38+$C127*Inputs!$C$39</f>
        <v>0.13</v>
      </c>
      <c r="J127" s="36" t="n">
        <f aca="false">Inputs!$C$9</f>
        <v>0.15</v>
      </c>
      <c r="K127" s="89" t="n">
        <f aca="false">IRR(W127:AG127,0.1)</f>
        <v>0.0942237630238656</v>
      </c>
      <c r="L127" s="45" t="n">
        <f aca="false">W127+NPV($J127,X127:AG127)</f>
        <v>-3805.53909513775</v>
      </c>
      <c r="M127" s="45" t="n">
        <f aca="false">SUM(BF127,BV127,CL127,DB127,DR127,EH127,EX127,FN127,GD127,GT127)</f>
        <v>33780.4031687347</v>
      </c>
      <c r="N127" s="43" t="n">
        <f aca="false">IF($D127*SUM(Inputs!$C$13:$L$13)=0,0,M127/($D127*SUM(Inputs!$C$13:$L$13)))</f>
        <v>1.68902015843673</v>
      </c>
      <c r="O127" s="42" t="n">
        <f aca="false">$D127*$E127*COLUMNS(Inputs!$C$13:$L$13)</f>
        <v>2700</v>
      </c>
      <c r="P127" s="45" t="n">
        <f aca="false">SUM(BG127,BW127,CM127,DC127,DS127,EI127,EY127,FO127,GE127,GU127)</f>
        <v>3445.10079218366</v>
      </c>
      <c r="Q127" s="42" t="n">
        <f aca="false">PV($J127,COLUMNS(Inputs!$C$13:$L$13),-$D127*$E127,0,1)</f>
        <v>1558.32765832774</v>
      </c>
      <c r="R127" s="45" t="n">
        <f aca="false">NPV($J127,BG127,BW127,CM127,DC127,DS127,EI127,EY127,FO127,GE127,GU127)</f>
        <v>851.576226876126</v>
      </c>
      <c r="S127" s="45" t="n">
        <f aca="false">Q127+R127</f>
        <v>2409.90388520386</v>
      </c>
      <c r="T127" s="32" t="n">
        <f aca="false">IF(S127=0,0,Q127/S127)</f>
        <v>0.646634775725055</v>
      </c>
      <c r="U127" s="45" t="n">
        <f aca="false">ROUND(ABS(GK127)+ABS(SUM(AV127,BL127,CB127,CR127,DH127,DX127,EN127,FD127,FT127,GJ127)-M127-P127)+ABS(S127-(AH127+NPV($J127,AI127:AR127))),6)</f>
        <v>0</v>
      </c>
      <c r="W127" s="133" t="n">
        <f aca="false">-$D127*Inputs!$C$13</f>
        <v>-4000</v>
      </c>
      <c r="X127" s="133" t="n">
        <f aca="false">BF127-$D127*Inputs!$D$13</f>
        <v>-4000</v>
      </c>
      <c r="Y127" s="133" t="n">
        <f aca="false">BV127-$D127*Inputs!$E$13</f>
        <v>-4000</v>
      </c>
      <c r="Z127" s="133" t="n">
        <f aca="false">CL127-$D127*Inputs!$F$13</f>
        <v>-4000</v>
      </c>
      <c r="AA127" s="133" t="n">
        <f aca="false">DB127-$D127*Inputs!$G$13</f>
        <v>-4000</v>
      </c>
      <c r="AB127" s="133" t="n">
        <f aca="false">DR127-$D127*Inputs!$H$13</f>
        <v>5462.7385188178</v>
      </c>
      <c r="AC127" s="133" t="n">
        <f aca="false">EH127-$D127*Inputs!$I$13</f>
        <v>4877.29562101129</v>
      </c>
      <c r="AD127" s="133" t="n">
        <f aca="false">EX127-$D127*Inputs!$J$13</f>
        <v>4348.05524139421</v>
      </c>
      <c r="AE127" s="133" t="n">
        <f aca="false">FN127-$D127*Inputs!$K$13</f>
        <v>3869.62193822036</v>
      </c>
      <c r="AF127" s="133" t="n">
        <f aca="false">GD127-$D127*Inputs!$L$13</f>
        <v>3437.11823215121</v>
      </c>
      <c r="AG127" s="84" t="n">
        <f aca="false">GT127</f>
        <v>11785.5736171398</v>
      </c>
      <c r="AH127" s="84" t="n">
        <f aca="false">$D127*$E127</f>
        <v>270</v>
      </c>
      <c r="AI127" s="84" t="n">
        <f aca="false">BG127+$D127*$E127</f>
        <v>270</v>
      </c>
      <c r="AJ127" s="84" t="n">
        <f aca="false">BW127+$D127*$E127</f>
        <v>270</v>
      </c>
      <c r="AK127" s="84" t="n">
        <f aca="false">CM127+$D127*$E127</f>
        <v>270</v>
      </c>
      <c r="AL127" s="84" t="n">
        <f aca="false">DC127+$D127*$E127</f>
        <v>270</v>
      </c>
      <c r="AM127" s="84" t="n">
        <f aca="false">DS127+$D127*$E127</f>
        <v>270</v>
      </c>
      <c r="AN127" s="84" t="n">
        <f aca="false">EI127+$D127*$E127</f>
        <v>270</v>
      </c>
      <c r="AO127" s="84" t="n">
        <f aca="false">EY127+$D127*$E127</f>
        <v>270</v>
      </c>
      <c r="AP127" s="84" t="n">
        <f aca="false">FO127+$D127*$E127</f>
        <v>270</v>
      </c>
      <c r="AQ127" s="84" t="n">
        <f aca="false">GE127+$D127*$E127</f>
        <v>270</v>
      </c>
      <c r="AR127" s="84" t="n">
        <f aca="false">GU127</f>
        <v>3445.10079218366</v>
      </c>
      <c r="AT127" s="133" t="n">
        <f aca="false">$D127*Inputs!$C$13-$D127*$E127</f>
        <v>3730</v>
      </c>
      <c r="AU127" s="84" t="n">
        <f aca="false">AT127*(1+$I127)</f>
        <v>4214.9</v>
      </c>
      <c r="AV127" s="133" t="n">
        <f aca="false">AU127*Inputs!$C$14</f>
        <v>0</v>
      </c>
      <c r="AW127" s="84" t="n">
        <f aca="false">AU127-AV127</f>
        <v>4214.9</v>
      </c>
      <c r="AX127" s="133" t="n">
        <f aca="false">$D127*Inputs!$C$13</f>
        <v>4000</v>
      </c>
      <c r="AY127" s="84" t="n">
        <f aca="false">MIN(AV127,AX127)</f>
        <v>0</v>
      </c>
      <c r="AZ127" s="84" t="n">
        <f aca="false">AX127-AY127</f>
        <v>4000</v>
      </c>
      <c r="BA127" s="84" t="n">
        <f aca="false">$G127*AX127</f>
        <v>320</v>
      </c>
      <c r="BB127" s="84" t="n">
        <f aca="false">MIN(AV127-AY127,BA127)</f>
        <v>0</v>
      </c>
      <c r="BC127" s="84" t="n">
        <f aca="false">BA127-BB127</f>
        <v>320</v>
      </c>
      <c r="BD127" s="84" t="n">
        <f aca="false">IF($H127=1,MIN(AV127-AY127-BB127,MAX(0,$F127/(1-$F127)*BB127)),0)</f>
        <v>0</v>
      </c>
      <c r="BE127" s="84" t="n">
        <f aca="false">AV127-AY127-BB127-BD127</f>
        <v>0</v>
      </c>
      <c r="BF127" s="84" t="n">
        <f aca="false">AY127+BB127+(1-$F127)*BE127</f>
        <v>0</v>
      </c>
      <c r="BG127" s="84" t="n">
        <f aca="false">BD127+$F127*BE127</f>
        <v>0</v>
      </c>
      <c r="BH127" s="84" t="n">
        <f aca="false">BB127+(1-$F127)*BE127</f>
        <v>0</v>
      </c>
      <c r="BI127" s="84" t="n">
        <f aca="false">BG127</f>
        <v>0</v>
      </c>
      <c r="BJ127" s="133" t="n">
        <f aca="false">AW127+$D127*Inputs!$D$13-$D127*$E127</f>
        <v>7944.9</v>
      </c>
      <c r="BK127" s="84" t="n">
        <f aca="false">BJ127*(1+$I127)</f>
        <v>8977.737</v>
      </c>
      <c r="BL127" s="133" t="n">
        <f aca="false">BK127*Inputs!$D$14</f>
        <v>0</v>
      </c>
      <c r="BM127" s="84" t="n">
        <f aca="false">BK127-BL127</f>
        <v>8977.737</v>
      </c>
      <c r="BN127" s="133" t="n">
        <f aca="false">AZ127+$D127*Inputs!$D$13</f>
        <v>8000</v>
      </c>
      <c r="BO127" s="84" t="n">
        <f aca="false">MIN(BL127,BN127)</f>
        <v>0</v>
      </c>
      <c r="BP127" s="84" t="n">
        <f aca="false">BN127-BO127</f>
        <v>8000</v>
      </c>
      <c r="BQ127" s="84" t="n">
        <f aca="false">BC127+$G127*(BN127+BC127)</f>
        <v>985.6</v>
      </c>
      <c r="BR127" s="84" t="n">
        <f aca="false">MIN(BL127-BO127,BQ127)</f>
        <v>0</v>
      </c>
      <c r="BS127" s="84" t="n">
        <f aca="false">BQ127-BR127</f>
        <v>985.6</v>
      </c>
      <c r="BT127" s="84" t="n">
        <f aca="false">IF($H127=1,MIN(BL127-BO127-BR127,MAX(0,$F127/(1-$F127)*(BH127+BR127)-BI127)),0)</f>
        <v>0</v>
      </c>
      <c r="BU127" s="84" t="n">
        <f aca="false">BL127-BO127-BR127-BT127</f>
        <v>0</v>
      </c>
      <c r="BV127" s="84" t="n">
        <f aca="false">BO127+BR127+(1-$F127)*BU127</f>
        <v>0</v>
      </c>
      <c r="BW127" s="84" t="n">
        <f aca="false">BT127+$F127*BU127</f>
        <v>0</v>
      </c>
      <c r="BX127" s="84" t="n">
        <f aca="false">BH127+BR127+(1-$F127)*BU127</f>
        <v>0</v>
      </c>
      <c r="BY127" s="84" t="n">
        <f aca="false">BI127+BW127</f>
        <v>0</v>
      </c>
      <c r="BZ127" s="133" t="n">
        <f aca="false">BM127+$D127*Inputs!$E$13-$D127*$E127</f>
        <v>12707.737</v>
      </c>
      <c r="CA127" s="84" t="n">
        <f aca="false">BZ127*(1+$I127)</f>
        <v>14359.74281</v>
      </c>
      <c r="CB127" s="133" t="n">
        <f aca="false">CA127*Inputs!$E$14</f>
        <v>0</v>
      </c>
      <c r="CC127" s="84" t="n">
        <f aca="false">CA127-CB127</f>
        <v>14359.74281</v>
      </c>
      <c r="CD127" s="133" t="n">
        <f aca="false">BP127+$D127*Inputs!$E$13</f>
        <v>12000</v>
      </c>
      <c r="CE127" s="84" t="n">
        <f aca="false">MIN(CB127,CD127)</f>
        <v>0</v>
      </c>
      <c r="CF127" s="84" t="n">
        <f aca="false">CD127-CE127</f>
        <v>12000</v>
      </c>
      <c r="CG127" s="84" t="n">
        <f aca="false">BS127+$G127*(CD127+BS127)</f>
        <v>2024.448</v>
      </c>
      <c r="CH127" s="84" t="n">
        <f aca="false">MIN(CB127-CE127,CG127)</f>
        <v>0</v>
      </c>
      <c r="CI127" s="84" t="n">
        <f aca="false">CG127-CH127</f>
        <v>2024.448</v>
      </c>
      <c r="CJ127" s="84" t="n">
        <f aca="false">IF($H127=1,MIN(CB127-CE127-CH127,MAX(0,$F127/(1-$F127)*(BX127+CH127)-BY127)),0)</f>
        <v>0</v>
      </c>
      <c r="CK127" s="84" t="n">
        <f aca="false">CB127-CE127-CH127-CJ127</f>
        <v>0</v>
      </c>
      <c r="CL127" s="84" t="n">
        <f aca="false">CE127+CH127+(1-$F127)*CK127</f>
        <v>0</v>
      </c>
      <c r="CM127" s="84" t="n">
        <f aca="false">CJ127+$F127*CK127</f>
        <v>0</v>
      </c>
      <c r="CN127" s="84" t="n">
        <f aca="false">BX127+CH127+(1-$F127)*CK127</f>
        <v>0</v>
      </c>
      <c r="CO127" s="84" t="n">
        <f aca="false">BY127+CM127</f>
        <v>0</v>
      </c>
      <c r="CP127" s="133" t="n">
        <f aca="false">CC127+$D127*Inputs!$F$13-$D127*$E127</f>
        <v>18089.74281</v>
      </c>
      <c r="CQ127" s="84" t="n">
        <f aca="false">CP127*(1+$I127)</f>
        <v>20441.4093753</v>
      </c>
      <c r="CR127" s="133" t="n">
        <f aca="false">CQ127*Inputs!$F$14</f>
        <v>0</v>
      </c>
      <c r="CS127" s="84" t="n">
        <f aca="false">CQ127-CR127</f>
        <v>20441.4093753</v>
      </c>
      <c r="CT127" s="133" t="n">
        <f aca="false">CF127+$D127*Inputs!$F$13</f>
        <v>16000</v>
      </c>
      <c r="CU127" s="84" t="n">
        <f aca="false">MIN(CR127,CT127)</f>
        <v>0</v>
      </c>
      <c r="CV127" s="84" t="n">
        <f aca="false">CT127-CU127</f>
        <v>16000</v>
      </c>
      <c r="CW127" s="84" t="n">
        <f aca="false">CI127+$G127*(CT127+CI127)</f>
        <v>3466.40384</v>
      </c>
      <c r="CX127" s="84" t="n">
        <f aca="false">MIN(CR127-CU127,CW127)</f>
        <v>0</v>
      </c>
      <c r="CY127" s="84" t="n">
        <f aca="false">CW127-CX127</f>
        <v>3466.40384</v>
      </c>
      <c r="CZ127" s="84" t="n">
        <f aca="false">IF($H127=1,MIN(CR127-CU127-CX127,MAX(0,$F127/(1-$F127)*(CN127+CX127)-CO127)),0)</f>
        <v>0</v>
      </c>
      <c r="DA127" s="84" t="n">
        <f aca="false">CR127-CU127-CX127-CZ127</f>
        <v>0</v>
      </c>
      <c r="DB127" s="84" t="n">
        <f aca="false">CU127+CX127+(1-$F127)*DA127</f>
        <v>0</v>
      </c>
      <c r="DC127" s="84" t="n">
        <f aca="false">CZ127+$F127*DA127</f>
        <v>0</v>
      </c>
      <c r="DD127" s="84" t="n">
        <f aca="false">CN127+CX127+(1-$F127)*DA127</f>
        <v>0</v>
      </c>
      <c r="DE127" s="84" t="n">
        <f aca="false">CO127+DC127</f>
        <v>0</v>
      </c>
      <c r="DF127" s="133" t="n">
        <f aca="false">CS127+$D127*Inputs!$G$13-$D127*$E127</f>
        <v>24171.4093753</v>
      </c>
      <c r="DG127" s="84" t="n">
        <f aca="false">DF127*(1+$I127)</f>
        <v>27313.692594089</v>
      </c>
      <c r="DH127" s="133" t="n">
        <f aca="false">DG127*Inputs!$G$14</f>
        <v>5462.7385188178</v>
      </c>
      <c r="DI127" s="84" t="n">
        <f aca="false">DG127-DH127</f>
        <v>21850.9540752712</v>
      </c>
      <c r="DJ127" s="133" t="n">
        <f aca="false">CV127+$D127*Inputs!$G$13</f>
        <v>20000</v>
      </c>
      <c r="DK127" s="84" t="n">
        <f aca="false">MIN(DH127,DJ127)</f>
        <v>5462.7385188178</v>
      </c>
      <c r="DL127" s="84" t="n">
        <f aca="false">DJ127-DK127</f>
        <v>14537.2614811822</v>
      </c>
      <c r="DM127" s="84" t="n">
        <f aca="false">CY127+$G127*(DJ127+CY127)</f>
        <v>5343.7161472</v>
      </c>
      <c r="DN127" s="84" t="n">
        <f aca="false">MIN(DH127-DK127,DM127)</f>
        <v>0</v>
      </c>
      <c r="DO127" s="84" t="n">
        <f aca="false">DM127-DN127</f>
        <v>5343.7161472</v>
      </c>
      <c r="DP127" s="84" t="n">
        <f aca="false">IF($H127=1,MIN(DH127-DK127-DN127,MAX(0,$F127/(1-$F127)*(DD127+DN127)-DE127)),0)</f>
        <v>0</v>
      </c>
      <c r="DQ127" s="84" t="n">
        <f aca="false">DH127-DK127-DN127-DP127</f>
        <v>0</v>
      </c>
      <c r="DR127" s="84" t="n">
        <f aca="false">DK127+DN127+(1-$F127)*DQ127</f>
        <v>5462.7385188178</v>
      </c>
      <c r="DS127" s="84" t="n">
        <f aca="false">DP127+$F127*DQ127</f>
        <v>0</v>
      </c>
      <c r="DT127" s="84" t="n">
        <f aca="false">DD127+DN127+(1-$F127)*DQ127</f>
        <v>0</v>
      </c>
      <c r="DU127" s="84" t="n">
        <f aca="false">DE127+DS127</f>
        <v>0</v>
      </c>
      <c r="DV127" s="133" t="n">
        <f aca="false">DI127+$D127*Inputs!$H$13-$D127*$E127</f>
        <v>21580.9540752712</v>
      </c>
      <c r="DW127" s="84" t="n">
        <f aca="false">DV127*(1+$I127)</f>
        <v>24386.4781050565</v>
      </c>
      <c r="DX127" s="133" t="n">
        <f aca="false">DW127*Inputs!$H$14</f>
        <v>4877.29562101129</v>
      </c>
      <c r="DY127" s="84" t="n">
        <f aca="false">DW127-DX127</f>
        <v>19509.1824840452</v>
      </c>
      <c r="DZ127" s="133" t="n">
        <f aca="false">DL127+$D127*Inputs!$H$13</f>
        <v>14537.2614811822</v>
      </c>
      <c r="EA127" s="84" t="n">
        <f aca="false">MIN(DX127,DZ127)</f>
        <v>4877.29562101129</v>
      </c>
      <c r="EB127" s="84" t="n">
        <f aca="false">DZ127-EA127</f>
        <v>9659.96586017091</v>
      </c>
      <c r="EC127" s="84" t="n">
        <f aca="false">DO127+$G127*(DZ127+DO127)</f>
        <v>6934.19435747058</v>
      </c>
      <c r="ED127" s="84" t="n">
        <f aca="false">MIN(DX127-EA127,EC127)</f>
        <v>0</v>
      </c>
      <c r="EE127" s="84" t="n">
        <f aca="false">EC127-ED127</f>
        <v>6934.19435747058</v>
      </c>
      <c r="EF127" s="84" t="n">
        <f aca="false">IF($H127=1,MIN(DX127-EA127-ED127,MAX(0,$F127/(1-$F127)*(DT127+ED127)-DU127)),0)</f>
        <v>0</v>
      </c>
      <c r="EG127" s="84" t="n">
        <f aca="false">DX127-EA127-ED127-EF127</f>
        <v>0</v>
      </c>
      <c r="EH127" s="84" t="n">
        <f aca="false">EA127+ED127+(1-$F127)*EG127</f>
        <v>4877.29562101129</v>
      </c>
      <c r="EI127" s="84" t="n">
        <f aca="false">EF127+$F127*EG127</f>
        <v>0</v>
      </c>
      <c r="EJ127" s="84" t="n">
        <f aca="false">DT127+ED127+(1-$F127)*EG127</f>
        <v>0</v>
      </c>
      <c r="EK127" s="84" t="n">
        <f aca="false">DU127+EI127</f>
        <v>0</v>
      </c>
      <c r="EL127" s="133" t="n">
        <f aca="false">DY127+$D127*Inputs!$I$13-$D127*$E127</f>
        <v>19239.1824840452</v>
      </c>
      <c r="EM127" s="84" t="n">
        <f aca="false">EL127*(1+$I127)</f>
        <v>21740.276206971</v>
      </c>
      <c r="EN127" s="133" t="n">
        <f aca="false">EM127*Inputs!$I$14</f>
        <v>4348.05524139421</v>
      </c>
      <c r="EO127" s="84" t="n">
        <f aca="false">EM127-EN127</f>
        <v>17392.2209655768</v>
      </c>
      <c r="EP127" s="133" t="n">
        <f aca="false">EB127+$D127*Inputs!$I$13</f>
        <v>9659.96586017091</v>
      </c>
      <c r="EQ127" s="84" t="n">
        <f aca="false">MIN(EN127,EP127)</f>
        <v>4348.05524139421</v>
      </c>
      <c r="ER127" s="84" t="n">
        <f aca="false">EP127-EQ127</f>
        <v>5311.91061877671</v>
      </c>
      <c r="ES127" s="84" t="n">
        <f aca="false">EE127+$G127*(EP127+EE127)</f>
        <v>8261.7271748819</v>
      </c>
      <c r="ET127" s="84" t="n">
        <f aca="false">MIN(EN127-EQ127,ES127)</f>
        <v>0</v>
      </c>
      <c r="EU127" s="84" t="n">
        <f aca="false">ES127-ET127</f>
        <v>8261.7271748819</v>
      </c>
      <c r="EV127" s="84" t="n">
        <f aca="false">IF($H127=1,MIN(EN127-EQ127-ET127,MAX(0,$F127/(1-$F127)*(EJ127+ET127)-EK127)),0)</f>
        <v>0</v>
      </c>
      <c r="EW127" s="84" t="n">
        <f aca="false">EN127-EQ127-ET127-EV127</f>
        <v>0</v>
      </c>
      <c r="EX127" s="84" t="n">
        <f aca="false">EQ127+ET127+(1-$F127)*EW127</f>
        <v>4348.05524139421</v>
      </c>
      <c r="EY127" s="84" t="n">
        <f aca="false">EV127+$F127*EW127</f>
        <v>0</v>
      </c>
      <c r="EZ127" s="84" t="n">
        <f aca="false">EJ127+ET127+(1-$F127)*EW127</f>
        <v>0</v>
      </c>
      <c r="FA127" s="84" t="n">
        <f aca="false">EK127+EY127</f>
        <v>0</v>
      </c>
      <c r="FB127" s="133" t="n">
        <f aca="false">EO127+$D127*Inputs!$J$13-$D127*$E127</f>
        <v>17122.2209655768</v>
      </c>
      <c r="FC127" s="84" t="n">
        <f aca="false">FB127*(1+$I127)</f>
        <v>19348.1096911018</v>
      </c>
      <c r="FD127" s="133" t="n">
        <f aca="false">FC127*Inputs!$J$14</f>
        <v>3869.62193822036</v>
      </c>
      <c r="FE127" s="84" t="n">
        <f aca="false">FC127-FD127</f>
        <v>15478.4877528814</v>
      </c>
      <c r="FF127" s="133" t="n">
        <f aca="false">ER127+$D127*Inputs!$J$13</f>
        <v>5311.91061877671</v>
      </c>
      <c r="FG127" s="84" t="n">
        <f aca="false">MIN(FD127,FF127)</f>
        <v>3869.62193822036</v>
      </c>
      <c r="FH127" s="84" t="n">
        <f aca="false">FF127-FG127</f>
        <v>1442.28868055635</v>
      </c>
      <c r="FI127" s="84" t="n">
        <f aca="false">EU127+$G127*(FF127+EU127)</f>
        <v>9347.61819837459</v>
      </c>
      <c r="FJ127" s="84" t="n">
        <f aca="false">MIN(FD127-FG127,FI127)</f>
        <v>0</v>
      </c>
      <c r="FK127" s="84" t="n">
        <f aca="false">FI127-FJ127</f>
        <v>9347.61819837459</v>
      </c>
      <c r="FL127" s="84" t="n">
        <f aca="false">IF($H127=1,MIN(FD127-FG127-FJ127,MAX(0,$F127/(1-$F127)*(EZ127+FJ127)-FA127)),0)</f>
        <v>0</v>
      </c>
      <c r="FM127" s="84" t="n">
        <f aca="false">FD127-FG127-FJ127-FL127</f>
        <v>0</v>
      </c>
      <c r="FN127" s="84" t="n">
        <f aca="false">FG127+FJ127+(1-$F127)*FM127</f>
        <v>3869.62193822036</v>
      </c>
      <c r="FO127" s="84" t="n">
        <f aca="false">FL127+$F127*FM127</f>
        <v>0</v>
      </c>
      <c r="FP127" s="84" t="n">
        <f aca="false">EZ127+FJ127+(1-$F127)*FM127</f>
        <v>0</v>
      </c>
      <c r="FQ127" s="84" t="n">
        <f aca="false">FA127+FO127</f>
        <v>0</v>
      </c>
      <c r="FR127" s="133" t="n">
        <f aca="false">FE127+$D127*Inputs!$K$13-$D127*$E127</f>
        <v>15208.4877528814</v>
      </c>
      <c r="FS127" s="84" t="n">
        <f aca="false">FR127*(1+$I127)</f>
        <v>17185.591160756</v>
      </c>
      <c r="FT127" s="133" t="n">
        <f aca="false">FS127*Inputs!$K$14</f>
        <v>3437.11823215121</v>
      </c>
      <c r="FU127" s="84" t="n">
        <f aca="false">FS127-FT127</f>
        <v>13748.4729286048</v>
      </c>
      <c r="FV127" s="133" t="n">
        <f aca="false">FH127+$D127*Inputs!$K$13</f>
        <v>1442.28868055635</v>
      </c>
      <c r="FW127" s="84" t="n">
        <f aca="false">MIN(FT127,FV127)</f>
        <v>1442.28868055635</v>
      </c>
      <c r="FX127" s="84" t="n">
        <f aca="false">FV127-FW127</f>
        <v>0</v>
      </c>
      <c r="FY127" s="84" t="n">
        <f aca="false">FK127+$G127*(FV127+FK127)</f>
        <v>10210.8107486891</v>
      </c>
      <c r="FZ127" s="84" t="n">
        <f aca="false">MIN(FT127-FW127,FY127)</f>
        <v>1994.82955159486</v>
      </c>
      <c r="GA127" s="84" t="n">
        <f aca="false">FY127-FZ127</f>
        <v>8215.9811970942</v>
      </c>
      <c r="GB127" s="84" t="n">
        <f aca="false">IF($H127=1,MIN(FT127-FW127-FZ127,MAX(0,$F127/(1-$F127)*(FP127+FZ127)-FQ127)),0)</f>
        <v>0</v>
      </c>
      <c r="GC127" s="84" t="n">
        <f aca="false">FT127-FW127-FZ127-GB127</f>
        <v>0</v>
      </c>
      <c r="GD127" s="84" t="n">
        <f aca="false">FW127+FZ127+(1-$F127)*GC127</f>
        <v>3437.11823215121</v>
      </c>
      <c r="GE127" s="84" t="n">
        <f aca="false">GB127+$F127*GC127</f>
        <v>0</v>
      </c>
      <c r="GF127" s="84" t="n">
        <f aca="false">FP127+FZ127+(1-$F127)*GC127</f>
        <v>1994.82955159486</v>
      </c>
      <c r="GG127" s="84" t="n">
        <f aca="false">FQ127+GE127</f>
        <v>0</v>
      </c>
      <c r="GH127" s="133" t="n">
        <f aca="false">FU127+$D127*Inputs!$L$13-$D127*$E127</f>
        <v>13478.4729286048</v>
      </c>
      <c r="GI127" s="84" t="n">
        <f aca="false">GH127*(1+$I127)</f>
        <v>15230.6744093235</v>
      </c>
      <c r="GJ127" s="133" t="n">
        <f aca="false">GI127*Inputs!$L$14</f>
        <v>15230.6744093235</v>
      </c>
      <c r="GK127" s="84" t="n">
        <f aca="false">GI127-GJ127</f>
        <v>0</v>
      </c>
      <c r="GL127" s="133" t="n">
        <f aca="false">FX127+$D127*Inputs!$L$13</f>
        <v>0</v>
      </c>
      <c r="GM127" s="84" t="n">
        <f aca="false">MIN(GJ127,GL127)</f>
        <v>0</v>
      </c>
      <c r="GN127" s="84" t="n">
        <f aca="false">GL127-GM127</f>
        <v>0</v>
      </c>
      <c r="GO127" s="84" t="n">
        <f aca="false">GA127+$G127*(GL127+GA127)</f>
        <v>8873.25969286174</v>
      </c>
      <c r="GP127" s="84" t="n">
        <f aca="false">MIN(GJ127-GM127,GO127)</f>
        <v>8873.25969286174</v>
      </c>
      <c r="GQ127" s="84" t="n">
        <f aca="false">GO127-GP127</f>
        <v>0</v>
      </c>
      <c r="GR127" s="84" t="n">
        <f aca="false">IF($H127=1,MIN(GJ127-GM127-GP127,MAX(0,$F127/(1-$F127)*(GF127+GP127)-GG127)),0)</f>
        <v>2717.02231111415</v>
      </c>
      <c r="GS127" s="84" t="n">
        <f aca="false">GJ127-GM127-GP127-GR127</f>
        <v>3640.39240534757</v>
      </c>
      <c r="GT127" s="84" t="n">
        <f aca="false">GM127+GP127+(1-$F127)*GS127</f>
        <v>11785.5736171398</v>
      </c>
      <c r="GU127" s="84" t="n">
        <f aca="false">GR127+$F127*GS127</f>
        <v>3445.10079218366</v>
      </c>
      <c r="GV127" s="84" t="n">
        <f aca="false">GF127+GP127+(1-$F127)*GS127</f>
        <v>13780.4031687346</v>
      </c>
      <c r="GW127" s="84" t="n">
        <f aca="false">GG127+GU127</f>
        <v>3445.10079218366</v>
      </c>
    </row>
    <row r="128" customFormat="false" ht="15" hidden="false" customHeight="false" outlineLevel="0" collapsed="false">
      <c r="A128" s="5" t="s">
        <v>640</v>
      </c>
      <c r="B128" s="5" t="s">
        <v>428</v>
      </c>
      <c r="C128" s="135" t="n">
        <v>14</v>
      </c>
      <c r="D128" s="47" t="n">
        <f aca="false">Inputs!$C$6</f>
        <v>20000</v>
      </c>
      <c r="E128" s="35" t="n">
        <f aca="false">Inputs!$C$19</f>
        <v>0.0135</v>
      </c>
      <c r="F128" s="36" t="n">
        <f aca="false">Inputs!$C$20</f>
        <v>0.2</v>
      </c>
      <c r="G128" s="36" t="n">
        <f aca="false">Inputs!$C$22</f>
        <v>0.08</v>
      </c>
      <c r="H128" s="44" t="n">
        <f aca="false">Inputs!$C$23</f>
        <v>1</v>
      </c>
      <c r="I128" s="132" t="n">
        <f aca="false">Inputs!$C$38+$C128*Inputs!$C$39</f>
        <v>0.14</v>
      </c>
      <c r="J128" s="36" t="n">
        <f aca="false">Inputs!$C$9</f>
        <v>0.15</v>
      </c>
      <c r="K128" s="89" t="n">
        <f aca="false">IRR(W128:AG128,0.1)</f>
        <v>0.10359864513365</v>
      </c>
      <c r="L128" s="45" t="n">
        <f aca="false">W128+NPV($J128,X128:AG128)</f>
        <v>-3236.21841322982</v>
      </c>
      <c r="M128" s="45" t="n">
        <f aca="false">SUM(BF128,BV128,CL128,DB128,DR128,EH128,EX128,FN128,GD128,GT128)</f>
        <v>35564.7508495412</v>
      </c>
      <c r="N128" s="43" t="n">
        <f aca="false">IF($D128*SUM(Inputs!$C$13:$L$13)=0,0,M128/($D128*SUM(Inputs!$C$13:$L$13)))</f>
        <v>1.77823754247706</v>
      </c>
      <c r="O128" s="42" t="n">
        <f aca="false">$D128*$E128*COLUMNS(Inputs!$C$13:$L$13)</f>
        <v>2700</v>
      </c>
      <c r="P128" s="45" t="n">
        <f aca="false">SUM(BG128,BW128,CM128,DC128,DS128,EI128,EY128,FO128,GE128,GU128)</f>
        <v>3891.1877123853</v>
      </c>
      <c r="Q128" s="42" t="n">
        <f aca="false">PV($J128,COLUMNS(Inputs!$C$13:$L$13),-$D128*$E128,0,1)</f>
        <v>1558.32765832774</v>
      </c>
      <c r="R128" s="45" t="n">
        <f aca="false">NPV($J128,BG128,BW128,CM128,DC128,DS128,EI128,EY128,FO128,GE128,GU128)</f>
        <v>961.842091150976</v>
      </c>
      <c r="S128" s="45" t="n">
        <f aca="false">Q128+R128</f>
        <v>2520.16974947871</v>
      </c>
      <c r="T128" s="32" t="n">
        <f aca="false">IF(S128=0,0,Q128/S128)</f>
        <v>0.618342339300784</v>
      </c>
      <c r="U128" s="45" t="n">
        <f aca="false">ROUND(ABS(GK128)+ABS(SUM(AV128,BL128,CB128,CR128,DH128,DX128,EN128,FD128,FT128,GJ128)-M128-P128)+ABS(S128-(AH128+NPV($J128,AI128:AR128))),6)</f>
        <v>0</v>
      </c>
      <c r="W128" s="133" t="n">
        <f aca="false">-$D128*Inputs!$C$13</f>
        <v>-4000</v>
      </c>
      <c r="X128" s="133" t="n">
        <f aca="false">BF128-$D128*Inputs!$D$13</f>
        <v>-4000</v>
      </c>
      <c r="Y128" s="133" t="n">
        <f aca="false">BV128-$D128*Inputs!$E$13</f>
        <v>-4000</v>
      </c>
      <c r="Z128" s="133" t="n">
        <f aca="false">CL128-$D128*Inputs!$F$13</f>
        <v>-4000</v>
      </c>
      <c r="AA128" s="133" t="n">
        <f aca="false">DB128-$D128*Inputs!$G$13</f>
        <v>-4000</v>
      </c>
      <c r="AB128" s="133" t="n">
        <f aca="false">DR128-$D128*Inputs!$H$13</f>
        <v>5621.4969818304</v>
      </c>
      <c r="AC128" s="133" t="n">
        <f aca="false">EH128-$D128*Inputs!$I$13</f>
        <v>5065.24524742933</v>
      </c>
      <c r="AD128" s="133" t="n">
        <f aca="false">EX128-$D128*Inputs!$J$13</f>
        <v>4557.94366565555</v>
      </c>
      <c r="AE128" s="133" t="n">
        <f aca="false">FN128-$D128*Inputs!$K$13</f>
        <v>4095.28462307786</v>
      </c>
      <c r="AF128" s="133" t="n">
        <f aca="false">GD128-$D128*Inputs!$L$13</f>
        <v>3673.33957624701</v>
      </c>
      <c r="AG128" s="84" t="n">
        <f aca="false">GT128</f>
        <v>12551.4407553011</v>
      </c>
      <c r="AH128" s="84" t="n">
        <f aca="false">$D128*$E128</f>
        <v>270</v>
      </c>
      <c r="AI128" s="84" t="n">
        <f aca="false">BG128+$D128*$E128</f>
        <v>270</v>
      </c>
      <c r="AJ128" s="84" t="n">
        <f aca="false">BW128+$D128*$E128</f>
        <v>270</v>
      </c>
      <c r="AK128" s="84" t="n">
        <f aca="false">CM128+$D128*$E128</f>
        <v>270</v>
      </c>
      <c r="AL128" s="84" t="n">
        <f aca="false">DC128+$D128*$E128</f>
        <v>270</v>
      </c>
      <c r="AM128" s="84" t="n">
        <f aca="false">DS128+$D128*$E128</f>
        <v>270</v>
      </c>
      <c r="AN128" s="84" t="n">
        <f aca="false">EI128+$D128*$E128</f>
        <v>270</v>
      </c>
      <c r="AO128" s="84" t="n">
        <f aca="false">EY128+$D128*$E128</f>
        <v>270</v>
      </c>
      <c r="AP128" s="84" t="n">
        <f aca="false">FO128+$D128*$E128</f>
        <v>270</v>
      </c>
      <c r="AQ128" s="84" t="n">
        <f aca="false">GE128+$D128*$E128</f>
        <v>270</v>
      </c>
      <c r="AR128" s="84" t="n">
        <f aca="false">GU128</f>
        <v>3891.1877123853</v>
      </c>
      <c r="AT128" s="133" t="n">
        <f aca="false">$D128*Inputs!$C$13-$D128*$E128</f>
        <v>3730</v>
      </c>
      <c r="AU128" s="84" t="n">
        <f aca="false">AT128*(1+$I128)</f>
        <v>4252.2</v>
      </c>
      <c r="AV128" s="133" t="n">
        <f aca="false">AU128*Inputs!$C$14</f>
        <v>0</v>
      </c>
      <c r="AW128" s="84" t="n">
        <f aca="false">AU128-AV128</f>
        <v>4252.2</v>
      </c>
      <c r="AX128" s="133" t="n">
        <f aca="false">$D128*Inputs!$C$13</f>
        <v>4000</v>
      </c>
      <c r="AY128" s="84" t="n">
        <f aca="false">MIN(AV128,AX128)</f>
        <v>0</v>
      </c>
      <c r="AZ128" s="84" t="n">
        <f aca="false">AX128-AY128</f>
        <v>4000</v>
      </c>
      <c r="BA128" s="84" t="n">
        <f aca="false">$G128*AX128</f>
        <v>320</v>
      </c>
      <c r="BB128" s="84" t="n">
        <f aca="false">MIN(AV128-AY128,BA128)</f>
        <v>0</v>
      </c>
      <c r="BC128" s="84" t="n">
        <f aca="false">BA128-BB128</f>
        <v>320</v>
      </c>
      <c r="BD128" s="84" t="n">
        <f aca="false">IF($H128=1,MIN(AV128-AY128-BB128,MAX(0,$F128/(1-$F128)*BB128)),0)</f>
        <v>0</v>
      </c>
      <c r="BE128" s="84" t="n">
        <f aca="false">AV128-AY128-BB128-BD128</f>
        <v>0</v>
      </c>
      <c r="BF128" s="84" t="n">
        <f aca="false">AY128+BB128+(1-$F128)*BE128</f>
        <v>0</v>
      </c>
      <c r="BG128" s="84" t="n">
        <f aca="false">BD128+$F128*BE128</f>
        <v>0</v>
      </c>
      <c r="BH128" s="84" t="n">
        <f aca="false">BB128+(1-$F128)*BE128</f>
        <v>0</v>
      </c>
      <c r="BI128" s="84" t="n">
        <f aca="false">BG128</f>
        <v>0</v>
      </c>
      <c r="BJ128" s="133" t="n">
        <f aca="false">AW128+$D128*Inputs!$D$13-$D128*$E128</f>
        <v>7982.2</v>
      </c>
      <c r="BK128" s="84" t="n">
        <f aca="false">BJ128*(1+$I128)</f>
        <v>9099.708</v>
      </c>
      <c r="BL128" s="133" t="n">
        <f aca="false">BK128*Inputs!$D$14</f>
        <v>0</v>
      </c>
      <c r="BM128" s="84" t="n">
        <f aca="false">BK128-BL128</f>
        <v>9099.708</v>
      </c>
      <c r="BN128" s="133" t="n">
        <f aca="false">AZ128+$D128*Inputs!$D$13</f>
        <v>8000</v>
      </c>
      <c r="BO128" s="84" t="n">
        <f aca="false">MIN(BL128,BN128)</f>
        <v>0</v>
      </c>
      <c r="BP128" s="84" t="n">
        <f aca="false">BN128-BO128</f>
        <v>8000</v>
      </c>
      <c r="BQ128" s="84" t="n">
        <f aca="false">BC128+$G128*(BN128+BC128)</f>
        <v>985.6</v>
      </c>
      <c r="BR128" s="84" t="n">
        <f aca="false">MIN(BL128-BO128,BQ128)</f>
        <v>0</v>
      </c>
      <c r="BS128" s="84" t="n">
        <f aca="false">BQ128-BR128</f>
        <v>985.6</v>
      </c>
      <c r="BT128" s="84" t="n">
        <f aca="false">IF($H128=1,MIN(BL128-BO128-BR128,MAX(0,$F128/(1-$F128)*(BH128+BR128)-BI128)),0)</f>
        <v>0</v>
      </c>
      <c r="BU128" s="84" t="n">
        <f aca="false">BL128-BO128-BR128-BT128</f>
        <v>0</v>
      </c>
      <c r="BV128" s="84" t="n">
        <f aca="false">BO128+BR128+(1-$F128)*BU128</f>
        <v>0</v>
      </c>
      <c r="BW128" s="84" t="n">
        <f aca="false">BT128+$F128*BU128</f>
        <v>0</v>
      </c>
      <c r="BX128" s="84" t="n">
        <f aca="false">BH128+BR128+(1-$F128)*BU128</f>
        <v>0</v>
      </c>
      <c r="BY128" s="84" t="n">
        <f aca="false">BI128+BW128</f>
        <v>0</v>
      </c>
      <c r="BZ128" s="133" t="n">
        <f aca="false">BM128+$D128*Inputs!$E$13-$D128*$E128</f>
        <v>12829.708</v>
      </c>
      <c r="CA128" s="84" t="n">
        <f aca="false">BZ128*(1+$I128)</f>
        <v>14625.86712</v>
      </c>
      <c r="CB128" s="133" t="n">
        <f aca="false">CA128*Inputs!$E$14</f>
        <v>0</v>
      </c>
      <c r="CC128" s="84" t="n">
        <f aca="false">CA128-CB128</f>
        <v>14625.86712</v>
      </c>
      <c r="CD128" s="133" t="n">
        <f aca="false">BP128+$D128*Inputs!$E$13</f>
        <v>12000</v>
      </c>
      <c r="CE128" s="84" t="n">
        <f aca="false">MIN(CB128,CD128)</f>
        <v>0</v>
      </c>
      <c r="CF128" s="84" t="n">
        <f aca="false">CD128-CE128</f>
        <v>12000</v>
      </c>
      <c r="CG128" s="84" t="n">
        <f aca="false">BS128+$G128*(CD128+BS128)</f>
        <v>2024.448</v>
      </c>
      <c r="CH128" s="84" t="n">
        <f aca="false">MIN(CB128-CE128,CG128)</f>
        <v>0</v>
      </c>
      <c r="CI128" s="84" t="n">
        <f aca="false">CG128-CH128</f>
        <v>2024.448</v>
      </c>
      <c r="CJ128" s="84" t="n">
        <f aca="false">IF($H128=1,MIN(CB128-CE128-CH128,MAX(0,$F128/(1-$F128)*(BX128+CH128)-BY128)),0)</f>
        <v>0</v>
      </c>
      <c r="CK128" s="84" t="n">
        <f aca="false">CB128-CE128-CH128-CJ128</f>
        <v>0</v>
      </c>
      <c r="CL128" s="84" t="n">
        <f aca="false">CE128+CH128+(1-$F128)*CK128</f>
        <v>0</v>
      </c>
      <c r="CM128" s="84" t="n">
        <f aca="false">CJ128+$F128*CK128</f>
        <v>0</v>
      </c>
      <c r="CN128" s="84" t="n">
        <f aca="false">BX128+CH128+(1-$F128)*CK128</f>
        <v>0</v>
      </c>
      <c r="CO128" s="84" t="n">
        <f aca="false">BY128+CM128</f>
        <v>0</v>
      </c>
      <c r="CP128" s="133" t="n">
        <f aca="false">CC128+$D128*Inputs!$F$13-$D128*$E128</f>
        <v>18355.86712</v>
      </c>
      <c r="CQ128" s="84" t="n">
        <f aca="false">CP128*(1+$I128)</f>
        <v>20925.6885168</v>
      </c>
      <c r="CR128" s="133" t="n">
        <f aca="false">CQ128*Inputs!$F$14</f>
        <v>0</v>
      </c>
      <c r="CS128" s="84" t="n">
        <f aca="false">CQ128-CR128</f>
        <v>20925.6885168</v>
      </c>
      <c r="CT128" s="133" t="n">
        <f aca="false">CF128+$D128*Inputs!$F$13</f>
        <v>16000</v>
      </c>
      <c r="CU128" s="84" t="n">
        <f aca="false">MIN(CR128,CT128)</f>
        <v>0</v>
      </c>
      <c r="CV128" s="84" t="n">
        <f aca="false">CT128-CU128</f>
        <v>16000</v>
      </c>
      <c r="CW128" s="84" t="n">
        <f aca="false">CI128+$G128*(CT128+CI128)</f>
        <v>3466.40384</v>
      </c>
      <c r="CX128" s="84" t="n">
        <f aca="false">MIN(CR128-CU128,CW128)</f>
        <v>0</v>
      </c>
      <c r="CY128" s="84" t="n">
        <f aca="false">CW128-CX128</f>
        <v>3466.40384</v>
      </c>
      <c r="CZ128" s="84" t="n">
        <f aca="false">IF($H128=1,MIN(CR128-CU128-CX128,MAX(0,$F128/(1-$F128)*(CN128+CX128)-CO128)),0)</f>
        <v>0</v>
      </c>
      <c r="DA128" s="84" t="n">
        <f aca="false">CR128-CU128-CX128-CZ128</f>
        <v>0</v>
      </c>
      <c r="DB128" s="84" t="n">
        <f aca="false">CU128+CX128+(1-$F128)*DA128</f>
        <v>0</v>
      </c>
      <c r="DC128" s="84" t="n">
        <f aca="false">CZ128+$F128*DA128</f>
        <v>0</v>
      </c>
      <c r="DD128" s="84" t="n">
        <f aca="false">CN128+CX128+(1-$F128)*DA128</f>
        <v>0</v>
      </c>
      <c r="DE128" s="84" t="n">
        <f aca="false">CO128+DC128</f>
        <v>0</v>
      </c>
      <c r="DF128" s="133" t="n">
        <f aca="false">CS128+$D128*Inputs!$G$13-$D128*$E128</f>
        <v>24655.6885168</v>
      </c>
      <c r="DG128" s="84" t="n">
        <f aca="false">DF128*(1+$I128)</f>
        <v>28107.484909152</v>
      </c>
      <c r="DH128" s="133" t="n">
        <f aca="false">DG128*Inputs!$G$14</f>
        <v>5621.4969818304</v>
      </c>
      <c r="DI128" s="84" t="n">
        <f aca="false">DG128-DH128</f>
        <v>22485.9879273216</v>
      </c>
      <c r="DJ128" s="133" t="n">
        <f aca="false">CV128+$D128*Inputs!$G$13</f>
        <v>20000</v>
      </c>
      <c r="DK128" s="84" t="n">
        <f aca="false">MIN(DH128,DJ128)</f>
        <v>5621.4969818304</v>
      </c>
      <c r="DL128" s="84" t="n">
        <f aca="false">DJ128-DK128</f>
        <v>14378.5030181696</v>
      </c>
      <c r="DM128" s="84" t="n">
        <f aca="false">CY128+$G128*(DJ128+CY128)</f>
        <v>5343.7161472</v>
      </c>
      <c r="DN128" s="84" t="n">
        <f aca="false">MIN(DH128-DK128,DM128)</f>
        <v>0</v>
      </c>
      <c r="DO128" s="84" t="n">
        <f aca="false">DM128-DN128</f>
        <v>5343.7161472</v>
      </c>
      <c r="DP128" s="84" t="n">
        <f aca="false">IF($H128=1,MIN(DH128-DK128-DN128,MAX(0,$F128/(1-$F128)*(DD128+DN128)-DE128)),0)</f>
        <v>0</v>
      </c>
      <c r="DQ128" s="84" t="n">
        <f aca="false">DH128-DK128-DN128-DP128</f>
        <v>0</v>
      </c>
      <c r="DR128" s="84" t="n">
        <f aca="false">DK128+DN128+(1-$F128)*DQ128</f>
        <v>5621.4969818304</v>
      </c>
      <c r="DS128" s="84" t="n">
        <f aca="false">DP128+$F128*DQ128</f>
        <v>0</v>
      </c>
      <c r="DT128" s="84" t="n">
        <f aca="false">DD128+DN128+(1-$F128)*DQ128</f>
        <v>0</v>
      </c>
      <c r="DU128" s="84" t="n">
        <f aca="false">DE128+DS128</f>
        <v>0</v>
      </c>
      <c r="DV128" s="133" t="n">
        <f aca="false">DI128+$D128*Inputs!$H$13-$D128*$E128</f>
        <v>22215.9879273216</v>
      </c>
      <c r="DW128" s="84" t="n">
        <f aca="false">DV128*(1+$I128)</f>
        <v>25326.2262371466</v>
      </c>
      <c r="DX128" s="133" t="n">
        <f aca="false">DW128*Inputs!$H$14</f>
        <v>5065.24524742933</v>
      </c>
      <c r="DY128" s="84" t="n">
        <f aca="false">DW128-DX128</f>
        <v>20260.9809897173</v>
      </c>
      <c r="DZ128" s="133" t="n">
        <f aca="false">DL128+$D128*Inputs!$H$13</f>
        <v>14378.5030181696</v>
      </c>
      <c r="EA128" s="84" t="n">
        <f aca="false">MIN(DX128,DZ128)</f>
        <v>5065.24524742933</v>
      </c>
      <c r="EB128" s="84" t="n">
        <f aca="false">DZ128-EA128</f>
        <v>9313.25777074027</v>
      </c>
      <c r="EC128" s="84" t="n">
        <f aca="false">DO128+$G128*(DZ128+DO128)</f>
        <v>6921.49368042957</v>
      </c>
      <c r="ED128" s="84" t="n">
        <f aca="false">MIN(DX128-EA128,EC128)</f>
        <v>0</v>
      </c>
      <c r="EE128" s="84" t="n">
        <f aca="false">EC128-ED128</f>
        <v>6921.49368042957</v>
      </c>
      <c r="EF128" s="84" t="n">
        <f aca="false">IF($H128=1,MIN(DX128-EA128-ED128,MAX(0,$F128/(1-$F128)*(DT128+ED128)-DU128)),0)</f>
        <v>0</v>
      </c>
      <c r="EG128" s="84" t="n">
        <f aca="false">DX128-EA128-ED128-EF128</f>
        <v>0</v>
      </c>
      <c r="EH128" s="84" t="n">
        <f aca="false">EA128+ED128+(1-$F128)*EG128</f>
        <v>5065.24524742933</v>
      </c>
      <c r="EI128" s="84" t="n">
        <f aca="false">EF128+$F128*EG128</f>
        <v>0</v>
      </c>
      <c r="EJ128" s="84" t="n">
        <f aca="false">DT128+ED128+(1-$F128)*EG128</f>
        <v>0</v>
      </c>
      <c r="EK128" s="84" t="n">
        <f aca="false">DU128+EI128</f>
        <v>0</v>
      </c>
      <c r="EL128" s="133" t="n">
        <f aca="false">DY128+$D128*Inputs!$I$13-$D128*$E128</f>
        <v>19990.9809897173</v>
      </c>
      <c r="EM128" s="84" t="n">
        <f aca="false">EL128*(1+$I128)</f>
        <v>22789.7183282777</v>
      </c>
      <c r="EN128" s="133" t="n">
        <f aca="false">EM128*Inputs!$I$14</f>
        <v>4557.94366565555</v>
      </c>
      <c r="EO128" s="84" t="n">
        <f aca="false">EM128-EN128</f>
        <v>18231.7746626222</v>
      </c>
      <c r="EP128" s="133" t="n">
        <f aca="false">EB128+$D128*Inputs!$I$13</f>
        <v>9313.25777074027</v>
      </c>
      <c r="EQ128" s="84" t="n">
        <f aca="false">MIN(EN128,EP128)</f>
        <v>4557.94366565555</v>
      </c>
      <c r="ER128" s="84" t="n">
        <f aca="false">EP128-EQ128</f>
        <v>4755.31410508472</v>
      </c>
      <c r="ES128" s="84" t="n">
        <f aca="false">EE128+$G128*(EP128+EE128)</f>
        <v>8220.27379652316</v>
      </c>
      <c r="ET128" s="84" t="n">
        <f aca="false">MIN(EN128-EQ128,ES128)</f>
        <v>0</v>
      </c>
      <c r="EU128" s="84" t="n">
        <f aca="false">ES128-ET128</f>
        <v>8220.27379652316</v>
      </c>
      <c r="EV128" s="84" t="n">
        <f aca="false">IF($H128=1,MIN(EN128-EQ128-ET128,MAX(0,$F128/(1-$F128)*(EJ128+ET128)-EK128)),0)</f>
        <v>0</v>
      </c>
      <c r="EW128" s="84" t="n">
        <f aca="false">EN128-EQ128-ET128-EV128</f>
        <v>0</v>
      </c>
      <c r="EX128" s="84" t="n">
        <f aca="false">EQ128+ET128+(1-$F128)*EW128</f>
        <v>4557.94366565555</v>
      </c>
      <c r="EY128" s="84" t="n">
        <f aca="false">EV128+$F128*EW128</f>
        <v>0</v>
      </c>
      <c r="EZ128" s="84" t="n">
        <f aca="false">EJ128+ET128+(1-$F128)*EW128</f>
        <v>0</v>
      </c>
      <c r="FA128" s="84" t="n">
        <f aca="false">EK128+EY128</f>
        <v>0</v>
      </c>
      <c r="FB128" s="133" t="n">
        <f aca="false">EO128+$D128*Inputs!$J$13-$D128*$E128</f>
        <v>17961.7746626222</v>
      </c>
      <c r="FC128" s="84" t="n">
        <f aca="false">FB128*(1+$I128)</f>
        <v>20476.4231153893</v>
      </c>
      <c r="FD128" s="133" t="n">
        <f aca="false">FC128*Inputs!$J$14</f>
        <v>4095.28462307786</v>
      </c>
      <c r="FE128" s="84" t="n">
        <f aca="false">FC128-FD128</f>
        <v>16381.1384923114</v>
      </c>
      <c r="FF128" s="133" t="n">
        <f aca="false">ER128+$D128*Inputs!$J$13</f>
        <v>4755.31410508472</v>
      </c>
      <c r="FG128" s="84" t="n">
        <f aca="false">MIN(FD128,FF128)</f>
        <v>4095.28462307786</v>
      </c>
      <c r="FH128" s="84" t="n">
        <f aca="false">FF128-FG128</f>
        <v>660.029482006864</v>
      </c>
      <c r="FI128" s="84" t="n">
        <f aca="false">EU128+$G128*(FF128+EU128)</f>
        <v>9258.32082865179</v>
      </c>
      <c r="FJ128" s="84" t="n">
        <f aca="false">MIN(FD128-FG128,FI128)</f>
        <v>0</v>
      </c>
      <c r="FK128" s="84" t="n">
        <f aca="false">FI128-FJ128</f>
        <v>9258.32082865179</v>
      </c>
      <c r="FL128" s="84" t="n">
        <f aca="false">IF($H128=1,MIN(FD128-FG128-FJ128,MAX(0,$F128/(1-$F128)*(EZ128+FJ128)-FA128)),0)</f>
        <v>0</v>
      </c>
      <c r="FM128" s="84" t="n">
        <f aca="false">FD128-FG128-FJ128-FL128</f>
        <v>0</v>
      </c>
      <c r="FN128" s="84" t="n">
        <f aca="false">FG128+FJ128+(1-$F128)*FM128</f>
        <v>4095.28462307786</v>
      </c>
      <c r="FO128" s="84" t="n">
        <f aca="false">FL128+$F128*FM128</f>
        <v>0</v>
      </c>
      <c r="FP128" s="84" t="n">
        <f aca="false">EZ128+FJ128+(1-$F128)*FM128</f>
        <v>0</v>
      </c>
      <c r="FQ128" s="84" t="n">
        <f aca="false">FA128+FO128</f>
        <v>0</v>
      </c>
      <c r="FR128" s="133" t="n">
        <f aca="false">FE128+$D128*Inputs!$K$13-$D128*$E128</f>
        <v>16111.1384923114</v>
      </c>
      <c r="FS128" s="84" t="n">
        <f aca="false">FR128*(1+$I128)</f>
        <v>18366.697881235</v>
      </c>
      <c r="FT128" s="133" t="n">
        <f aca="false">FS128*Inputs!$K$14</f>
        <v>3673.33957624701</v>
      </c>
      <c r="FU128" s="84" t="n">
        <f aca="false">FS128-FT128</f>
        <v>14693.358304988</v>
      </c>
      <c r="FV128" s="133" t="n">
        <f aca="false">FH128+$D128*Inputs!$K$13</f>
        <v>660.029482006864</v>
      </c>
      <c r="FW128" s="84" t="n">
        <f aca="false">MIN(FT128,FV128)</f>
        <v>660.029482006864</v>
      </c>
      <c r="FX128" s="84" t="n">
        <f aca="false">FV128-FW128</f>
        <v>0</v>
      </c>
      <c r="FY128" s="84" t="n">
        <f aca="false">FK128+$G128*(FV128+FK128)</f>
        <v>10051.7888535045</v>
      </c>
      <c r="FZ128" s="84" t="n">
        <f aca="false">MIN(FT128-FW128,FY128)</f>
        <v>3013.31009424014</v>
      </c>
      <c r="GA128" s="84" t="n">
        <f aca="false">FY128-FZ128</f>
        <v>7038.47875926433</v>
      </c>
      <c r="GB128" s="84" t="n">
        <f aca="false">IF($H128=1,MIN(FT128-FW128-FZ128,MAX(0,$F128/(1-$F128)*(FP128+FZ128)-FQ128)),0)</f>
        <v>0</v>
      </c>
      <c r="GC128" s="84" t="n">
        <f aca="false">FT128-FW128-FZ128-GB128</f>
        <v>0</v>
      </c>
      <c r="GD128" s="84" t="n">
        <f aca="false">FW128+FZ128+(1-$F128)*GC128</f>
        <v>3673.33957624701</v>
      </c>
      <c r="GE128" s="84" t="n">
        <f aca="false">GB128+$F128*GC128</f>
        <v>0</v>
      </c>
      <c r="GF128" s="84" t="n">
        <f aca="false">FP128+FZ128+(1-$F128)*GC128</f>
        <v>3013.31009424014</v>
      </c>
      <c r="GG128" s="84" t="n">
        <f aca="false">FQ128+GE128</f>
        <v>0</v>
      </c>
      <c r="GH128" s="133" t="n">
        <f aca="false">FU128+$D128*Inputs!$L$13-$D128*$E128</f>
        <v>14423.358304988</v>
      </c>
      <c r="GI128" s="84" t="n">
        <f aca="false">GH128*(1+$I128)</f>
        <v>16442.6284676864</v>
      </c>
      <c r="GJ128" s="133" t="n">
        <f aca="false">GI128*Inputs!$L$14</f>
        <v>16442.6284676864</v>
      </c>
      <c r="GK128" s="84" t="n">
        <f aca="false">GI128-GJ128</f>
        <v>0</v>
      </c>
      <c r="GL128" s="133" t="n">
        <f aca="false">FX128+$D128*Inputs!$L$13</f>
        <v>0</v>
      </c>
      <c r="GM128" s="84" t="n">
        <f aca="false">MIN(GJ128,GL128)</f>
        <v>0</v>
      </c>
      <c r="GN128" s="84" t="n">
        <f aca="false">GL128-GM128</f>
        <v>0</v>
      </c>
      <c r="GO128" s="84" t="n">
        <f aca="false">GA128+$G128*(GL128+GA128)</f>
        <v>7601.55706000548</v>
      </c>
      <c r="GP128" s="84" t="n">
        <f aca="false">MIN(GJ128-GM128,GO128)</f>
        <v>7601.55706000548</v>
      </c>
      <c r="GQ128" s="84" t="n">
        <f aca="false">GO128-GP128</f>
        <v>0</v>
      </c>
      <c r="GR128" s="84" t="n">
        <f aca="false">IF($H128=1,MIN(GJ128-GM128-GP128,MAX(0,$F128/(1-$F128)*(GF128+GP128)-GG128)),0)</f>
        <v>2653.71678856141</v>
      </c>
      <c r="GS128" s="84" t="n">
        <f aca="false">GJ128-GM128-GP128-GR128</f>
        <v>6187.35461911947</v>
      </c>
      <c r="GT128" s="84" t="n">
        <f aca="false">GM128+GP128+(1-$F128)*GS128</f>
        <v>12551.4407553011</v>
      </c>
      <c r="GU128" s="84" t="n">
        <f aca="false">GR128+$F128*GS128</f>
        <v>3891.1877123853</v>
      </c>
      <c r="GV128" s="84" t="n">
        <f aca="false">GF128+GP128+(1-$F128)*GS128</f>
        <v>15564.7508495412</v>
      </c>
      <c r="GW128" s="84" t="n">
        <f aca="false">GG128+GU128</f>
        <v>3891.1877123853</v>
      </c>
    </row>
    <row r="129" customFormat="false" ht="15" hidden="false" customHeight="false" outlineLevel="0" collapsed="false">
      <c r="A129" s="5" t="s">
        <v>640</v>
      </c>
      <c r="B129" s="5" t="s">
        <v>428</v>
      </c>
      <c r="C129" s="135" t="n">
        <v>15</v>
      </c>
      <c r="D129" s="47" t="n">
        <f aca="false">Inputs!$C$6</f>
        <v>20000</v>
      </c>
      <c r="E129" s="35" t="n">
        <f aca="false">Inputs!$C$19</f>
        <v>0.0135</v>
      </c>
      <c r="F129" s="36" t="n">
        <f aca="false">Inputs!$C$20</f>
        <v>0.2</v>
      </c>
      <c r="G129" s="36" t="n">
        <f aca="false">Inputs!$C$22</f>
        <v>0.08</v>
      </c>
      <c r="H129" s="44" t="n">
        <f aca="false">Inputs!$C$23</f>
        <v>1</v>
      </c>
      <c r="I129" s="132" t="n">
        <f aca="false">Inputs!$C$38+$C129*Inputs!$C$39</f>
        <v>0.15</v>
      </c>
      <c r="J129" s="36" t="n">
        <f aca="false">Inputs!$C$9</f>
        <v>0.15</v>
      </c>
      <c r="K129" s="89" t="n">
        <f aca="false">IRR(W129:AG129,0.1)</f>
        <v>0.113027670655998</v>
      </c>
      <c r="L129" s="45" t="n">
        <f aca="false">W129+NPV($J129,X129:AG129)</f>
        <v>-2636.78272916366</v>
      </c>
      <c r="M129" s="45" t="n">
        <f aca="false">SUM(BF129,BV129,CL129,DB129,DR129,EH129,EX129,FN129,GD129,GT129)</f>
        <v>37451.8090177347</v>
      </c>
      <c r="N129" s="43" t="n">
        <f aca="false">IF($D129*SUM(Inputs!$C$13:$L$13)=0,0,M129/($D129*SUM(Inputs!$C$13:$L$13)))</f>
        <v>1.87259045088673</v>
      </c>
      <c r="O129" s="42" t="n">
        <f aca="false">$D129*$E129*COLUMNS(Inputs!$C$13:$L$13)</f>
        <v>2700</v>
      </c>
      <c r="P129" s="45" t="n">
        <f aca="false">SUM(BG129,BW129,CM129,DC129,DS129,EI129,EY129,FO129,GE129,GU129)</f>
        <v>4362.95225443366</v>
      </c>
      <c r="Q129" s="42" t="n">
        <f aca="false">PV($J129,COLUMNS(Inputs!$C$13:$L$13),-$D129*$E129,0,1)</f>
        <v>1558.32765832774</v>
      </c>
      <c r="R129" s="45" t="n">
        <f aca="false">NPV($J129,BG129,BW129,CM129,DC129,DS129,EI129,EY129,FO129,GE129,GU129)</f>
        <v>1078.45507083592</v>
      </c>
      <c r="S129" s="45" t="n">
        <f aca="false">Q129+R129</f>
        <v>2636.78272916366</v>
      </c>
      <c r="T129" s="32" t="n">
        <f aca="false">IF(S129=0,0,Q129/S129)</f>
        <v>0.590995853049301</v>
      </c>
      <c r="U129" s="45" t="n">
        <f aca="false">ROUND(ABS(GK129)+ABS(SUM(AV129,BL129,CB129,CR129,DH129,DX129,EN129,FD129,FT129,GJ129)-M129-P129)+ABS(S129-(AH129+NPV($J129,AI129:AR129))),6)</f>
        <v>0</v>
      </c>
      <c r="W129" s="133" t="n">
        <f aca="false">-$D129*Inputs!$C$13</f>
        <v>-4000</v>
      </c>
      <c r="X129" s="133" t="n">
        <f aca="false">BF129-$D129*Inputs!$D$13</f>
        <v>-4000</v>
      </c>
      <c r="Y129" s="133" t="n">
        <f aca="false">BV129-$D129*Inputs!$E$13</f>
        <v>-4000</v>
      </c>
      <c r="Z129" s="133" t="n">
        <f aca="false">CL129-$D129*Inputs!$F$13</f>
        <v>-4000</v>
      </c>
      <c r="AA129" s="133" t="n">
        <f aca="false">DB129-$D129*Inputs!$G$13</f>
        <v>-4000</v>
      </c>
      <c r="AB129" s="133" t="n">
        <f aca="false">DR129-$D129*Inputs!$H$13</f>
        <v>5784.288874375</v>
      </c>
      <c r="AC129" s="133" t="n">
        <f aca="false">EH129-$D129*Inputs!$I$13</f>
        <v>5259.445764425</v>
      </c>
      <c r="AD129" s="133" t="n">
        <f aca="false">EX129-$D129*Inputs!$J$13</f>
        <v>4776.590103271</v>
      </c>
      <c r="AE129" s="133" t="n">
        <f aca="false">FN129-$D129*Inputs!$K$13</f>
        <v>4332.36289500932</v>
      </c>
      <c r="AF129" s="133" t="n">
        <f aca="false">GD129-$D129*Inputs!$L$13</f>
        <v>3923.67386340857</v>
      </c>
      <c r="AG129" s="84" t="n">
        <f aca="false">GT129</f>
        <v>13375.4475172458</v>
      </c>
      <c r="AH129" s="84" t="n">
        <f aca="false">$D129*$E129</f>
        <v>270</v>
      </c>
      <c r="AI129" s="84" t="n">
        <f aca="false">BG129+$D129*$E129</f>
        <v>270</v>
      </c>
      <c r="AJ129" s="84" t="n">
        <f aca="false">BW129+$D129*$E129</f>
        <v>270</v>
      </c>
      <c r="AK129" s="84" t="n">
        <f aca="false">CM129+$D129*$E129</f>
        <v>270</v>
      </c>
      <c r="AL129" s="84" t="n">
        <f aca="false">DC129+$D129*$E129</f>
        <v>270</v>
      </c>
      <c r="AM129" s="84" t="n">
        <f aca="false">DS129+$D129*$E129</f>
        <v>270</v>
      </c>
      <c r="AN129" s="84" t="n">
        <f aca="false">EI129+$D129*$E129</f>
        <v>270</v>
      </c>
      <c r="AO129" s="84" t="n">
        <f aca="false">EY129+$D129*$E129</f>
        <v>270</v>
      </c>
      <c r="AP129" s="84" t="n">
        <f aca="false">FO129+$D129*$E129</f>
        <v>270</v>
      </c>
      <c r="AQ129" s="84" t="n">
        <f aca="false">GE129+$D129*$E129</f>
        <v>270</v>
      </c>
      <c r="AR129" s="84" t="n">
        <f aca="false">GU129</f>
        <v>4362.95225443366</v>
      </c>
      <c r="AT129" s="133" t="n">
        <f aca="false">$D129*Inputs!$C$13-$D129*$E129</f>
        <v>3730</v>
      </c>
      <c r="AU129" s="84" t="n">
        <f aca="false">AT129*(1+$I129)</f>
        <v>4289.5</v>
      </c>
      <c r="AV129" s="133" t="n">
        <f aca="false">AU129*Inputs!$C$14</f>
        <v>0</v>
      </c>
      <c r="AW129" s="84" t="n">
        <f aca="false">AU129-AV129</f>
        <v>4289.5</v>
      </c>
      <c r="AX129" s="133" t="n">
        <f aca="false">$D129*Inputs!$C$13</f>
        <v>4000</v>
      </c>
      <c r="AY129" s="84" t="n">
        <f aca="false">MIN(AV129,AX129)</f>
        <v>0</v>
      </c>
      <c r="AZ129" s="84" t="n">
        <f aca="false">AX129-AY129</f>
        <v>4000</v>
      </c>
      <c r="BA129" s="84" t="n">
        <f aca="false">$G129*AX129</f>
        <v>320</v>
      </c>
      <c r="BB129" s="84" t="n">
        <f aca="false">MIN(AV129-AY129,BA129)</f>
        <v>0</v>
      </c>
      <c r="BC129" s="84" t="n">
        <f aca="false">BA129-BB129</f>
        <v>320</v>
      </c>
      <c r="BD129" s="84" t="n">
        <f aca="false">IF($H129=1,MIN(AV129-AY129-BB129,MAX(0,$F129/(1-$F129)*BB129)),0)</f>
        <v>0</v>
      </c>
      <c r="BE129" s="84" t="n">
        <f aca="false">AV129-AY129-BB129-BD129</f>
        <v>0</v>
      </c>
      <c r="BF129" s="84" t="n">
        <f aca="false">AY129+BB129+(1-$F129)*BE129</f>
        <v>0</v>
      </c>
      <c r="BG129" s="84" t="n">
        <f aca="false">BD129+$F129*BE129</f>
        <v>0</v>
      </c>
      <c r="BH129" s="84" t="n">
        <f aca="false">BB129+(1-$F129)*BE129</f>
        <v>0</v>
      </c>
      <c r="BI129" s="84" t="n">
        <f aca="false">BG129</f>
        <v>0</v>
      </c>
      <c r="BJ129" s="133" t="n">
        <f aca="false">AW129+$D129*Inputs!$D$13-$D129*$E129</f>
        <v>8019.5</v>
      </c>
      <c r="BK129" s="84" t="n">
        <f aca="false">BJ129*(1+$I129)</f>
        <v>9222.425</v>
      </c>
      <c r="BL129" s="133" t="n">
        <f aca="false">BK129*Inputs!$D$14</f>
        <v>0</v>
      </c>
      <c r="BM129" s="84" t="n">
        <f aca="false">BK129-BL129</f>
        <v>9222.425</v>
      </c>
      <c r="BN129" s="133" t="n">
        <f aca="false">AZ129+$D129*Inputs!$D$13</f>
        <v>8000</v>
      </c>
      <c r="BO129" s="84" t="n">
        <f aca="false">MIN(BL129,BN129)</f>
        <v>0</v>
      </c>
      <c r="BP129" s="84" t="n">
        <f aca="false">BN129-BO129</f>
        <v>8000</v>
      </c>
      <c r="BQ129" s="84" t="n">
        <f aca="false">BC129+$G129*(BN129+BC129)</f>
        <v>985.6</v>
      </c>
      <c r="BR129" s="84" t="n">
        <f aca="false">MIN(BL129-BO129,BQ129)</f>
        <v>0</v>
      </c>
      <c r="BS129" s="84" t="n">
        <f aca="false">BQ129-BR129</f>
        <v>985.6</v>
      </c>
      <c r="BT129" s="84" t="n">
        <f aca="false">IF($H129=1,MIN(BL129-BO129-BR129,MAX(0,$F129/(1-$F129)*(BH129+BR129)-BI129)),0)</f>
        <v>0</v>
      </c>
      <c r="BU129" s="84" t="n">
        <f aca="false">BL129-BO129-BR129-BT129</f>
        <v>0</v>
      </c>
      <c r="BV129" s="84" t="n">
        <f aca="false">BO129+BR129+(1-$F129)*BU129</f>
        <v>0</v>
      </c>
      <c r="BW129" s="84" t="n">
        <f aca="false">BT129+$F129*BU129</f>
        <v>0</v>
      </c>
      <c r="BX129" s="84" t="n">
        <f aca="false">BH129+BR129+(1-$F129)*BU129</f>
        <v>0</v>
      </c>
      <c r="BY129" s="84" t="n">
        <f aca="false">BI129+BW129</f>
        <v>0</v>
      </c>
      <c r="BZ129" s="133" t="n">
        <f aca="false">BM129+$D129*Inputs!$E$13-$D129*$E129</f>
        <v>12952.425</v>
      </c>
      <c r="CA129" s="84" t="n">
        <f aca="false">BZ129*(1+$I129)</f>
        <v>14895.28875</v>
      </c>
      <c r="CB129" s="133" t="n">
        <f aca="false">CA129*Inputs!$E$14</f>
        <v>0</v>
      </c>
      <c r="CC129" s="84" t="n">
        <f aca="false">CA129-CB129</f>
        <v>14895.28875</v>
      </c>
      <c r="CD129" s="133" t="n">
        <f aca="false">BP129+$D129*Inputs!$E$13</f>
        <v>12000</v>
      </c>
      <c r="CE129" s="84" t="n">
        <f aca="false">MIN(CB129,CD129)</f>
        <v>0</v>
      </c>
      <c r="CF129" s="84" t="n">
        <f aca="false">CD129-CE129</f>
        <v>12000</v>
      </c>
      <c r="CG129" s="84" t="n">
        <f aca="false">BS129+$G129*(CD129+BS129)</f>
        <v>2024.448</v>
      </c>
      <c r="CH129" s="84" t="n">
        <f aca="false">MIN(CB129-CE129,CG129)</f>
        <v>0</v>
      </c>
      <c r="CI129" s="84" t="n">
        <f aca="false">CG129-CH129</f>
        <v>2024.448</v>
      </c>
      <c r="CJ129" s="84" t="n">
        <f aca="false">IF($H129=1,MIN(CB129-CE129-CH129,MAX(0,$F129/(1-$F129)*(BX129+CH129)-BY129)),0)</f>
        <v>0</v>
      </c>
      <c r="CK129" s="84" t="n">
        <f aca="false">CB129-CE129-CH129-CJ129</f>
        <v>0</v>
      </c>
      <c r="CL129" s="84" t="n">
        <f aca="false">CE129+CH129+(1-$F129)*CK129</f>
        <v>0</v>
      </c>
      <c r="CM129" s="84" t="n">
        <f aca="false">CJ129+$F129*CK129</f>
        <v>0</v>
      </c>
      <c r="CN129" s="84" t="n">
        <f aca="false">BX129+CH129+(1-$F129)*CK129</f>
        <v>0</v>
      </c>
      <c r="CO129" s="84" t="n">
        <f aca="false">BY129+CM129</f>
        <v>0</v>
      </c>
      <c r="CP129" s="133" t="n">
        <f aca="false">CC129+$D129*Inputs!$F$13-$D129*$E129</f>
        <v>18625.28875</v>
      </c>
      <c r="CQ129" s="84" t="n">
        <f aca="false">CP129*(1+$I129)</f>
        <v>21419.0820625</v>
      </c>
      <c r="CR129" s="133" t="n">
        <f aca="false">CQ129*Inputs!$F$14</f>
        <v>0</v>
      </c>
      <c r="CS129" s="84" t="n">
        <f aca="false">CQ129-CR129</f>
        <v>21419.0820625</v>
      </c>
      <c r="CT129" s="133" t="n">
        <f aca="false">CF129+$D129*Inputs!$F$13</f>
        <v>16000</v>
      </c>
      <c r="CU129" s="84" t="n">
        <f aca="false">MIN(CR129,CT129)</f>
        <v>0</v>
      </c>
      <c r="CV129" s="84" t="n">
        <f aca="false">CT129-CU129</f>
        <v>16000</v>
      </c>
      <c r="CW129" s="84" t="n">
        <f aca="false">CI129+$G129*(CT129+CI129)</f>
        <v>3466.40384</v>
      </c>
      <c r="CX129" s="84" t="n">
        <f aca="false">MIN(CR129-CU129,CW129)</f>
        <v>0</v>
      </c>
      <c r="CY129" s="84" t="n">
        <f aca="false">CW129-CX129</f>
        <v>3466.40384</v>
      </c>
      <c r="CZ129" s="84" t="n">
        <f aca="false">IF($H129=1,MIN(CR129-CU129-CX129,MAX(0,$F129/(1-$F129)*(CN129+CX129)-CO129)),0)</f>
        <v>0</v>
      </c>
      <c r="DA129" s="84" t="n">
        <f aca="false">CR129-CU129-CX129-CZ129</f>
        <v>0</v>
      </c>
      <c r="DB129" s="84" t="n">
        <f aca="false">CU129+CX129+(1-$F129)*DA129</f>
        <v>0</v>
      </c>
      <c r="DC129" s="84" t="n">
        <f aca="false">CZ129+$F129*DA129</f>
        <v>0</v>
      </c>
      <c r="DD129" s="84" t="n">
        <f aca="false">CN129+CX129+(1-$F129)*DA129</f>
        <v>0</v>
      </c>
      <c r="DE129" s="84" t="n">
        <f aca="false">CO129+DC129</f>
        <v>0</v>
      </c>
      <c r="DF129" s="133" t="n">
        <f aca="false">CS129+$D129*Inputs!$G$13-$D129*$E129</f>
        <v>25149.0820625</v>
      </c>
      <c r="DG129" s="84" t="n">
        <f aca="false">DF129*(1+$I129)</f>
        <v>28921.444371875</v>
      </c>
      <c r="DH129" s="133" t="n">
        <f aca="false">DG129*Inputs!$G$14</f>
        <v>5784.288874375</v>
      </c>
      <c r="DI129" s="84" t="n">
        <f aca="false">DG129-DH129</f>
        <v>23137.1554975</v>
      </c>
      <c r="DJ129" s="133" t="n">
        <f aca="false">CV129+$D129*Inputs!$G$13</f>
        <v>20000</v>
      </c>
      <c r="DK129" s="84" t="n">
        <f aca="false">MIN(DH129,DJ129)</f>
        <v>5784.288874375</v>
      </c>
      <c r="DL129" s="84" t="n">
        <f aca="false">DJ129-DK129</f>
        <v>14215.711125625</v>
      </c>
      <c r="DM129" s="84" t="n">
        <f aca="false">CY129+$G129*(DJ129+CY129)</f>
        <v>5343.7161472</v>
      </c>
      <c r="DN129" s="84" t="n">
        <f aca="false">MIN(DH129-DK129,DM129)</f>
        <v>0</v>
      </c>
      <c r="DO129" s="84" t="n">
        <f aca="false">DM129-DN129</f>
        <v>5343.7161472</v>
      </c>
      <c r="DP129" s="84" t="n">
        <f aca="false">IF($H129=1,MIN(DH129-DK129-DN129,MAX(0,$F129/(1-$F129)*(DD129+DN129)-DE129)),0)</f>
        <v>0</v>
      </c>
      <c r="DQ129" s="84" t="n">
        <f aca="false">DH129-DK129-DN129-DP129</f>
        <v>0</v>
      </c>
      <c r="DR129" s="84" t="n">
        <f aca="false">DK129+DN129+(1-$F129)*DQ129</f>
        <v>5784.288874375</v>
      </c>
      <c r="DS129" s="84" t="n">
        <f aca="false">DP129+$F129*DQ129</f>
        <v>0</v>
      </c>
      <c r="DT129" s="84" t="n">
        <f aca="false">DD129+DN129+(1-$F129)*DQ129</f>
        <v>0</v>
      </c>
      <c r="DU129" s="84" t="n">
        <f aca="false">DE129+DS129</f>
        <v>0</v>
      </c>
      <c r="DV129" s="133" t="n">
        <f aca="false">DI129+$D129*Inputs!$H$13-$D129*$E129</f>
        <v>22867.1554975</v>
      </c>
      <c r="DW129" s="84" t="n">
        <f aca="false">DV129*(1+$I129)</f>
        <v>26297.228822125</v>
      </c>
      <c r="DX129" s="133" t="n">
        <f aca="false">DW129*Inputs!$H$14</f>
        <v>5259.445764425</v>
      </c>
      <c r="DY129" s="84" t="n">
        <f aca="false">DW129-DX129</f>
        <v>21037.7830577</v>
      </c>
      <c r="DZ129" s="133" t="n">
        <f aca="false">DL129+$D129*Inputs!$H$13</f>
        <v>14215.711125625</v>
      </c>
      <c r="EA129" s="84" t="n">
        <f aca="false">MIN(DX129,DZ129)</f>
        <v>5259.445764425</v>
      </c>
      <c r="EB129" s="84" t="n">
        <f aca="false">DZ129-EA129</f>
        <v>8956.2653612</v>
      </c>
      <c r="EC129" s="84" t="n">
        <f aca="false">DO129+$G129*(DZ129+DO129)</f>
        <v>6908.470329026</v>
      </c>
      <c r="ED129" s="84" t="n">
        <f aca="false">MIN(DX129-EA129,EC129)</f>
        <v>0</v>
      </c>
      <c r="EE129" s="84" t="n">
        <f aca="false">EC129-ED129</f>
        <v>6908.470329026</v>
      </c>
      <c r="EF129" s="84" t="n">
        <f aca="false">IF($H129=1,MIN(DX129-EA129-ED129,MAX(0,$F129/(1-$F129)*(DT129+ED129)-DU129)),0)</f>
        <v>0</v>
      </c>
      <c r="EG129" s="84" t="n">
        <f aca="false">DX129-EA129-ED129-EF129</f>
        <v>0</v>
      </c>
      <c r="EH129" s="84" t="n">
        <f aca="false">EA129+ED129+(1-$F129)*EG129</f>
        <v>5259.445764425</v>
      </c>
      <c r="EI129" s="84" t="n">
        <f aca="false">EF129+$F129*EG129</f>
        <v>0</v>
      </c>
      <c r="EJ129" s="84" t="n">
        <f aca="false">DT129+ED129+(1-$F129)*EG129</f>
        <v>0</v>
      </c>
      <c r="EK129" s="84" t="n">
        <f aca="false">DU129+EI129</f>
        <v>0</v>
      </c>
      <c r="EL129" s="133" t="n">
        <f aca="false">DY129+$D129*Inputs!$I$13-$D129*$E129</f>
        <v>20767.7830577</v>
      </c>
      <c r="EM129" s="84" t="n">
        <f aca="false">EL129*(1+$I129)</f>
        <v>23882.950516355</v>
      </c>
      <c r="EN129" s="133" t="n">
        <f aca="false">EM129*Inputs!$I$14</f>
        <v>4776.590103271</v>
      </c>
      <c r="EO129" s="84" t="n">
        <f aca="false">EM129-EN129</f>
        <v>19106.360413084</v>
      </c>
      <c r="EP129" s="133" t="n">
        <f aca="false">EB129+$D129*Inputs!$I$13</f>
        <v>8956.2653612</v>
      </c>
      <c r="EQ129" s="84" t="n">
        <f aca="false">MIN(EN129,EP129)</f>
        <v>4776.590103271</v>
      </c>
      <c r="ER129" s="84" t="n">
        <f aca="false">EP129-EQ129</f>
        <v>4179.675257929</v>
      </c>
      <c r="ES129" s="84" t="n">
        <f aca="false">EE129+$G129*(EP129+EE129)</f>
        <v>8177.64918424408</v>
      </c>
      <c r="ET129" s="84" t="n">
        <f aca="false">MIN(EN129-EQ129,ES129)</f>
        <v>0</v>
      </c>
      <c r="EU129" s="84" t="n">
        <f aca="false">ES129-ET129</f>
        <v>8177.64918424408</v>
      </c>
      <c r="EV129" s="84" t="n">
        <f aca="false">IF($H129=1,MIN(EN129-EQ129-ET129,MAX(0,$F129/(1-$F129)*(EJ129+ET129)-EK129)),0)</f>
        <v>0</v>
      </c>
      <c r="EW129" s="84" t="n">
        <f aca="false">EN129-EQ129-ET129-EV129</f>
        <v>0</v>
      </c>
      <c r="EX129" s="84" t="n">
        <f aca="false">EQ129+ET129+(1-$F129)*EW129</f>
        <v>4776.590103271</v>
      </c>
      <c r="EY129" s="84" t="n">
        <f aca="false">EV129+$F129*EW129</f>
        <v>0</v>
      </c>
      <c r="EZ129" s="84" t="n">
        <f aca="false">EJ129+ET129+(1-$F129)*EW129</f>
        <v>0</v>
      </c>
      <c r="FA129" s="84" t="n">
        <f aca="false">EK129+EY129</f>
        <v>0</v>
      </c>
      <c r="FB129" s="133" t="n">
        <f aca="false">EO129+$D129*Inputs!$J$13-$D129*$E129</f>
        <v>18836.360413084</v>
      </c>
      <c r="FC129" s="84" t="n">
        <f aca="false">FB129*(1+$I129)</f>
        <v>21661.8144750466</v>
      </c>
      <c r="FD129" s="133" t="n">
        <f aca="false">FC129*Inputs!$J$14</f>
        <v>4332.36289500932</v>
      </c>
      <c r="FE129" s="84" t="n">
        <f aca="false">FC129-FD129</f>
        <v>17329.4515800373</v>
      </c>
      <c r="FF129" s="133" t="n">
        <f aca="false">ER129+$D129*Inputs!$J$13</f>
        <v>4179.675257929</v>
      </c>
      <c r="FG129" s="84" t="n">
        <f aca="false">MIN(FD129,FF129)</f>
        <v>4179.675257929</v>
      </c>
      <c r="FH129" s="84" t="n">
        <f aca="false">FF129-FG129</f>
        <v>0</v>
      </c>
      <c r="FI129" s="84" t="n">
        <f aca="false">EU129+$G129*(FF129+EU129)</f>
        <v>9166.23513961793</v>
      </c>
      <c r="FJ129" s="84" t="n">
        <f aca="false">MIN(FD129-FG129,FI129)</f>
        <v>152.687637080315</v>
      </c>
      <c r="FK129" s="84" t="n">
        <f aca="false">FI129-FJ129</f>
        <v>9013.54750253761</v>
      </c>
      <c r="FL129" s="84" t="n">
        <f aca="false">IF($H129=1,MIN(FD129-FG129-FJ129,MAX(0,$F129/(1-$F129)*(EZ129+FJ129)-FA129)),0)</f>
        <v>0</v>
      </c>
      <c r="FM129" s="84" t="n">
        <f aca="false">FD129-FG129-FJ129-FL129</f>
        <v>0</v>
      </c>
      <c r="FN129" s="84" t="n">
        <f aca="false">FG129+FJ129+(1-$F129)*FM129</f>
        <v>4332.36289500932</v>
      </c>
      <c r="FO129" s="84" t="n">
        <f aca="false">FL129+$F129*FM129</f>
        <v>0</v>
      </c>
      <c r="FP129" s="84" t="n">
        <f aca="false">EZ129+FJ129+(1-$F129)*FM129</f>
        <v>152.687637080315</v>
      </c>
      <c r="FQ129" s="84" t="n">
        <f aca="false">FA129+FO129</f>
        <v>0</v>
      </c>
      <c r="FR129" s="133" t="n">
        <f aca="false">FE129+$D129*Inputs!$K$13-$D129*$E129</f>
        <v>17059.4515800373</v>
      </c>
      <c r="FS129" s="84" t="n">
        <f aca="false">FR129*(1+$I129)</f>
        <v>19618.3693170429</v>
      </c>
      <c r="FT129" s="133" t="n">
        <f aca="false">FS129*Inputs!$K$14</f>
        <v>3923.67386340857</v>
      </c>
      <c r="FU129" s="84" t="n">
        <f aca="false">FS129-FT129</f>
        <v>15694.6954536343</v>
      </c>
      <c r="FV129" s="133" t="n">
        <f aca="false">FH129+$D129*Inputs!$K$13</f>
        <v>0</v>
      </c>
      <c r="FW129" s="84" t="n">
        <f aca="false">MIN(FT129,FV129)</f>
        <v>0</v>
      </c>
      <c r="FX129" s="84" t="n">
        <f aca="false">FV129-FW129</f>
        <v>0</v>
      </c>
      <c r="FY129" s="84" t="n">
        <f aca="false">FK129+$G129*(FV129+FK129)</f>
        <v>9734.63130274062</v>
      </c>
      <c r="FZ129" s="84" t="n">
        <f aca="false">MIN(FT129-FW129,FY129)</f>
        <v>3923.67386340857</v>
      </c>
      <c r="GA129" s="84" t="n">
        <f aca="false">FY129-FZ129</f>
        <v>5810.95743933205</v>
      </c>
      <c r="GB129" s="84" t="n">
        <f aca="false">IF($H129=1,MIN(FT129-FW129-FZ129,MAX(0,$F129/(1-$F129)*(FP129+FZ129)-FQ129)),0)</f>
        <v>0</v>
      </c>
      <c r="GC129" s="84" t="n">
        <f aca="false">FT129-FW129-FZ129-GB129</f>
        <v>0</v>
      </c>
      <c r="GD129" s="84" t="n">
        <f aca="false">FW129+FZ129+(1-$F129)*GC129</f>
        <v>3923.67386340857</v>
      </c>
      <c r="GE129" s="84" t="n">
        <f aca="false">GB129+$F129*GC129</f>
        <v>0</v>
      </c>
      <c r="GF129" s="84" t="n">
        <f aca="false">FP129+FZ129+(1-$F129)*GC129</f>
        <v>4076.36150048889</v>
      </c>
      <c r="GG129" s="84" t="n">
        <f aca="false">FQ129+GE129</f>
        <v>0</v>
      </c>
      <c r="GH129" s="133" t="n">
        <f aca="false">FU129+$D129*Inputs!$L$13-$D129*$E129</f>
        <v>15424.6954536343</v>
      </c>
      <c r="GI129" s="84" t="n">
        <f aca="false">GH129*(1+$I129)</f>
        <v>17738.3997716794</v>
      </c>
      <c r="GJ129" s="133" t="n">
        <f aca="false">GI129*Inputs!$L$14</f>
        <v>17738.3997716794</v>
      </c>
      <c r="GK129" s="84" t="n">
        <f aca="false">GI129-GJ129</f>
        <v>0</v>
      </c>
      <c r="GL129" s="133" t="n">
        <f aca="false">FX129+$D129*Inputs!$L$13</f>
        <v>0</v>
      </c>
      <c r="GM129" s="84" t="n">
        <f aca="false">MIN(GJ129,GL129)</f>
        <v>0</v>
      </c>
      <c r="GN129" s="84" t="n">
        <f aca="false">GL129-GM129</f>
        <v>0</v>
      </c>
      <c r="GO129" s="84" t="n">
        <f aca="false">GA129+$G129*(GL129+GA129)</f>
        <v>6275.83403447861</v>
      </c>
      <c r="GP129" s="84" t="n">
        <f aca="false">MIN(GJ129-GM129,GO129)</f>
        <v>6275.83403447861</v>
      </c>
      <c r="GQ129" s="84" t="n">
        <f aca="false">GO129-GP129</f>
        <v>0</v>
      </c>
      <c r="GR129" s="84" t="n">
        <f aca="false">IF($H129=1,MIN(GJ129-GM129-GP129,MAX(0,$F129/(1-$F129)*(GF129+GP129)-GG129)),0)</f>
        <v>2588.04888374187</v>
      </c>
      <c r="GS129" s="84" t="n">
        <f aca="false">GJ129-GM129-GP129-GR129</f>
        <v>8874.51685345894</v>
      </c>
      <c r="GT129" s="84" t="n">
        <f aca="false">GM129+GP129+(1-$F129)*GS129</f>
        <v>13375.4475172458</v>
      </c>
      <c r="GU129" s="84" t="n">
        <f aca="false">GR129+$F129*GS129</f>
        <v>4362.95225443366</v>
      </c>
      <c r="GV129" s="84" t="n">
        <f aca="false">GF129+GP129+(1-$F129)*GS129</f>
        <v>17451.8090177347</v>
      </c>
      <c r="GW129" s="84" t="n">
        <f aca="false">GG129+GU129</f>
        <v>4362.95225443366</v>
      </c>
    </row>
    <row r="130" customFormat="false" ht="15" hidden="false" customHeight="false" outlineLevel="0" collapsed="false">
      <c r="A130" s="5" t="s">
        <v>640</v>
      </c>
      <c r="B130" s="5" t="s">
        <v>428</v>
      </c>
      <c r="C130" s="135" t="n">
        <v>16</v>
      </c>
      <c r="D130" s="47" t="n">
        <f aca="false">Inputs!$C$6</f>
        <v>20000</v>
      </c>
      <c r="E130" s="35" t="n">
        <f aca="false">Inputs!$C$19</f>
        <v>0.0135</v>
      </c>
      <c r="F130" s="36" t="n">
        <f aca="false">Inputs!$C$20</f>
        <v>0.2</v>
      </c>
      <c r="G130" s="36" t="n">
        <f aca="false">Inputs!$C$22</f>
        <v>0.08</v>
      </c>
      <c r="H130" s="44" t="n">
        <f aca="false">Inputs!$C$23</f>
        <v>1</v>
      </c>
      <c r="I130" s="132" t="n">
        <f aca="false">Inputs!$C$38+$C130*Inputs!$C$39</f>
        <v>0.16</v>
      </c>
      <c r="J130" s="36" t="n">
        <f aca="false">Inputs!$C$9</f>
        <v>0.15</v>
      </c>
      <c r="K130" s="89" t="n">
        <f aca="false">IRR(W130:AG130,0.1)</f>
        <v>0.122506295349874</v>
      </c>
      <c r="L130" s="45" t="n">
        <f aca="false">W130+NPV($J130,X130:AG130)</f>
        <v>-2005.70239979395</v>
      </c>
      <c r="M130" s="45" t="n">
        <f aca="false">SUM(BF130,BV130,CL130,DB130,DR130,EH130,EX130,FN130,GD130,GT130)</f>
        <v>39447.116431139</v>
      </c>
      <c r="N130" s="43" t="n">
        <f aca="false">IF($D130*SUM(Inputs!$C$13:$L$13)=0,0,M130/($D130*SUM(Inputs!$C$13:$L$13)))</f>
        <v>1.97235582155695</v>
      </c>
      <c r="O130" s="42" t="n">
        <f aca="false">$D130*$E130*COLUMNS(Inputs!$C$13:$L$13)</f>
        <v>2700</v>
      </c>
      <c r="P130" s="45" t="n">
        <f aca="false">SUM(BG130,BW130,CM130,DC130,DS130,EI130,EY130,FO130,GE130,GU130)</f>
        <v>4861.77910778475</v>
      </c>
      <c r="Q130" s="42" t="n">
        <f aca="false">PV($J130,COLUMNS(Inputs!$C$13:$L$13),-$D130*$E130,0,1)</f>
        <v>1558.32765832774</v>
      </c>
      <c r="R130" s="45" t="n">
        <f aca="false">NPV($J130,BG130,BW130,CM130,DC130,DS130,EI130,EY130,FO130,GE130,GU130)</f>
        <v>1201.7574399872</v>
      </c>
      <c r="S130" s="45" t="n">
        <f aca="false">Q130+R130</f>
        <v>2760.08509831494</v>
      </c>
      <c r="T130" s="32" t="n">
        <f aca="false">IF(S130=0,0,Q130/S130)</f>
        <v>0.564594062436377</v>
      </c>
      <c r="U130" s="45" t="n">
        <f aca="false">ROUND(ABS(GK130)+ABS(SUM(AV130,BL130,CB130,CR130,DH130,DX130,EN130,FD130,FT130,GJ130)-M130-P130)+ABS(S130-(AH130+NPV($J130,AI130:AR130))),6)</f>
        <v>0</v>
      </c>
      <c r="W130" s="133" t="n">
        <f aca="false">-$D130*Inputs!$C$13</f>
        <v>-4000</v>
      </c>
      <c r="X130" s="133" t="n">
        <f aca="false">BF130-$D130*Inputs!$D$13</f>
        <v>-4000</v>
      </c>
      <c r="Y130" s="133" t="n">
        <f aca="false">BV130-$D130*Inputs!$E$13</f>
        <v>-4000</v>
      </c>
      <c r="Z130" s="133" t="n">
        <f aca="false">CL130-$D130*Inputs!$F$13</f>
        <v>-4000</v>
      </c>
      <c r="AA130" s="133" t="n">
        <f aca="false">DB130-$D130*Inputs!$G$13</f>
        <v>-4000</v>
      </c>
      <c r="AB130" s="133" t="n">
        <f aca="false">DR130-$D130*Inputs!$H$13</f>
        <v>5951.1978551296</v>
      </c>
      <c r="AC130" s="133" t="n">
        <f aca="false">EH130-$D130*Inputs!$I$13</f>
        <v>5460.07160956027</v>
      </c>
      <c r="AD130" s="133" t="n">
        <f aca="false">EX130-$D130*Inputs!$J$13</f>
        <v>5004.30645367193</v>
      </c>
      <c r="AE130" s="133" t="n">
        <f aca="false">FN130-$D130*Inputs!$K$13</f>
        <v>4581.35638900755</v>
      </c>
      <c r="AF130" s="133" t="n">
        <f aca="false">GD130-$D130*Inputs!$L$13</f>
        <v>4188.85872899901</v>
      </c>
      <c r="AG130" s="84" t="n">
        <f aca="false">GT130</f>
        <v>14261.3253947706</v>
      </c>
      <c r="AH130" s="84" t="n">
        <f aca="false">$D130*$E130</f>
        <v>270</v>
      </c>
      <c r="AI130" s="84" t="n">
        <f aca="false">BG130+$D130*$E130</f>
        <v>270</v>
      </c>
      <c r="AJ130" s="84" t="n">
        <f aca="false">BW130+$D130*$E130</f>
        <v>270</v>
      </c>
      <c r="AK130" s="84" t="n">
        <f aca="false">CM130+$D130*$E130</f>
        <v>270</v>
      </c>
      <c r="AL130" s="84" t="n">
        <f aca="false">DC130+$D130*$E130</f>
        <v>270</v>
      </c>
      <c r="AM130" s="84" t="n">
        <f aca="false">DS130+$D130*$E130</f>
        <v>270</v>
      </c>
      <c r="AN130" s="84" t="n">
        <f aca="false">EI130+$D130*$E130</f>
        <v>270</v>
      </c>
      <c r="AO130" s="84" t="n">
        <f aca="false">EY130+$D130*$E130</f>
        <v>270</v>
      </c>
      <c r="AP130" s="84" t="n">
        <f aca="false">FO130+$D130*$E130</f>
        <v>270</v>
      </c>
      <c r="AQ130" s="84" t="n">
        <f aca="false">GE130+$D130*$E130</f>
        <v>270</v>
      </c>
      <c r="AR130" s="84" t="n">
        <f aca="false">GU130</f>
        <v>4861.77910778475</v>
      </c>
      <c r="AT130" s="133" t="n">
        <f aca="false">$D130*Inputs!$C$13-$D130*$E130</f>
        <v>3730</v>
      </c>
      <c r="AU130" s="84" t="n">
        <f aca="false">AT130*(1+$I130)</f>
        <v>4326.8</v>
      </c>
      <c r="AV130" s="133" t="n">
        <f aca="false">AU130*Inputs!$C$14</f>
        <v>0</v>
      </c>
      <c r="AW130" s="84" t="n">
        <f aca="false">AU130-AV130</f>
        <v>4326.8</v>
      </c>
      <c r="AX130" s="133" t="n">
        <f aca="false">$D130*Inputs!$C$13</f>
        <v>4000</v>
      </c>
      <c r="AY130" s="84" t="n">
        <f aca="false">MIN(AV130,AX130)</f>
        <v>0</v>
      </c>
      <c r="AZ130" s="84" t="n">
        <f aca="false">AX130-AY130</f>
        <v>4000</v>
      </c>
      <c r="BA130" s="84" t="n">
        <f aca="false">$G130*AX130</f>
        <v>320</v>
      </c>
      <c r="BB130" s="84" t="n">
        <f aca="false">MIN(AV130-AY130,BA130)</f>
        <v>0</v>
      </c>
      <c r="BC130" s="84" t="n">
        <f aca="false">BA130-BB130</f>
        <v>320</v>
      </c>
      <c r="BD130" s="84" t="n">
        <f aca="false">IF($H130=1,MIN(AV130-AY130-BB130,MAX(0,$F130/(1-$F130)*BB130)),0)</f>
        <v>0</v>
      </c>
      <c r="BE130" s="84" t="n">
        <f aca="false">AV130-AY130-BB130-BD130</f>
        <v>0</v>
      </c>
      <c r="BF130" s="84" t="n">
        <f aca="false">AY130+BB130+(1-$F130)*BE130</f>
        <v>0</v>
      </c>
      <c r="BG130" s="84" t="n">
        <f aca="false">BD130+$F130*BE130</f>
        <v>0</v>
      </c>
      <c r="BH130" s="84" t="n">
        <f aca="false">BB130+(1-$F130)*BE130</f>
        <v>0</v>
      </c>
      <c r="BI130" s="84" t="n">
        <f aca="false">BG130</f>
        <v>0</v>
      </c>
      <c r="BJ130" s="133" t="n">
        <f aca="false">AW130+$D130*Inputs!$D$13-$D130*$E130</f>
        <v>8056.8</v>
      </c>
      <c r="BK130" s="84" t="n">
        <f aca="false">BJ130*(1+$I130)</f>
        <v>9345.888</v>
      </c>
      <c r="BL130" s="133" t="n">
        <f aca="false">BK130*Inputs!$D$14</f>
        <v>0</v>
      </c>
      <c r="BM130" s="84" t="n">
        <f aca="false">BK130-BL130</f>
        <v>9345.888</v>
      </c>
      <c r="BN130" s="133" t="n">
        <f aca="false">AZ130+$D130*Inputs!$D$13</f>
        <v>8000</v>
      </c>
      <c r="BO130" s="84" t="n">
        <f aca="false">MIN(BL130,BN130)</f>
        <v>0</v>
      </c>
      <c r="BP130" s="84" t="n">
        <f aca="false">BN130-BO130</f>
        <v>8000</v>
      </c>
      <c r="BQ130" s="84" t="n">
        <f aca="false">BC130+$G130*(BN130+BC130)</f>
        <v>985.6</v>
      </c>
      <c r="BR130" s="84" t="n">
        <f aca="false">MIN(BL130-BO130,BQ130)</f>
        <v>0</v>
      </c>
      <c r="BS130" s="84" t="n">
        <f aca="false">BQ130-BR130</f>
        <v>985.6</v>
      </c>
      <c r="BT130" s="84" t="n">
        <f aca="false">IF($H130=1,MIN(BL130-BO130-BR130,MAX(0,$F130/(1-$F130)*(BH130+BR130)-BI130)),0)</f>
        <v>0</v>
      </c>
      <c r="BU130" s="84" t="n">
        <f aca="false">BL130-BO130-BR130-BT130</f>
        <v>0</v>
      </c>
      <c r="BV130" s="84" t="n">
        <f aca="false">BO130+BR130+(1-$F130)*BU130</f>
        <v>0</v>
      </c>
      <c r="BW130" s="84" t="n">
        <f aca="false">BT130+$F130*BU130</f>
        <v>0</v>
      </c>
      <c r="BX130" s="84" t="n">
        <f aca="false">BH130+BR130+(1-$F130)*BU130</f>
        <v>0</v>
      </c>
      <c r="BY130" s="84" t="n">
        <f aca="false">BI130+BW130</f>
        <v>0</v>
      </c>
      <c r="BZ130" s="133" t="n">
        <f aca="false">BM130+$D130*Inputs!$E$13-$D130*$E130</f>
        <v>13075.888</v>
      </c>
      <c r="CA130" s="84" t="n">
        <f aca="false">BZ130*(1+$I130)</f>
        <v>15168.03008</v>
      </c>
      <c r="CB130" s="133" t="n">
        <f aca="false">CA130*Inputs!$E$14</f>
        <v>0</v>
      </c>
      <c r="CC130" s="84" t="n">
        <f aca="false">CA130-CB130</f>
        <v>15168.03008</v>
      </c>
      <c r="CD130" s="133" t="n">
        <f aca="false">BP130+$D130*Inputs!$E$13</f>
        <v>12000</v>
      </c>
      <c r="CE130" s="84" t="n">
        <f aca="false">MIN(CB130,CD130)</f>
        <v>0</v>
      </c>
      <c r="CF130" s="84" t="n">
        <f aca="false">CD130-CE130</f>
        <v>12000</v>
      </c>
      <c r="CG130" s="84" t="n">
        <f aca="false">BS130+$G130*(CD130+BS130)</f>
        <v>2024.448</v>
      </c>
      <c r="CH130" s="84" t="n">
        <f aca="false">MIN(CB130-CE130,CG130)</f>
        <v>0</v>
      </c>
      <c r="CI130" s="84" t="n">
        <f aca="false">CG130-CH130</f>
        <v>2024.448</v>
      </c>
      <c r="CJ130" s="84" t="n">
        <f aca="false">IF($H130=1,MIN(CB130-CE130-CH130,MAX(0,$F130/(1-$F130)*(BX130+CH130)-BY130)),0)</f>
        <v>0</v>
      </c>
      <c r="CK130" s="84" t="n">
        <f aca="false">CB130-CE130-CH130-CJ130</f>
        <v>0</v>
      </c>
      <c r="CL130" s="84" t="n">
        <f aca="false">CE130+CH130+(1-$F130)*CK130</f>
        <v>0</v>
      </c>
      <c r="CM130" s="84" t="n">
        <f aca="false">CJ130+$F130*CK130</f>
        <v>0</v>
      </c>
      <c r="CN130" s="84" t="n">
        <f aca="false">BX130+CH130+(1-$F130)*CK130</f>
        <v>0</v>
      </c>
      <c r="CO130" s="84" t="n">
        <f aca="false">BY130+CM130</f>
        <v>0</v>
      </c>
      <c r="CP130" s="133" t="n">
        <f aca="false">CC130+$D130*Inputs!$F$13-$D130*$E130</f>
        <v>18898.03008</v>
      </c>
      <c r="CQ130" s="84" t="n">
        <f aca="false">CP130*(1+$I130)</f>
        <v>21921.7148928</v>
      </c>
      <c r="CR130" s="133" t="n">
        <f aca="false">CQ130*Inputs!$F$14</f>
        <v>0</v>
      </c>
      <c r="CS130" s="84" t="n">
        <f aca="false">CQ130-CR130</f>
        <v>21921.7148928</v>
      </c>
      <c r="CT130" s="133" t="n">
        <f aca="false">CF130+$D130*Inputs!$F$13</f>
        <v>16000</v>
      </c>
      <c r="CU130" s="84" t="n">
        <f aca="false">MIN(CR130,CT130)</f>
        <v>0</v>
      </c>
      <c r="CV130" s="84" t="n">
        <f aca="false">CT130-CU130</f>
        <v>16000</v>
      </c>
      <c r="CW130" s="84" t="n">
        <f aca="false">CI130+$G130*(CT130+CI130)</f>
        <v>3466.40384</v>
      </c>
      <c r="CX130" s="84" t="n">
        <f aca="false">MIN(CR130-CU130,CW130)</f>
        <v>0</v>
      </c>
      <c r="CY130" s="84" t="n">
        <f aca="false">CW130-CX130</f>
        <v>3466.40384</v>
      </c>
      <c r="CZ130" s="84" t="n">
        <f aca="false">IF($H130=1,MIN(CR130-CU130-CX130,MAX(0,$F130/(1-$F130)*(CN130+CX130)-CO130)),0)</f>
        <v>0</v>
      </c>
      <c r="DA130" s="84" t="n">
        <f aca="false">CR130-CU130-CX130-CZ130</f>
        <v>0</v>
      </c>
      <c r="DB130" s="84" t="n">
        <f aca="false">CU130+CX130+(1-$F130)*DA130</f>
        <v>0</v>
      </c>
      <c r="DC130" s="84" t="n">
        <f aca="false">CZ130+$F130*DA130</f>
        <v>0</v>
      </c>
      <c r="DD130" s="84" t="n">
        <f aca="false">CN130+CX130+(1-$F130)*DA130</f>
        <v>0</v>
      </c>
      <c r="DE130" s="84" t="n">
        <f aca="false">CO130+DC130</f>
        <v>0</v>
      </c>
      <c r="DF130" s="133" t="n">
        <f aca="false">CS130+$D130*Inputs!$G$13-$D130*$E130</f>
        <v>25651.7148928</v>
      </c>
      <c r="DG130" s="84" t="n">
        <f aca="false">DF130*(1+$I130)</f>
        <v>29755.989275648</v>
      </c>
      <c r="DH130" s="133" t="n">
        <f aca="false">DG130*Inputs!$G$14</f>
        <v>5951.1978551296</v>
      </c>
      <c r="DI130" s="84" t="n">
        <f aca="false">DG130-DH130</f>
        <v>23804.7914205184</v>
      </c>
      <c r="DJ130" s="133" t="n">
        <f aca="false">CV130+$D130*Inputs!$G$13</f>
        <v>20000</v>
      </c>
      <c r="DK130" s="84" t="n">
        <f aca="false">MIN(DH130,DJ130)</f>
        <v>5951.1978551296</v>
      </c>
      <c r="DL130" s="84" t="n">
        <f aca="false">DJ130-DK130</f>
        <v>14048.8021448704</v>
      </c>
      <c r="DM130" s="84" t="n">
        <f aca="false">CY130+$G130*(DJ130+CY130)</f>
        <v>5343.7161472</v>
      </c>
      <c r="DN130" s="84" t="n">
        <f aca="false">MIN(DH130-DK130,DM130)</f>
        <v>0</v>
      </c>
      <c r="DO130" s="84" t="n">
        <f aca="false">DM130-DN130</f>
        <v>5343.7161472</v>
      </c>
      <c r="DP130" s="84" t="n">
        <f aca="false">IF($H130=1,MIN(DH130-DK130-DN130,MAX(0,$F130/(1-$F130)*(DD130+DN130)-DE130)),0)</f>
        <v>0</v>
      </c>
      <c r="DQ130" s="84" t="n">
        <f aca="false">DH130-DK130-DN130-DP130</f>
        <v>0</v>
      </c>
      <c r="DR130" s="84" t="n">
        <f aca="false">DK130+DN130+(1-$F130)*DQ130</f>
        <v>5951.1978551296</v>
      </c>
      <c r="DS130" s="84" t="n">
        <f aca="false">DP130+$F130*DQ130</f>
        <v>0</v>
      </c>
      <c r="DT130" s="84" t="n">
        <f aca="false">DD130+DN130+(1-$F130)*DQ130</f>
        <v>0</v>
      </c>
      <c r="DU130" s="84" t="n">
        <f aca="false">DE130+DS130</f>
        <v>0</v>
      </c>
      <c r="DV130" s="133" t="n">
        <f aca="false">DI130+$D130*Inputs!$H$13-$D130*$E130</f>
        <v>23534.7914205184</v>
      </c>
      <c r="DW130" s="84" t="n">
        <f aca="false">DV130*(1+$I130)</f>
        <v>27300.3580478013</v>
      </c>
      <c r="DX130" s="133" t="n">
        <f aca="false">DW130*Inputs!$H$14</f>
        <v>5460.07160956027</v>
      </c>
      <c r="DY130" s="84" t="n">
        <f aca="false">DW130-DX130</f>
        <v>21840.2864382411</v>
      </c>
      <c r="DZ130" s="133" t="n">
        <f aca="false">DL130+$D130*Inputs!$H$13</f>
        <v>14048.8021448704</v>
      </c>
      <c r="EA130" s="84" t="n">
        <f aca="false">MIN(DX130,DZ130)</f>
        <v>5460.07160956027</v>
      </c>
      <c r="EB130" s="84" t="n">
        <f aca="false">DZ130-EA130</f>
        <v>8588.73053531014</v>
      </c>
      <c r="EC130" s="84" t="n">
        <f aca="false">DO130+$G130*(DZ130+DO130)</f>
        <v>6895.11761056563</v>
      </c>
      <c r="ED130" s="84" t="n">
        <f aca="false">MIN(DX130-EA130,EC130)</f>
        <v>0</v>
      </c>
      <c r="EE130" s="84" t="n">
        <f aca="false">EC130-ED130</f>
        <v>6895.11761056563</v>
      </c>
      <c r="EF130" s="84" t="n">
        <f aca="false">IF($H130=1,MIN(DX130-EA130-ED130,MAX(0,$F130/(1-$F130)*(DT130+ED130)-DU130)),0)</f>
        <v>0</v>
      </c>
      <c r="EG130" s="84" t="n">
        <f aca="false">DX130-EA130-ED130-EF130</f>
        <v>0</v>
      </c>
      <c r="EH130" s="84" t="n">
        <f aca="false">EA130+ED130+(1-$F130)*EG130</f>
        <v>5460.07160956027</v>
      </c>
      <c r="EI130" s="84" t="n">
        <f aca="false">EF130+$F130*EG130</f>
        <v>0</v>
      </c>
      <c r="EJ130" s="84" t="n">
        <f aca="false">DT130+ED130+(1-$F130)*EG130</f>
        <v>0</v>
      </c>
      <c r="EK130" s="84" t="n">
        <f aca="false">DU130+EI130</f>
        <v>0</v>
      </c>
      <c r="EL130" s="133" t="n">
        <f aca="false">DY130+$D130*Inputs!$I$13-$D130*$E130</f>
        <v>21570.2864382411</v>
      </c>
      <c r="EM130" s="84" t="n">
        <f aca="false">EL130*(1+$I130)</f>
        <v>25021.5322683596</v>
      </c>
      <c r="EN130" s="133" t="n">
        <f aca="false">EM130*Inputs!$I$14</f>
        <v>5004.30645367193</v>
      </c>
      <c r="EO130" s="84" t="n">
        <f aca="false">EM130-EN130</f>
        <v>20017.2258146877</v>
      </c>
      <c r="EP130" s="133" t="n">
        <f aca="false">EB130+$D130*Inputs!$I$13</f>
        <v>8588.73053531014</v>
      </c>
      <c r="EQ130" s="84" t="n">
        <f aca="false">MIN(EN130,EP130)</f>
        <v>5004.30645367193</v>
      </c>
      <c r="ER130" s="84" t="n">
        <f aca="false">EP130-EQ130</f>
        <v>3584.42408163821</v>
      </c>
      <c r="ES130" s="84" t="n">
        <f aca="false">EE130+$G130*(EP130+EE130)</f>
        <v>8133.82546223569</v>
      </c>
      <c r="ET130" s="84" t="n">
        <f aca="false">MIN(EN130-EQ130,ES130)</f>
        <v>0</v>
      </c>
      <c r="EU130" s="84" t="n">
        <f aca="false">ES130-ET130</f>
        <v>8133.82546223569</v>
      </c>
      <c r="EV130" s="84" t="n">
        <f aca="false">IF($H130=1,MIN(EN130-EQ130-ET130,MAX(0,$F130/(1-$F130)*(EJ130+ET130)-EK130)),0)</f>
        <v>0</v>
      </c>
      <c r="EW130" s="84" t="n">
        <f aca="false">EN130-EQ130-ET130-EV130</f>
        <v>0</v>
      </c>
      <c r="EX130" s="84" t="n">
        <f aca="false">EQ130+ET130+(1-$F130)*EW130</f>
        <v>5004.30645367193</v>
      </c>
      <c r="EY130" s="84" t="n">
        <f aca="false">EV130+$F130*EW130</f>
        <v>0</v>
      </c>
      <c r="EZ130" s="84" t="n">
        <f aca="false">EJ130+ET130+(1-$F130)*EW130</f>
        <v>0</v>
      </c>
      <c r="FA130" s="84" t="n">
        <f aca="false">EK130+EY130</f>
        <v>0</v>
      </c>
      <c r="FB130" s="133" t="n">
        <f aca="false">EO130+$D130*Inputs!$J$13-$D130*$E130</f>
        <v>19747.2258146877</v>
      </c>
      <c r="FC130" s="84" t="n">
        <f aca="false">FB130*(1+$I130)</f>
        <v>22906.7819450377</v>
      </c>
      <c r="FD130" s="133" t="n">
        <f aca="false">FC130*Inputs!$J$14</f>
        <v>4581.35638900755</v>
      </c>
      <c r="FE130" s="84" t="n">
        <f aca="false">FC130-FD130</f>
        <v>18325.4255560302</v>
      </c>
      <c r="FF130" s="133" t="n">
        <f aca="false">ER130+$D130*Inputs!$J$13</f>
        <v>3584.42408163821</v>
      </c>
      <c r="FG130" s="84" t="n">
        <f aca="false">MIN(FD130,FF130)</f>
        <v>3584.42408163821</v>
      </c>
      <c r="FH130" s="84" t="n">
        <f aca="false">FF130-FG130</f>
        <v>0</v>
      </c>
      <c r="FI130" s="84" t="n">
        <f aca="false">EU130+$G130*(FF130+EU130)</f>
        <v>9071.28542574561</v>
      </c>
      <c r="FJ130" s="84" t="n">
        <f aca="false">MIN(FD130-FG130,FI130)</f>
        <v>996.932307369342</v>
      </c>
      <c r="FK130" s="84" t="n">
        <f aca="false">FI130-FJ130</f>
        <v>8074.35311837626</v>
      </c>
      <c r="FL130" s="84" t="n">
        <f aca="false">IF($H130=1,MIN(FD130-FG130-FJ130,MAX(0,$F130/(1-$F130)*(EZ130+FJ130)-FA130)),0)</f>
        <v>0</v>
      </c>
      <c r="FM130" s="84" t="n">
        <f aca="false">FD130-FG130-FJ130-FL130</f>
        <v>0</v>
      </c>
      <c r="FN130" s="84" t="n">
        <f aca="false">FG130+FJ130+(1-$F130)*FM130</f>
        <v>4581.35638900755</v>
      </c>
      <c r="FO130" s="84" t="n">
        <f aca="false">FL130+$F130*FM130</f>
        <v>0</v>
      </c>
      <c r="FP130" s="84" t="n">
        <f aca="false">EZ130+FJ130+(1-$F130)*FM130</f>
        <v>996.932307369342</v>
      </c>
      <c r="FQ130" s="84" t="n">
        <f aca="false">FA130+FO130</f>
        <v>0</v>
      </c>
      <c r="FR130" s="133" t="n">
        <f aca="false">FE130+$D130*Inputs!$K$13-$D130*$E130</f>
        <v>18055.4255560302</v>
      </c>
      <c r="FS130" s="84" t="n">
        <f aca="false">FR130*(1+$I130)</f>
        <v>20944.293644995</v>
      </c>
      <c r="FT130" s="133" t="n">
        <f aca="false">FS130*Inputs!$K$14</f>
        <v>4188.85872899901</v>
      </c>
      <c r="FU130" s="84" t="n">
        <f aca="false">FS130-FT130</f>
        <v>16755.434915996</v>
      </c>
      <c r="FV130" s="133" t="n">
        <f aca="false">FH130+$D130*Inputs!$K$13</f>
        <v>0</v>
      </c>
      <c r="FW130" s="84" t="n">
        <f aca="false">MIN(FT130,FV130)</f>
        <v>0</v>
      </c>
      <c r="FX130" s="84" t="n">
        <f aca="false">FV130-FW130</f>
        <v>0</v>
      </c>
      <c r="FY130" s="84" t="n">
        <f aca="false">FK130+$G130*(FV130+FK130)</f>
        <v>8720.30136784637</v>
      </c>
      <c r="FZ130" s="84" t="n">
        <f aca="false">MIN(FT130-FW130,FY130)</f>
        <v>4188.85872899901</v>
      </c>
      <c r="GA130" s="84" t="n">
        <f aca="false">FY130-FZ130</f>
        <v>4531.44263884736</v>
      </c>
      <c r="GB130" s="84" t="n">
        <f aca="false">IF($H130=1,MIN(FT130-FW130-FZ130,MAX(0,$F130/(1-$F130)*(FP130+FZ130)-FQ130)),0)</f>
        <v>0</v>
      </c>
      <c r="GC130" s="84" t="n">
        <f aca="false">FT130-FW130-FZ130-GB130</f>
        <v>0</v>
      </c>
      <c r="GD130" s="84" t="n">
        <f aca="false">FW130+FZ130+(1-$F130)*GC130</f>
        <v>4188.85872899901</v>
      </c>
      <c r="GE130" s="84" t="n">
        <f aca="false">GB130+$F130*GC130</f>
        <v>0</v>
      </c>
      <c r="GF130" s="84" t="n">
        <f aca="false">FP130+FZ130+(1-$F130)*GC130</f>
        <v>5185.79103636835</v>
      </c>
      <c r="GG130" s="84" t="n">
        <f aca="false">FQ130+GE130</f>
        <v>0</v>
      </c>
      <c r="GH130" s="133" t="n">
        <f aca="false">FU130+$D130*Inputs!$L$13-$D130*$E130</f>
        <v>16485.434915996</v>
      </c>
      <c r="GI130" s="84" t="n">
        <f aca="false">GH130*(1+$I130)</f>
        <v>19123.1045025554</v>
      </c>
      <c r="GJ130" s="133" t="n">
        <f aca="false">GI130*Inputs!$L$14</f>
        <v>19123.1045025554</v>
      </c>
      <c r="GK130" s="84" t="n">
        <f aca="false">GI130-GJ130</f>
        <v>0</v>
      </c>
      <c r="GL130" s="133" t="n">
        <f aca="false">FX130+$D130*Inputs!$L$13</f>
        <v>0</v>
      </c>
      <c r="GM130" s="84" t="n">
        <f aca="false">MIN(GJ130,GL130)</f>
        <v>0</v>
      </c>
      <c r="GN130" s="84" t="n">
        <f aca="false">GL130-GM130</f>
        <v>0</v>
      </c>
      <c r="GO130" s="84" t="n">
        <f aca="false">GA130+$G130*(GL130+GA130)</f>
        <v>4893.95804995515</v>
      </c>
      <c r="GP130" s="84" t="n">
        <f aca="false">MIN(GJ130-GM130,GO130)</f>
        <v>4893.95804995515</v>
      </c>
      <c r="GQ130" s="84" t="n">
        <f aca="false">GO130-GP130</f>
        <v>0</v>
      </c>
      <c r="GR130" s="84" t="n">
        <f aca="false">IF($H130=1,MIN(GJ130-GM130-GP130,MAX(0,$F130/(1-$F130)*(GF130+GP130)-GG130)),0)</f>
        <v>2519.93727158087</v>
      </c>
      <c r="GS130" s="84" t="n">
        <f aca="false">GJ130-GM130-GP130-GR130</f>
        <v>11709.2091810194</v>
      </c>
      <c r="GT130" s="84" t="n">
        <f aca="false">GM130+GP130+(1-$F130)*GS130</f>
        <v>14261.3253947706</v>
      </c>
      <c r="GU130" s="84" t="n">
        <f aca="false">GR130+$F130*GS130</f>
        <v>4861.77910778475</v>
      </c>
      <c r="GV130" s="84" t="n">
        <f aca="false">GF130+GP130+(1-$F130)*GS130</f>
        <v>19447.116431139</v>
      </c>
      <c r="GW130" s="84" t="n">
        <f aca="false">GG130+GU130</f>
        <v>4861.77910778475</v>
      </c>
    </row>
    <row r="131" customFormat="false" ht="15" hidden="false" customHeight="false" outlineLevel="0" collapsed="false">
      <c r="A131" s="5" t="s">
        <v>640</v>
      </c>
      <c r="B131" s="5" t="s">
        <v>428</v>
      </c>
      <c r="C131" s="135" t="n">
        <v>17</v>
      </c>
      <c r="D131" s="47" t="n">
        <f aca="false">Inputs!$C$6</f>
        <v>20000</v>
      </c>
      <c r="E131" s="35" t="n">
        <f aca="false">Inputs!$C$19</f>
        <v>0.0135</v>
      </c>
      <c r="F131" s="36" t="n">
        <f aca="false">Inputs!$C$20</f>
        <v>0.2</v>
      </c>
      <c r="G131" s="36" t="n">
        <f aca="false">Inputs!$C$22</f>
        <v>0.08</v>
      </c>
      <c r="H131" s="44" t="n">
        <f aca="false">Inputs!$C$23</f>
        <v>1</v>
      </c>
      <c r="I131" s="132" t="n">
        <f aca="false">Inputs!$C$38+$C131*Inputs!$C$39</f>
        <v>0.17</v>
      </c>
      <c r="J131" s="36" t="n">
        <f aca="false">Inputs!$C$9</f>
        <v>0.15</v>
      </c>
      <c r="K131" s="89" t="n">
        <f aca="false">IRR(W131:AG131,0.1)</f>
        <v>0.132030299535599</v>
      </c>
      <c r="L131" s="45" t="n">
        <f aca="false">W131+NPV($J131,X131:AG131)</f>
        <v>-1341.37562509373</v>
      </c>
      <c r="M131" s="45" t="n">
        <f aca="false">SUM(BF131,BV131,CL131,DB131,DR131,EH131,EX131,FN131,GD131,GT131)</f>
        <v>41556.4839422543</v>
      </c>
      <c r="N131" s="43" t="n">
        <f aca="false">IF($D131*SUM(Inputs!$C$13:$L$13)=0,0,M131/($D131*SUM(Inputs!$C$13:$L$13)))</f>
        <v>2.07782419711272</v>
      </c>
      <c r="O131" s="42" t="n">
        <f aca="false">$D131*$E131*COLUMNS(Inputs!$C$13:$L$13)</f>
        <v>2700</v>
      </c>
      <c r="P131" s="45" t="n">
        <f aca="false">SUM(BG131,BW131,CM131,DC131,DS131,EI131,EY131,FO131,GE131,GU131)</f>
        <v>5389.12098556358</v>
      </c>
      <c r="Q131" s="42" t="n">
        <f aca="false">PV($J131,COLUMNS(Inputs!$C$13:$L$13),-$D131*$E131,0,1)</f>
        <v>1558.32765832774</v>
      </c>
      <c r="R131" s="45" t="n">
        <f aca="false">NPV($J131,BG131,BW131,CM131,DC131,DS131,EI131,EY131,FO131,GE131,GU131)</f>
        <v>1332.10828707171</v>
      </c>
      <c r="S131" s="45" t="n">
        <f aca="false">Q131+R131</f>
        <v>2890.43594539945</v>
      </c>
      <c r="T131" s="32" t="n">
        <f aca="false">IF(S131=0,0,Q131/S131)</f>
        <v>0.539132396553552</v>
      </c>
      <c r="U131" s="45" t="n">
        <f aca="false">ROUND(ABS(GK131)+ABS(SUM(AV131,BL131,CB131,CR131,DH131,DX131,EN131,FD131,FT131,GJ131)-M131-P131)+ABS(S131-(AH131+NPV($J131,AI131:AR131))),6)</f>
        <v>0</v>
      </c>
      <c r="W131" s="133" t="n">
        <f aca="false">-$D131*Inputs!$C$13</f>
        <v>-4000</v>
      </c>
      <c r="X131" s="133" t="n">
        <f aca="false">BF131-$D131*Inputs!$D$13</f>
        <v>-4000</v>
      </c>
      <c r="Y131" s="133" t="n">
        <f aca="false">BV131-$D131*Inputs!$E$13</f>
        <v>-4000</v>
      </c>
      <c r="Z131" s="133" t="n">
        <f aca="false">CL131-$D131*Inputs!$F$13</f>
        <v>-4000</v>
      </c>
      <c r="AA131" s="133" t="n">
        <f aca="false">DB131-$D131*Inputs!$G$13</f>
        <v>-4000</v>
      </c>
      <c r="AB131" s="133" t="n">
        <f aca="false">DR131-$D131*Inputs!$H$13</f>
        <v>6122.3087912922</v>
      </c>
      <c r="AC131" s="133" t="n">
        <f aca="false">EH131-$D131*Inputs!$I$13</f>
        <v>5667.3010286495</v>
      </c>
      <c r="AD131" s="133" t="n">
        <f aca="false">EX131-$D131*Inputs!$J$13</f>
        <v>5241.41376281593</v>
      </c>
      <c r="AE131" s="133" t="n">
        <f aca="false">FN131-$D131*Inputs!$K$13</f>
        <v>4842.78328199571</v>
      </c>
      <c r="AF131" s="133" t="n">
        <f aca="false">GD131-$D131*Inputs!$L$13</f>
        <v>4469.66515194798</v>
      </c>
      <c r="AG131" s="84" t="n">
        <f aca="false">GT131</f>
        <v>15213.011925553</v>
      </c>
      <c r="AH131" s="84" t="n">
        <f aca="false">$D131*$E131</f>
        <v>270</v>
      </c>
      <c r="AI131" s="84" t="n">
        <f aca="false">BG131+$D131*$E131</f>
        <v>270</v>
      </c>
      <c r="AJ131" s="84" t="n">
        <f aca="false">BW131+$D131*$E131</f>
        <v>270</v>
      </c>
      <c r="AK131" s="84" t="n">
        <f aca="false">CM131+$D131*$E131</f>
        <v>270</v>
      </c>
      <c r="AL131" s="84" t="n">
        <f aca="false">DC131+$D131*$E131</f>
        <v>270</v>
      </c>
      <c r="AM131" s="84" t="n">
        <f aca="false">DS131+$D131*$E131</f>
        <v>270</v>
      </c>
      <c r="AN131" s="84" t="n">
        <f aca="false">EI131+$D131*$E131</f>
        <v>270</v>
      </c>
      <c r="AO131" s="84" t="n">
        <f aca="false">EY131+$D131*$E131</f>
        <v>270</v>
      </c>
      <c r="AP131" s="84" t="n">
        <f aca="false">FO131+$D131*$E131</f>
        <v>270</v>
      </c>
      <c r="AQ131" s="84" t="n">
        <f aca="false">GE131+$D131*$E131</f>
        <v>270</v>
      </c>
      <c r="AR131" s="84" t="n">
        <f aca="false">GU131</f>
        <v>5389.12098556358</v>
      </c>
      <c r="AT131" s="133" t="n">
        <f aca="false">$D131*Inputs!$C$13-$D131*$E131</f>
        <v>3730</v>
      </c>
      <c r="AU131" s="84" t="n">
        <f aca="false">AT131*(1+$I131)</f>
        <v>4364.1</v>
      </c>
      <c r="AV131" s="133" t="n">
        <f aca="false">AU131*Inputs!$C$14</f>
        <v>0</v>
      </c>
      <c r="AW131" s="84" t="n">
        <f aca="false">AU131-AV131</f>
        <v>4364.1</v>
      </c>
      <c r="AX131" s="133" t="n">
        <f aca="false">$D131*Inputs!$C$13</f>
        <v>4000</v>
      </c>
      <c r="AY131" s="84" t="n">
        <f aca="false">MIN(AV131,AX131)</f>
        <v>0</v>
      </c>
      <c r="AZ131" s="84" t="n">
        <f aca="false">AX131-AY131</f>
        <v>4000</v>
      </c>
      <c r="BA131" s="84" t="n">
        <f aca="false">$G131*AX131</f>
        <v>320</v>
      </c>
      <c r="BB131" s="84" t="n">
        <f aca="false">MIN(AV131-AY131,BA131)</f>
        <v>0</v>
      </c>
      <c r="BC131" s="84" t="n">
        <f aca="false">BA131-BB131</f>
        <v>320</v>
      </c>
      <c r="BD131" s="84" t="n">
        <f aca="false">IF($H131=1,MIN(AV131-AY131-BB131,MAX(0,$F131/(1-$F131)*BB131)),0)</f>
        <v>0</v>
      </c>
      <c r="BE131" s="84" t="n">
        <f aca="false">AV131-AY131-BB131-BD131</f>
        <v>0</v>
      </c>
      <c r="BF131" s="84" t="n">
        <f aca="false">AY131+BB131+(1-$F131)*BE131</f>
        <v>0</v>
      </c>
      <c r="BG131" s="84" t="n">
        <f aca="false">BD131+$F131*BE131</f>
        <v>0</v>
      </c>
      <c r="BH131" s="84" t="n">
        <f aca="false">BB131+(1-$F131)*BE131</f>
        <v>0</v>
      </c>
      <c r="BI131" s="84" t="n">
        <f aca="false">BG131</f>
        <v>0</v>
      </c>
      <c r="BJ131" s="133" t="n">
        <f aca="false">AW131+$D131*Inputs!$D$13-$D131*$E131</f>
        <v>8094.1</v>
      </c>
      <c r="BK131" s="84" t="n">
        <f aca="false">BJ131*(1+$I131)</f>
        <v>9470.097</v>
      </c>
      <c r="BL131" s="133" t="n">
        <f aca="false">BK131*Inputs!$D$14</f>
        <v>0</v>
      </c>
      <c r="BM131" s="84" t="n">
        <f aca="false">BK131-BL131</f>
        <v>9470.097</v>
      </c>
      <c r="BN131" s="133" t="n">
        <f aca="false">AZ131+$D131*Inputs!$D$13</f>
        <v>8000</v>
      </c>
      <c r="BO131" s="84" t="n">
        <f aca="false">MIN(BL131,BN131)</f>
        <v>0</v>
      </c>
      <c r="BP131" s="84" t="n">
        <f aca="false">BN131-BO131</f>
        <v>8000</v>
      </c>
      <c r="BQ131" s="84" t="n">
        <f aca="false">BC131+$G131*(BN131+BC131)</f>
        <v>985.6</v>
      </c>
      <c r="BR131" s="84" t="n">
        <f aca="false">MIN(BL131-BO131,BQ131)</f>
        <v>0</v>
      </c>
      <c r="BS131" s="84" t="n">
        <f aca="false">BQ131-BR131</f>
        <v>985.6</v>
      </c>
      <c r="BT131" s="84" t="n">
        <f aca="false">IF($H131=1,MIN(BL131-BO131-BR131,MAX(0,$F131/(1-$F131)*(BH131+BR131)-BI131)),0)</f>
        <v>0</v>
      </c>
      <c r="BU131" s="84" t="n">
        <f aca="false">BL131-BO131-BR131-BT131</f>
        <v>0</v>
      </c>
      <c r="BV131" s="84" t="n">
        <f aca="false">BO131+BR131+(1-$F131)*BU131</f>
        <v>0</v>
      </c>
      <c r="BW131" s="84" t="n">
        <f aca="false">BT131+$F131*BU131</f>
        <v>0</v>
      </c>
      <c r="BX131" s="84" t="n">
        <f aca="false">BH131+BR131+(1-$F131)*BU131</f>
        <v>0</v>
      </c>
      <c r="BY131" s="84" t="n">
        <f aca="false">BI131+BW131</f>
        <v>0</v>
      </c>
      <c r="BZ131" s="133" t="n">
        <f aca="false">BM131+$D131*Inputs!$E$13-$D131*$E131</f>
        <v>13200.097</v>
      </c>
      <c r="CA131" s="84" t="n">
        <f aca="false">BZ131*(1+$I131)</f>
        <v>15444.11349</v>
      </c>
      <c r="CB131" s="133" t="n">
        <f aca="false">CA131*Inputs!$E$14</f>
        <v>0</v>
      </c>
      <c r="CC131" s="84" t="n">
        <f aca="false">CA131-CB131</f>
        <v>15444.11349</v>
      </c>
      <c r="CD131" s="133" t="n">
        <f aca="false">BP131+$D131*Inputs!$E$13</f>
        <v>12000</v>
      </c>
      <c r="CE131" s="84" t="n">
        <f aca="false">MIN(CB131,CD131)</f>
        <v>0</v>
      </c>
      <c r="CF131" s="84" t="n">
        <f aca="false">CD131-CE131</f>
        <v>12000</v>
      </c>
      <c r="CG131" s="84" t="n">
        <f aca="false">BS131+$G131*(CD131+BS131)</f>
        <v>2024.448</v>
      </c>
      <c r="CH131" s="84" t="n">
        <f aca="false">MIN(CB131-CE131,CG131)</f>
        <v>0</v>
      </c>
      <c r="CI131" s="84" t="n">
        <f aca="false">CG131-CH131</f>
        <v>2024.448</v>
      </c>
      <c r="CJ131" s="84" t="n">
        <f aca="false">IF($H131=1,MIN(CB131-CE131-CH131,MAX(0,$F131/(1-$F131)*(BX131+CH131)-BY131)),0)</f>
        <v>0</v>
      </c>
      <c r="CK131" s="84" t="n">
        <f aca="false">CB131-CE131-CH131-CJ131</f>
        <v>0</v>
      </c>
      <c r="CL131" s="84" t="n">
        <f aca="false">CE131+CH131+(1-$F131)*CK131</f>
        <v>0</v>
      </c>
      <c r="CM131" s="84" t="n">
        <f aca="false">CJ131+$F131*CK131</f>
        <v>0</v>
      </c>
      <c r="CN131" s="84" t="n">
        <f aca="false">BX131+CH131+(1-$F131)*CK131</f>
        <v>0</v>
      </c>
      <c r="CO131" s="84" t="n">
        <f aca="false">BY131+CM131</f>
        <v>0</v>
      </c>
      <c r="CP131" s="133" t="n">
        <f aca="false">CC131+$D131*Inputs!$F$13-$D131*$E131</f>
        <v>19174.11349</v>
      </c>
      <c r="CQ131" s="84" t="n">
        <f aca="false">CP131*(1+$I131)</f>
        <v>22433.7127833</v>
      </c>
      <c r="CR131" s="133" t="n">
        <f aca="false">CQ131*Inputs!$F$14</f>
        <v>0</v>
      </c>
      <c r="CS131" s="84" t="n">
        <f aca="false">CQ131-CR131</f>
        <v>22433.7127833</v>
      </c>
      <c r="CT131" s="133" t="n">
        <f aca="false">CF131+$D131*Inputs!$F$13</f>
        <v>16000</v>
      </c>
      <c r="CU131" s="84" t="n">
        <f aca="false">MIN(CR131,CT131)</f>
        <v>0</v>
      </c>
      <c r="CV131" s="84" t="n">
        <f aca="false">CT131-CU131</f>
        <v>16000</v>
      </c>
      <c r="CW131" s="84" t="n">
        <f aca="false">CI131+$G131*(CT131+CI131)</f>
        <v>3466.40384</v>
      </c>
      <c r="CX131" s="84" t="n">
        <f aca="false">MIN(CR131-CU131,CW131)</f>
        <v>0</v>
      </c>
      <c r="CY131" s="84" t="n">
        <f aca="false">CW131-CX131</f>
        <v>3466.40384</v>
      </c>
      <c r="CZ131" s="84" t="n">
        <f aca="false">IF($H131=1,MIN(CR131-CU131-CX131,MAX(0,$F131/(1-$F131)*(CN131+CX131)-CO131)),0)</f>
        <v>0</v>
      </c>
      <c r="DA131" s="84" t="n">
        <f aca="false">CR131-CU131-CX131-CZ131</f>
        <v>0</v>
      </c>
      <c r="DB131" s="84" t="n">
        <f aca="false">CU131+CX131+(1-$F131)*DA131</f>
        <v>0</v>
      </c>
      <c r="DC131" s="84" t="n">
        <f aca="false">CZ131+$F131*DA131</f>
        <v>0</v>
      </c>
      <c r="DD131" s="84" t="n">
        <f aca="false">CN131+CX131+(1-$F131)*DA131</f>
        <v>0</v>
      </c>
      <c r="DE131" s="84" t="n">
        <f aca="false">CO131+DC131</f>
        <v>0</v>
      </c>
      <c r="DF131" s="133" t="n">
        <f aca="false">CS131+$D131*Inputs!$G$13-$D131*$E131</f>
        <v>26163.7127833</v>
      </c>
      <c r="DG131" s="84" t="n">
        <f aca="false">DF131*(1+$I131)</f>
        <v>30611.543956461</v>
      </c>
      <c r="DH131" s="133" t="n">
        <f aca="false">DG131*Inputs!$G$14</f>
        <v>6122.3087912922</v>
      </c>
      <c r="DI131" s="84" t="n">
        <f aca="false">DG131-DH131</f>
        <v>24489.2351651688</v>
      </c>
      <c r="DJ131" s="133" t="n">
        <f aca="false">CV131+$D131*Inputs!$G$13</f>
        <v>20000</v>
      </c>
      <c r="DK131" s="84" t="n">
        <f aca="false">MIN(DH131,DJ131)</f>
        <v>6122.3087912922</v>
      </c>
      <c r="DL131" s="84" t="n">
        <f aca="false">DJ131-DK131</f>
        <v>13877.6912087078</v>
      </c>
      <c r="DM131" s="84" t="n">
        <f aca="false">CY131+$G131*(DJ131+CY131)</f>
        <v>5343.7161472</v>
      </c>
      <c r="DN131" s="84" t="n">
        <f aca="false">MIN(DH131-DK131,DM131)</f>
        <v>0</v>
      </c>
      <c r="DO131" s="84" t="n">
        <f aca="false">DM131-DN131</f>
        <v>5343.7161472</v>
      </c>
      <c r="DP131" s="84" t="n">
        <f aca="false">IF($H131=1,MIN(DH131-DK131-DN131,MAX(0,$F131/(1-$F131)*(DD131+DN131)-DE131)),0)</f>
        <v>0</v>
      </c>
      <c r="DQ131" s="84" t="n">
        <f aca="false">DH131-DK131-DN131-DP131</f>
        <v>0</v>
      </c>
      <c r="DR131" s="84" t="n">
        <f aca="false">DK131+DN131+(1-$F131)*DQ131</f>
        <v>6122.3087912922</v>
      </c>
      <c r="DS131" s="84" t="n">
        <f aca="false">DP131+$F131*DQ131</f>
        <v>0</v>
      </c>
      <c r="DT131" s="84" t="n">
        <f aca="false">DD131+DN131+(1-$F131)*DQ131</f>
        <v>0</v>
      </c>
      <c r="DU131" s="84" t="n">
        <f aca="false">DE131+DS131</f>
        <v>0</v>
      </c>
      <c r="DV131" s="133" t="n">
        <f aca="false">DI131+$D131*Inputs!$H$13-$D131*$E131</f>
        <v>24219.2351651688</v>
      </c>
      <c r="DW131" s="84" t="n">
        <f aca="false">DV131*(1+$I131)</f>
        <v>28336.5051432475</v>
      </c>
      <c r="DX131" s="133" t="n">
        <f aca="false">DW131*Inputs!$H$14</f>
        <v>5667.3010286495</v>
      </c>
      <c r="DY131" s="84" t="n">
        <f aca="false">DW131-DX131</f>
        <v>22669.204114598</v>
      </c>
      <c r="DZ131" s="133" t="n">
        <f aca="false">DL131+$D131*Inputs!$H$13</f>
        <v>13877.6912087078</v>
      </c>
      <c r="EA131" s="84" t="n">
        <f aca="false">MIN(DX131,DZ131)</f>
        <v>5667.3010286495</v>
      </c>
      <c r="EB131" s="84" t="n">
        <f aca="false">DZ131-EA131</f>
        <v>8210.3901800583</v>
      </c>
      <c r="EC131" s="84" t="n">
        <f aca="false">DO131+$G131*(DZ131+DO131)</f>
        <v>6881.42873567262</v>
      </c>
      <c r="ED131" s="84" t="n">
        <f aca="false">MIN(DX131-EA131,EC131)</f>
        <v>0</v>
      </c>
      <c r="EE131" s="84" t="n">
        <f aca="false">EC131-ED131</f>
        <v>6881.42873567262</v>
      </c>
      <c r="EF131" s="84" t="n">
        <f aca="false">IF($H131=1,MIN(DX131-EA131-ED131,MAX(0,$F131/(1-$F131)*(DT131+ED131)-DU131)),0)</f>
        <v>0</v>
      </c>
      <c r="EG131" s="84" t="n">
        <f aca="false">DX131-EA131-ED131-EF131</f>
        <v>0</v>
      </c>
      <c r="EH131" s="84" t="n">
        <f aca="false">EA131+ED131+(1-$F131)*EG131</f>
        <v>5667.3010286495</v>
      </c>
      <c r="EI131" s="84" t="n">
        <f aca="false">EF131+$F131*EG131</f>
        <v>0</v>
      </c>
      <c r="EJ131" s="84" t="n">
        <f aca="false">DT131+ED131+(1-$F131)*EG131</f>
        <v>0</v>
      </c>
      <c r="EK131" s="84" t="n">
        <f aca="false">DU131+EI131</f>
        <v>0</v>
      </c>
      <c r="EL131" s="133" t="n">
        <f aca="false">DY131+$D131*Inputs!$I$13-$D131*$E131</f>
        <v>22399.204114598</v>
      </c>
      <c r="EM131" s="84" t="n">
        <f aca="false">EL131*(1+$I131)</f>
        <v>26207.0688140796</v>
      </c>
      <c r="EN131" s="133" t="n">
        <f aca="false">EM131*Inputs!$I$14</f>
        <v>5241.41376281593</v>
      </c>
      <c r="EO131" s="84" t="n">
        <f aca="false">EM131-EN131</f>
        <v>20965.6550512637</v>
      </c>
      <c r="EP131" s="133" t="n">
        <f aca="false">EB131+$D131*Inputs!$I$13</f>
        <v>8210.3901800583</v>
      </c>
      <c r="EQ131" s="84" t="n">
        <f aca="false">MIN(EN131,EP131)</f>
        <v>5241.41376281593</v>
      </c>
      <c r="ER131" s="84" t="n">
        <f aca="false">EP131-EQ131</f>
        <v>2968.97641724237</v>
      </c>
      <c r="ES131" s="84" t="n">
        <f aca="false">EE131+$G131*(EP131+EE131)</f>
        <v>8088.7742489311</v>
      </c>
      <c r="ET131" s="84" t="n">
        <f aca="false">MIN(EN131-EQ131,ES131)</f>
        <v>0</v>
      </c>
      <c r="EU131" s="84" t="n">
        <f aca="false">ES131-ET131</f>
        <v>8088.7742489311</v>
      </c>
      <c r="EV131" s="84" t="n">
        <f aca="false">IF($H131=1,MIN(EN131-EQ131-ET131,MAX(0,$F131/(1-$F131)*(EJ131+ET131)-EK131)),0)</f>
        <v>0</v>
      </c>
      <c r="EW131" s="84" t="n">
        <f aca="false">EN131-EQ131-ET131-EV131</f>
        <v>0</v>
      </c>
      <c r="EX131" s="84" t="n">
        <f aca="false">EQ131+ET131+(1-$F131)*EW131</f>
        <v>5241.41376281593</v>
      </c>
      <c r="EY131" s="84" t="n">
        <f aca="false">EV131+$F131*EW131</f>
        <v>0</v>
      </c>
      <c r="EZ131" s="84" t="n">
        <f aca="false">EJ131+ET131+(1-$F131)*EW131</f>
        <v>0</v>
      </c>
      <c r="FA131" s="84" t="n">
        <f aca="false">EK131+EY131</f>
        <v>0</v>
      </c>
      <c r="FB131" s="133" t="n">
        <f aca="false">EO131+$D131*Inputs!$J$13-$D131*$E131</f>
        <v>20695.6550512637</v>
      </c>
      <c r="FC131" s="84" t="n">
        <f aca="false">FB131*(1+$I131)</f>
        <v>24213.9164099785</v>
      </c>
      <c r="FD131" s="133" t="n">
        <f aca="false">FC131*Inputs!$J$14</f>
        <v>4842.78328199571</v>
      </c>
      <c r="FE131" s="84" t="n">
        <f aca="false">FC131-FD131</f>
        <v>19371.1331279828</v>
      </c>
      <c r="FF131" s="133" t="n">
        <f aca="false">ER131+$D131*Inputs!$J$13</f>
        <v>2968.97641724237</v>
      </c>
      <c r="FG131" s="84" t="n">
        <f aca="false">MIN(FD131,FF131)</f>
        <v>2968.97641724237</v>
      </c>
      <c r="FH131" s="84" t="n">
        <f aca="false">FF131-FG131</f>
        <v>0</v>
      </c>
      <c r="FI131" s="84" t="n">
        <f aca="false">EU131+$G131*(FF131+EU131)</f>
        <v>8973.39430222498</v>
      </c>
      <c r="FJ131" s="84" t="n">
        <f aca="false">MIN(FD131-FG131,FI131)</f>
        <v>1873.80686475333</v>
      </c>
      <c r="FK131" s="84" t="n">
        <f aca="false">FI131-FJ131</f>
        <v>7099.58743747164</v>
      </c>
      <c r="FL131" s="84" t="n">
        <f aca="false">IF($H131=1,MIN(FD131-FG131-FJ131,MAX(0,$F131/(1-$F131)*(EZ131+FJ131)-FA131)),0)</f>
        <v>0</v>
      </c>
      <c r="FM131" s="84" t="n">
        <f aca="false">FD131-FG131-FJ131-FL131</f>
        <v>0</v>
      </c>
      <c r="FN131" s="84" t="n">
        <f aca="false">FG131+FJ131+(1-$F131)*FM131</f>
        <v>4842.78328199571</v>
      </c>
      <c r="FO131" s="84" t="n">
        <f aca="false">FL131+$F131*FM131</f>
        <v>0</v>
      </c>
      <c r="FP131" s="84" t="n">
        <f aca="false">EZ131+FJ131+(1-$F131)*FM131</f>
        <v>1873.80686475333</v>
      </c>
      <c r="FQ131" s="84" t="n">
        <f aca="false">FA131+FO131</f>
        <v>0</v>
      </c>
      <c r="FR131" s="133" t="n">
        <f aca="false">FE131+$D131*Inputs!$K$13-$D131*$E131</f>
        <v>19101.1331279828</v>
      </c>
      <c r="FS131" s="84" t="n">
        <f aca="false">FR131*(1+$I131)</f>
        <v>22348.3257597399</v>
      </c>
      <c r="FT131" s="133" t="n">
        <f aca="false">FS131*Inputs!$K$14</f>
        <v>4469.66515194798</v>
      </c>
      <c r="FU131" s="84" t="n">
        <f aca="false">FS131-FT131</f>
        <v>17878.6606077919</v>
      </c>
      <c r="FV131" s="133" t="n">
        <f aca="false">FH131+$D131*Inputs!$K$13</f>
        <v>0</v>
      </c>
      <c r="FW131" s="84" t="n">
        <f aca="false">MIN(FT131,FV131)</f>
        <v>0</v>
      </c>
      <c r="FX131" s="84" t="n">
        <f aca="false">FV131-FW131</f>
        <v>0</v>
      </c>
      <c r="FY131" s="84" t="n">
        <f aca="false">FK131+$G131*(FV131+FK131)</f>
        <v>7667.55443246937</v>
      </c>
      <c r="FZ131" s="84" t="n">
        <f aca="false">MIN(FT131-FW131,FY131)</f>
        <v>4469.66515194798</v>
      </c>
      <c r="GA131" s="84" t="n">
        <f aca="false">FY131-FZ131</f>
        <v>3197.88928052139</v>
      </c>
      <c r="GB131" s="84" t="n">
        <f aca="false">IF($H131=1,MIN(FT131-FW131-FZ131,MAX(0,$F131/(1-$F131)*(FP131+FZ131)-FQ131)),0)</f>
        <v>0</v>
      </c>
      <c r="GC131" s="84" t="n">
        <f aca="false">FT131-FW131-FZ131-GB131</f>
        <v>0</v>
      </c>
      <c r="GD131" s="84" t="n">
        <f aca="false">FW131+FZ131+(1-$F131)*GC131</f>
        <v>4469.66515194798</v>
      </c>
      <c r="GE131" s="84" t="n">
        <f aca="false">GB131+$F131*GC131</f>
        <v>0</v>
      </c>
      <c r="GF131" s="84" t="n">
        <f aca="false">FP131+FZ131+(1-$F131)*GC131</f>
        <v>6343.47201670132</v>
      </c>
      <c r="GG131" s="84" t="n">
        <f aca="false">FQ131+GE131</f>
        <v>0</v>
      </c>
      <c r="GH131" s="133" t="n">
        <f aca="false">FU131+$D131*Inputs!$L$13-$D131*$E131</f>
        <v>17608.6606077919</v>
      </c>
      <c r="GI131" s="84" t="n">
        <f aca="false">GH131*(1+$I131)</f>
        <v>20602.1329111166</v>
      </c>
      <c r="GJ131" s="133" t="n">
        <f aca="false">GI131*Inputs!$L$14</f>
        <v>20602.1329111166</v>
      </c>
      <c r="GK131" s="84" t="n">
        <f aca="false">GI131-GJ131</f>
        <v>0</v>
      </c>
      <c r="GL131" s="133" t="n">
        <f aca="false">FX131+$D131*Inputs!$L$13</f>
        <v>0</v>
      </c>
      <c r="GM131" s="84" t="n">
        <f aca="false">MIN(GJ131,GL131)</f>
        <v>0</v>
      </c>
      <c r="GN131" s="84" t="n">
        <f aca="false">GL131-GM131</f>
        <v>0</v>
      </c>
      <c r="GO131" s="84" t="n">
        <f aca="false">GA131+$G131*(GL131+GA131)</f>
        <v>3453.7204229631</v>
      </c>
      <c r="GP131" s="84" t="n">
        <f aca="false">MIN(GJ131-GM131,GO131)</f>
        <v>3453.7204229631</v>
      </c>
      <c r="GQ131" s="84" t="n">
        <f aca="false">GO131-GP131</f>
        <v>0</v>
      </c>
      <c r="GR131" s="84" t="n">
        <f aca="false">IF($H131=1,MIN(GJ131-GM131-GP131,MAX(0,$F131/(1-$F131)*(GF131+GP131)-GG131)),0)</f>
        <v>2449.2981099161</v>
      </c>
      <c r="GS131" s="84" t="n">
        <f aca="false">GJ131-GM131-GP131-GR131</f>
        <v>14699.1143782374</v>
      </c>
      <c r="GT131" s="84" t="n">
        <f aca="false">GM131+GP131+(1-$F131)*GS131</f>
        <v>15213.011925553</v>
      </c>
      <c r="GU131" s="84" t="n">
        <f aca="false">GR131+$F131*GS131</f>
        <v>5389.12098556358</v>
      </c>
      <c r="GV131" s="84" t="n">
        <f aca="false">GF131+GP131+(1-$F131)*GS131</f>
        <v>21556.4839422543</v>
      </c>
      <c r="GW131" s="84" t="n">
        <f aca="false">GG131+GU131</f>
        <v>5389.12098556358</v>
      </c>
    </row>
    <row r="132" customFormat="false" ht="15" hidden="false" customHeight="false" outlineLevel="0" collapsed="false">
      <c r="A132" s="5" t="s">
        <v>640</v>
      </c>
      <c r="B132" s="5" t="s">
        <v>428</v>
      </c>
      <c r="C132" s="135" t="n">
        <v>18</v>
      </c>
      <c r="D132" s="47" t="n">
        <f aca="false">Inputs!$C$6</f>
        <v>20000</v>
      </c>
      <c r="E132" s="35" t="n">
        <f aca="false">Inputs!$C$19</f>
        <v>0.0135</v>
      </c>
      <c r="F132" s="36" t="n">
        <f aca="false">Inputs!$C$20</f>
        <v>0.2</v>
      </c>
      <c r="G132" s="36" t="n">
        <f aca="false">Inputs!$C$22</f>
        <v>0.08</v>
      </c>
      <c r="H132" s="44" t="n">
        <f aca="false">Inputs!$C$23</f>
        <v>1</v>
      </c>
      <c r="I132" s="132" t="n">
        <f aca="false">Inputs!$C$38+$C132*Inputs!$C$39</f>
        <v>0.18</v>
      </c>
      <c r="J132" s="36" t="n">
        <f aca="false">Inputs!$C$9</f>
        <v>0.15</v>
      </c>
      <c r="K132" s="89" t="n">
        <f aca="false">IRR(W132:AG132,0.1)</f>
        <v>0.141595772264934</v>
      </c>
      <c r="L132" s="45" t="n">
        <f aca="false">W132+NPV($J132,X132:AG132)</f>
        <v>-642.125396707707</v>
      </c>
      <c r="M132" s="45" t="n">
        <f aca="false">SUM(BF132,BV132,CL132,DB132,DR132,EH132,EX132,FN132,GD132,GT132)</f>
        <v>43786.0063129274</v>
      </c>
      <c r="N132" s="43" t="n">
        <f aca="false">IF($D132*SUM(Inputs!$C$13:$L$13)=0,0,M132/($D132*SUM(Inputs!$C$13:$L$13)))</f>
        <v>2.18930031564637</v>
      </c>
      <c r="O132" s="42" t="n">
        <f aca="false">$D132*$E132*COLUMNS(Inputs!$C$13:$L$13)</f>
        <v>2700</v>
      </c>
      <c r="P132" s="45" t="n">
        <f aca="false">SUM(BG132,BW132,CM132,DC132,DS132,EI132,EY132,FO132,GE132,GU132)</f>
        <v>5946.50157823185</v>
      </c>
      <c r="Q132" s="42" t="n">
        <f aca="false">PV($J132,COLUMNS(Inputs!$C$13:$L$13),-$D132*$E132,0,1)</f>
        <v>1558.32765832774</v>
      </c>
      <c r="R132" s="45" t="n">
        <f aca="false">NPV($J132,BG132,BW132,CM132,DC132,DS132,EI132,EY132,FO132,GE132,GU132)</f>
        <v>1469.88424506845</v>
      </c>
      <c r="S132" s="45" t="n">
        <f aca="false">Q132+R132</f>
        <v>3028.21190339619</v>
      </c>
      <c r="T132" s="32" t="n">
        <f aca="false">IF(S132=0,0,Q132/S132)</f>
        <v>0.514603240473379</v>
      </c>
      <c r="U132" s="45" t="n">
        <f aca="false">ROUND(ABS(GK132)+ABS(SUM(AV132,BL132,CB132,CR132,DH132,DX132,EN132,FD132,FT132,GJ132)-M132-P132)+ABS(S132-(AH132+NPV($J132,AI132:AR132))),6)</f>
        <v>0</v>
      </c>
      <c r="W132" s="133" t="n">
        <f aca="false">-$D132*Inputs!$C$13</f>
        <v>-4000</v>
      </c>
      <c r="X132" s="133" t="n">
        <f aca="false">BF132-$D132*Inputs!$D$13</f>
        <v>-4000</v>
      </c>
      <c r="Y132" s="133" t="n">
        <f aca="false">BV132-$D132*Inputs!$E$13</f>
        <v>-4000</v>
      </c>
      <c r="Z132" s="133" t="n">
        <f aca="false">CL132-$D132*Inputs!$F$13</f>
        <v>-4000</v>
      </c>
      <c r="AA132" s="133" t="n">
        <f aca="false">DB132-$D132*Inputs!$G$13</f>
        <v>-4000</v>
      </c>
      <c r="AB132" s="133" t="n">
        <f aca="false">DR132-$D132*Inputs!$H$13</f>
        <v>6297.7077675328</v>
      </c>
      <c r="AC132" s="133" t="n">
        <f aca="false">EH132-$D132*Inputs!$I$13</f>
        <v>5881.31613255096</v>
      </c>
      <c r="AD132" s="133" t="n">
        <f aca="false">EX132-$D132*Inputs!$J$13</f>
        <v>5488.24242912811</v>
      </c>
      <c r="AE132" s="133" t="n">
        <f aca="false">FN132-$D132*Inputs!$K$13</f>
        <v>5117.18085309694</v>
      </c>
      <c r="AF132" s="133" t="n">
        <f aca="false">GD132-$D132*Inputs!$L$13</f>
        <v>4766.89872532351</v>
      </c>
      <c r="AG132" s="84" t="n">
        <f aca="false">GT132</f>
        <v>16234.6604052951</v>
      </c>
      <c r="AH132" s="84" t="n">
        <f aca="false">$D132*$E132</f>
        <v>270</v>
      </c>
      <c r="AI132" s="84" t="n">
        <f aca="false">BG132+$D132*$E132</f>
        <v>270</v>
      </c>
      <c r="AJ132" s="84" t="n">
        <f aca="false">BW132+$D132*$E132</f>
        <v>270</v>
      </c>
      <c r="AK132" s="84" t="n">
        <f aca="false">CM132+$D132*$E132</f>
        <v>270</v>
      </c>
      <c r="AL132" s="84" t="n">
        <f aca="false">DC132+$D132*$E132</f>
        <v>270</v>
      </c>
      <c r="AM132" s="84" t="n">
        <f aca="false">DS132+$D132*$E132</f>
        <v>270</v>
      </c>
      <c r="AN132" s="84" t="n">
        <f aca="false">EI132+$D132*$E132</f>
        <v>270</v>
      </c>
      <c r="AO132" s="84" t="n">
        <f aca="false">EY132+$D132*$E132</f>
        <v>270</v>
      </c>
      <c r="AP132" s="84" t="n">
        <f aca="false">FO132+$D132*$E132</f>
        <v>270</v>
      </c>
      <c r="AQ132" s="84" t="n">
        <f aca="false">GE132+$D132*$E132</f>
        <v>270</v>
      </c>
      <c r="AR132" s="84" t="n">
        <f aca="false">GU132</f>
        <v>5946.50157823185</v>
      </c>
      <c r="AT132" s="133" t="n">
        <f aca="false">$D132*Inputs!$C$13-$D132*$E132</f>
        <v>3730</v>
      </c>
      <c r="AU132" s="84" t="n">
        <f aca="false">AT132*(1+$I132)</f>
        <v>4401.4</v>
      </c>
      <c r="AV132" s="133" t="n">
        <f aca="false">AU132*Inputs!$C$14</f>
        <v>0</v>
      </c>
      <c r="AW132" s="84" t="n">
        <f aca="false">AU132-AV132</f>
        <v>4401.4</v>
      </c>
      <c r="AX132" s="133" t="n">
        <f aca="false">$D132*Inputs!$C$13</f>
        <v>4000</v>
      </c>
      <c r="AY132" s="84" t="n">
        <f aca="false">MIN(AV132,AX132)</f>
        <v>0</v>
      </c>
      <c r="AZ132" s="84" t="n">
        <f aca="false">AX132-AY132</f>
        <v>4000</v>
      </c>
      <c r="BA132" s="84" t="n">
        <f aca="false">$G132*AX132</f>
        <v>320</v>
      </c>
      <c r="BB132" s="84" t="n">
        <f aca="false">MIN(AV132-AY132,BA132)</f>
        <v>0</v>
      </c>
      <c r="BC132" s="84" t="n">
        <f aca="false">BA132-BB132</f>
        <v>320</v>
      </c>
      <c r="BD132" s="84" t="n">
        <f aca="false">IF($H132=1,MIN(AV132-AY132-BB132,MAX(0,$F132/(1-$F132)*BB132)),0)</f>
        <v>0</v>
      </c>
      <c r="BE132" s="84" t="n">
        <f aca="false">AV132-AY132-BB132-BD132</f>
        <v>0</v>
      </c>
      <c r="BF132" s="84" t="n">
        <f aca="false">AY132+BB132+(1-$F132)*BE132</f>
        <v>0</v>
      </c>
      <c r="BG132" s="84" t="n">
        <f aca="false">BD132+$F132*BE132</f>
        <v>0</v>
      </c>
      <c r="BH132" s="84" t="n">
        <f aca="false">BB132+(1-$F132)*BE132</f>
        <v>0</v>
      </c>
      <c r="BI132" s="84" t="n">
        <f aca="false">BG132</f>
        <v>0</v>
      </c>
      <c r="BJ132" s="133" t="n">
        <f aca="false">AW132+$D132*Inputs!$D$13-$D132*$E132</f>
        <v>8131.4</v>
      </c>
      <c r="BK132" s="84" t="n">
        <f aca="false">BJ132*(1+$I132)</f>
        <v>9595.052</v>
      </c>
      <c r="BL132" s="133" t="n">
        <f aca="false">BK132*Inputs!$D$14</f>
        <v>0</v>
      </c>
      <c r="BM132" s="84" t="n">
        <f aca="false">BK132-BL132</f>
        <v>9595.052</v>
      </c>
      <c r="BN132" s="133" t="n">
        <f aca="false">AZ132+$D132*Inputs!$D$13</f>
        <v>8000</v>
      </c>
      <c r="BO132" s="84" t="n">
        <f aca="false">MIN(BL132,BN132)</f>
        <v>0</v>
      </c>
      <c r="BP132" s="84" t="n">
        <f aca="false">BN132-BO132</f>
        <v>8000</v>
      </c>
      <c r="BQ132" s="84" t="n">
        <f aca="false">BC132+$G132*(BN132+BC132)</f>
        <v>985.6</v>
      </c>
      <c r="BR132" s="84" t="n">
        <f aca="false">MIN(BL132-BO132,BQ132)</f>
        <v>0</v>
      </c>
      <c r="BS132" s="84" t="n">
        <f aca="false">BQ132-BR132</f>
        <v>985.6</v>
      </c>
      <c r="BT132" s="84" t="n">
        <f aca="false">IF($H132=1,MIN(BL132-BO132-BR132,MAX(0,$F132/(1-$F132)*(BH132+BR132)-BI132)),0)</f>
        <v>0</v>
      </c>
      <c r="BU132" s="84" t="n">
        <f aca="false">BL132-BO132-BR132-BT132</f>
        <v>0</v>
      </c>
      <c r="BV132" s="84" t="n">
        <f aca="false">BO132+BR132+(1-$F132)*BU132</f>
        <v>0</v>
      </c>
      <c r="BW132" s="84" t="n">
        <f aca="false">BT132+$F132*BU132</f>
        <v>0</v>
      </c>
      <c r="BX132" s="84" t="n">
        <f aca="false">BH132+BR132+(1-$F132)*BU132</f>
        <v>0</v>
      </c>
      <c r="BY132" s="84" t="n">
        <f aca="false">BI132+BW132</f>
        <v>0</v>
      </c>
      <c r="BZ132" s="133" t="n">
        <f aca="false">BM132+$D132*Inputs!$E$13-$D132*$E132</f>
        <v>13325.052</v>
      </c>
      <c r="CA132" s="84" t="n">
        <f aca="false">BZ132*(1+$I132)</f>
        <v>15723.56136</v>
      </c>
      <c r="CB132" s="133" t="n">
        <f aca="false">CA132*Inputs!$E$14</f>
        <v>0</v>
      </c>
      <c r="CC132" s="84" t="n">
        <f aca="false">CA132-CB132</f>
        <v>15723.56136</v>
      </c>
      <c r="CD132" s="133" t="n">
        <f aca="false">BP132+$D132*Inputs!$E$13</f>
        <v>12000</v>
      </c>
      <c r="CE132" s="84" t="n">
        <f aca="false">MIN(CB132,CD132)</f>
        <v>0</v>
      </c>
      <c r="CF132" s="84" t="n">
        <f aca="false">CD132-CE132</f>
        <v>12000</v>
      </c>
      <c r="CG132" s="84" t="n">
        <f aca="false">BS132+$G132*(CD132+BS132)</f>
        <v>2024.448</v>
      </c>
      <c r="CH132" s="84" t="n">
        <f aca="false">MIN(CB132-CE132,CG132)</f>
        <v>0</v>
      </c>
      <c r="CI132" s="84" t="n">
        <f aca="false">CG132-CH132</f>
        <v>2024.448</v>
      </c>
      <c r="CJ132" s="84" t="n">
        <f aca="false">IF($H132=1,MIN(CB132-CE132-CH132,MAX(0,$F132/(1-$F132)*(BX132+CH132)-BY132)),0)</f>
        <v>0</v>
      </c>
      <c r="CK132" s="84" t="n">
        <f aca="false">CB132-CE132-CH132-CJ132</f>
        <v>0</v>
      </c>
      <c r="CL132" s="84" t="n">
        <f aca="false">CE132+CH132+(1-$F132)*CK132</f>
        <v>0</v>
      </c>
      <c r="CM132" s="84" t="n">
        <f aca="false">CJ132+$F132*CK132</f>
        <v>0</v>
      </c>
      <c r="CN132" s="84" t="n">
        <f aca="false">BX132+CH132+(1-$F132)*CK132</f>
        <v>0</v>
      </c>
      <c r="CO132" s="84" t="n">
        <f aca="false">BY132+CM132</f>
        <v>0</v>
      </c>
      <c r="CP132" s="133" t="n">
        <f aca="false">CC132+$D132*Inputs!$F$13-$D132*$E132</f>
        <v>19453.56136</v>
      </c>
      <c r="CQ132" s="84" t="n">
        <f aca="false">CP132*(1+$I132)</f>
        <v>22955.2024048</v>
      </c>
      <c r="CR132" s="133" t="n">
        <f aca="false">CQ132*Inputs!$F$14</f>
        <v>0</v>
      </c>
      <c r="CS132" s="84" t="n">
        <f aca="false">CQ132-CR132</f>
        <v>22955.2024048</v>
      </c>
      <c r="CT132" s="133" t="n">
        <f aca="false">CF132+$D132*Inputs!$F$13</f>
        <v>16000</v>
      </c>
      <c r="CU132" s="84" t="n">
        <f aca="false">MIN(CR132,CT132)</f>
        <v>0</v>
      </c>
      <c r="CV132" s="84" t="n">
        <f aca="false">CT132-CU132</f>
        <v>16000</v>
      </c>
      <c r="CW132" s="84" t="n">
        <f aca="false">CI132+$G132*(CT132+CI132)</f>
        <v>3466.40384</v>
      </c>
      <c r="CX132" s="84" t="n">
        <f aca="false">MIN(CR132-CU132,CW132)</f>
        <v>0</v>
      </c>
      <c r="CY132" s="84" t="n">
        <f aca="false">CW132-CX132</f>
        <v>3466.40384</v>
      </c>
      <c r="CZ132" s="84" t="n">
        <f aca="false">IF($H132=1,MIN(CR132-CU132-CX132,MAX(0,$F132/(1-$F132)*(CN132+CX132)-CO132)),0)</f>
        <v>0</v>
      </c>
      <c r="DA132" s="84" t="n">
        <f aca="false">CR132-CU132-CX132-CZ132</f>
        <v>0</v>
      </c>
      <c r="DB132" s="84" t="n">
        <f aca="false">CU132+CX132+(1-$F132)*DA132</f>
        <v>0</v>
      </c>
      <c r="DC132" s="84" t="n">
        <f aca="false">CZ132+$F132*DA132</f>
        <v>0</v>
      </c>
      <c r="DD132" s="84" t="n">
        <f aca="false">CN132+CX132+(1-$F132)*DA132</f>
        <v>0</v>
      </c>
      <c r="DE132" s="84" t="n">
        <f aca="false">CO132+DC132</f>
        <v>0</v>
      </c>
      <c r="DF132" s="133" t="n">
        <f aca="false">CS132+$D132*Inputs!$G$13-$D132*$E132</f>
        <v>26685.2024048</v>
      </c>
      <c r="DG132" s="84" t="n">
        <f aca="false">DF132*(1+$I132)</f>
        <v>31488.538837664</v>
      </c>
      <c r="DH132" s="133" t="n">
        <f aca="false">DG132*Inputs!$G$14</f>
        <v>6297.7077675328</v>
      </c>
      <c r="DI132" s="84" t="n">
        <f aca="false">DG132-DH132</f>
        <v>25190.8310701312</v>
      </c>
      <c r="DJ132" s="133" t="n">
        <f aca="false">CV132+$D132*Inputs!$G$13</f>
        <v>20000</v>
      </c>
      <c r="DK132" s="84" t="n">
        <f aca="false">MIN(DH132,DJ132)</f>
        <v>6297.7077675328</v>
      </c>
      <c r="DL132" s="84" t="n">
        <f aca="false">DJ132-DK132</f>
        <v>13702.2922324672</v>
      </c>
      <c r="DM132" s="84" t="n">
        <f aca="false">CY132+$G132*(DJ132+CY132)</f>
        <v>5343.7161472</v>
      </c>
      <c r="DN132" s="84" t="n">
        <f aca="false">MIN(DH132-DK132,DM132)</f>
        <v>0</v>
      </c>
      <c r="DO132" s="84" t="n">
        <f aca="false">DM132-DN132</f>
        <v>5343.7161472</v>
      </c>
      <c r="DP132" s="84" t="n">
        <f aca="false">IF($H132=1,MIN(DH132-DK132-DN132,MAX(0,$F132/(1-$F132)*(DD132+DN132)-DE132)),0)</f>
        <v>0</v>
      </c>
      <c r="DQ132" s="84" t="n">
        <f aca="false">DH132-DK132-DN132-DP132</f>
        <v>0</v>
      </c>
      <c r="DR132" s="84" t="n">
        <f aca="false">DK132+DN132+(1-$F132)*DQ132</f>
        <v>6297.7077675328</v>
      </c>
      <c r="DS132" s="84" t="n">
        <f aca="false">DP132+$F132*DQ132</f>
        <v>0</v>
      </c>
      <c r="DT132" s="84" t="n">
        <f aca="false">DD132+DN132+(1-$F132)*DQ132</f>
        <v>0</v>
      </c>
      <c r="DU132" s="84" t="n">
        <f aca="false">DE132+DS132</f>
        <v>0</v>
      </c>
      <c r="DV132" s="133" t="n">
        <f aca="false">DI132+$D132*Inputs!$H$13-$D132*$E132</f>
        <v>24920.8310701312</v>
      </c>
      <c r="DW132" s="84" t="n">
        <f aca="false">DV132*(1+$I132)</f>
        <v>29406.5806627548</v>
      </c>
      <c r="DX132" s="133" t="n">
        <f aca="false">DW132*Inputs!$H$14</f>
        <v>5881.31613255096</v>
      </c>
      <c r="DY132" s="84" t="n">
        <f aca="false">DW132-DX132</f>
        <v>23525.2645302039</v>
      </c>
      <c r="DZ132" s="133" t="n">
        <f aca="false">DL132+$D132*Inputs!$H$13</f>
        <v>13702.2922324672</v>
      </c>
      <c r="EA132" s="84" t="n">
        <f aca="false">MIN(DX132,DZ132)</f>
        <v>5881.31613255096</v>
      </c>
      <c r="EB132" s="84" t="n">
        <f aca="false">DZ132-EA132</f>
        <v>7820.97609991624</v>
      </c>
      <c r="EC132" s="84" t="n">
        <f aca="false">DO132+$G132*(DZ132+DO132)</f>
        <v>6867.39681757338</v>
      </c>
      <c r="ED132" s="84" t="n">
        <f aca="false">MIN(DX132-EA132,EC132)</f>
        <v>0</v>
      </c>
      <c r="EE132" s="84" t="n">
        <f aca="false">EC132-ED132</f>
        <v>6867.39681757338</v>
      </c>
      <c r="EF132" s="84" t="n">
        <f aca="false">IF($H132=1,MIN(DX132-EA132-ED132,MAX(0,$F132/(1-$F132)*(DT132+ED132)-DU132)),0)</f>
        <v>0</v>
      </c>
      <c r="EG132" s="84" t="n">
        <f aca="false">DX132-EA132-ED132-EF132</f>
        <v>0</v>
      </c>
      <c r="EH132" s="84" t="n">
        <f aca="false">EA132+ED132+(1-$F132)*EG132</f>
        <v>5881.31613255096</v>
      </c>
      <c r="EI132" s="84" t="n">
        <f aca="false">EF132+$F132*EG132</f>
        <v>0</v>
      </c>
      <c r="EJ132" s="84" t="n">
        <f aca="false">DT132+ED132+(1-$F132)*EG132</f>
        <v>0</v>
      </c>
      <c r="EK132" s="84" t="n">
        <f aca="false">DU132+EI132</f>
        <v>0</v>
      </c>
      <c r="EL132" s="133" t="n">
        <f aca="false">DY132+$D132*Inputs!$I$13-$D132*$E132</f>
        <v>23255.2645302039</v>
      </c>
      <c r="EM132" s="84" t="n">
        <f aca="false">EL132*(1+$I132)</f>
        <v>27441.2121456405</v>
      </c>
      <c r="EN132" s="133" t="n">
        <f aca="false">EM132*Inputs!$I$14</f>
        <v>5488.24242912811</v>
      </c>
      <c r="EO132" s="84" t="n">
        <f aca="false">EM132-EN132</f>
        <v>21952.9697165124</v>
      </c>
      <c r="EP132" s="133" t="n">
        <f aca="false">EB132+$D132*Inputs!$I$13</f>
        <v>7820.97609991624</v>
      </c>
      <c r="EQ132" s="84" t="n">
        <f aca="false">MIN(EN132,EP132)</f>
        <v>5488.24242912811</v>
      </c>
      <c r="ER132" s="84" t="n">
        <f aca="false">EP132-EQ132</f>
        <v>2332.73367078813</v>
      </c>
      <c r="ES132" s="84" t="n">
        <f aca="false">EE132+$G132*(EP132+EE132)</f>
        <v>8042.46665097255</v>
      </c>
      <c r="ET132" s="84" t="n">
        <f aca="false">MIN(EN132-EQ132,ES132)</f>
        <v>0</v>
      </c>
      <c r="EU132" s="84" t="n">
        <f aca="false">ES132-ET132</f>
        <v>8042.46665097255</v>
      </c>
      <c r="EV132" s="84" t="n">
        <f aca="false">IF($H132=1,MIN(EN132-EQ132-ET132,MAX(0,$F132/(1-$F132)*(EJ132+ET132)-EK132)),0)</f>
        <v>0</v>
      </c>
      <c r="EW132" s="84" t="n">
        <f aca="false">EN132-EQ132-ET132-EV132</f>
        <v>0</v>
      </c>
      <c r="EX132" s="84" t="n">
        <f aca="false">EQ132+ET132+(1-$F132)*EW132</f>
        <v>5488.24242912811</v>
      </c>
      <c r="EY132" s="84" t="n">
        <f aca="false">EV132+$F132*EW132</f>
        <v>0</v>
      </c>
      <c r="EZ132" s="84" t="n">
        <f aca="false">EJ132+ET132+(1-$F132)*EW132</f>
        <v>0</v>
      </c>
      <c r="FA132" s="84" t="n">
        <f aca="false">EK132+EY132</f>
        <v>0</v>
      </c>
      <c r="FB132" s="133" t="n">
        <f aca="false">EO132+$D132*Inputs!$J$13-$D132*$E132</f>
        <v>21682.9697165124</v>
      </c>
      <c r="FC132" s="84" t="n">
        <f aca="false">FB132*(1+$I132)</f>
        <v>25585.9042654847</v>
      </c>
      <c r="FD132" s="133" t="n">
        <f aca="false">FC132*Inputs!$J$14</f>
        <v>5117.18085309694</v>
      </c>
      <c r="FE132" s="84" t="n">
        <f aca="false">FC132-FD132</f>
        <v>20468.7234123877</v>
      </c>
      <c r="FF132" s="133" t="n">
        <f aca="false">ER132+$D132*Inputs!$J$13</f>
        <v>2332.73367078813</v>
      </c>
      <c r="FG132" s="84" t="n">
        <f aca="false">MIN(FD132,FF132)</f>
        <v>2332.73367078813</v>
      </c>
      <c r="FH132" s="84" t="n">
        <f aca="false">FF132-FG132</f>
        <v>0</v>
      </c>
      <c r="FI132" s="84" t="n">
        <f aca="false">EU132+$G132*(FF132+EU132)</f>
        <v>8872.4826767134</v>
      </c>
      <c r="FJ132" s="84" t="n">
        <f aca="false">MIN(FD132-FG132,FI132)</f>
        <v>2784.44718230881</v>
      </c>
      <c r="FK132" s="84" t="n">
        <f aca="false">FI132-FJ132</f>
        <v>6088.03549440459</v>
      </c>
      <c r="FL132" s="84" t="n">
        <f aca="false">IF($H132=1,MIN(FD132-FG132-FJ132,MAX(0,$F132/(1-$F132)*(EZ132+FJ132)-FA132)),0)</f>
        <v>0</v>
      </c>
      <c r="FM132" s="84" t="n">
        <f aca="false">FD132-FG132-FJ132-FL132</f>
        <v>0</v>
      </c>
      <c r="FN132" s="84" t="n">
        <f aca="false">FG132+FJ132+(1-$F132)*FM132</f>
        <v>5117.18085309694</v>
      </c>
      <c r="FO132" s="84" t="n">
        <f aca="false">FL132+$F132*FM132</f>
        <v>0</v>
      </c>
      <c r="FP132" s="84" t="n">
        <f aca="false">EZ132+FJ132+(1-$F132)*FM132</f>
        <v>2784.44718230881</v>
      </c>
      <c r="FQ132" s="84" t="n">
        <f aca="false">FA132+FO132</f>
        <v>0</v>
      </c>
      <c r="FR132" s="133" t="n">
        <f aca="false">FE132+$D132*Inputs!$K$13-$D132*$E132</f>
        <v>20198.7234123877</v>
      </c>
      <c r="FS132" s="84" t="n">
        <f aca="false">FR132*(1+$I132)</f>
        <v>23834.4936266175</v>
      </c>
      <c r="FT132" s="133" t="n">
        <f aca="false">FS132*Inputs!$K$14</f>
        <v>4766.89872532351</v>
      </c>
      <c r="FU132" s="84" t="n">
        <f aca="false">FS132-FT132</f>
        <v>19067.594901294</v>
      </c>
      <c r="FV132" s="133" t="n">
        <f aca="false">FH132+$D132*Inputs!$K$13</f>
        <v>0</v>
      </c>
      <c r="FW132" s="84" t="n">
        <f aca="false">MIN(FT132,FV132)</f>
        <v>0</v>
      </c>
      <c r="FX132" s="84" t="n">
        <f aca="false">FV132-FW132</f>
        <v>0</v>
      </c>
      <c r="FY132" s="84" t="n">
        <f aca="false">FK132+$G132*(FV132+FK132)</f>
        <v>6575.07833395696</v>
      </c>
      <c r="FZ132" s="84" t="n">
        <f aca="false">MIN(FT132-FW132,FY132)</f>
        <v>4766.89872532351</v>
      </c>
      <c r="GA132" s="84" t="n">
        <f aca="false">FY132-FZ132</f>
        <v>1808.17960863346</v>
      </c>
      <c r="GB132" s="84" t="n">
        <f aca="false">IF($H132=1,MIN(FT132-FW132-FZ132,MAX(0,$F132/(1-$F132)*(FP132+FZ132)-FQ132)),0)</f>
        <v>0</v>
      </c>
      <c r="GC132" s="84" t="n">
        <f aca="false">FT132-FW132-FZ132-GB132</f>
        <v>0</v>
      </c>
      <c r="GD132" s="84" t="n">
        <f aca="false">FW132+FZ132+(1-$F132)*GC132</f>
        <v>4766.89872532351</v>
      </c>
      <c r="GE132" s="84" t="n">
        <f aca="false">GB132+$F132*GC132</f>
        <v>0</v>
      </c>
      <c r="GF132" s="84" t="n">
        <f aca="false">FP132+FZ132+(1-$F132)*GC132</f>
        <v>7551.34590763231</v>
      </c>
      <c r="GG132" s="84" t="n">
        <f aca="false">FQ132+GE132</f>
        <v>0</v>
      </c>
      <c r="GH132" s="133" t="n">
        <f aca="false">FU132+$D132*Inputs!$L$13-$D132*$E132</f>
        <v>18797.594901294</v>
      </c>
      <c r="GI132" s="84" t="n">
        <f aca="false">GH132*(1+$I132)</f>
        <v>22181.1619835269</v>
      </c>
      <c r="GJ132" s="133" t="n">
        <f aca="false">GI132*Inputs!$L$14</f>
        <v>22181.1619835269</v>
      </c>
      <c r="GK132" s="84" t="n">
        <f aca="false">GI132-GJ132</f>
        <v>0</v>
      </c>
      <c r="GL132" s="133" t="n">
        <f aca="false">FX132+$D132*Inputs!$L$13</f>
        <v>0</v>
      </c>
      <c r="GM132" s="84" t="n">
        <f aca="false">MIN(GJ132,GL132)</f>
        <v>0</v>
      </c>
      <c r="GN132" s="84" t="n">
        <f aca="false">GL132-GM132</f>
        <v>0</v>
      </c>
      <c r="GO132" s="84" t="n">
        <f aca="false">GA132+$G132*(GL132+GA132)</f>
        <v>1952.83397732413</v>
      </c>
      <c r="GP132" s="84" t="n">
        <f aca="false">MIN(GJ132-GM132,GO132)</f>
        <v>1952.83397732413</v>
      </c>
      <c r="GQ132" s="84" t="n">
        <f aca="false">GO132-GP132</f>
        <v>0</v>
      </c>
      <c r="GR132" s="84" t="n">
        <f aca="false">IF($H132=1,MIN(GJ132-GM132-GP132,MAX(0,$F132/(1-$F132)*(GF132+GP132)-GG132)),0)</f>
        <v>2376.04497123911</v>
      </c>
      <c r="GS132" s="84" t="n">
        <f aca="false">GJ132-GM132-GP132-GR132</f>
        <v>17852.2830349637</v>
      </c>
      <c r="GT132" s="84" t="n">
        <f aca="false">GM132+GP132+(1-$F132)*GS132</f>
        <v>16234.6604052951</v>
      </c>
      <c r="GU132" s="84" t="n">
        <f aca="false">GR132+$F132*GS132</f>
        <v>5946.50157823185</v>
      </c>
      <c r="GV132" s="84" t="n">
        <f aca="false">GF132+GP132+(1-$F132)*GS132</f>
        <v>23786.0063129274</v>
      </c>
      <c r="GW132" s="84" t="n">
        <f aca="false">GG132+GU132</f>
        <v>5946.50157823185</v>
      </c>
    </row>
    <row r="133" customFormat="false" ht="15" hidden="false" customHeight="false" outlineLevel="0" collapsed="false">
      <c r="A133" s="5" t="s">
        <v>640</v>
      </c>
      <c r="B133" s="5" t="s">
        <v>428</v>
      </c>
      <c r="C133" s="135" t="n">
        <v>19</v>
      </c>
      <c r="D133" s="47" t="n">
        <f aca="false">Inputs!$C$6</f>
        <v>20000</v>
      </c>
      <c r="E133" s="35" t="n">
        <f aca="false">Inputs!$C$19</f>
        <v>0.0135</v>
      </c>
      <c r="F133" s="36" t="n">
        <f aca="false">Inputs!$C$20</f>
        <v>0.2</v>
      </c>
      <c r="G133" s="36" t="n">
        <f aca="false">Inputs!$C$22</f>
        <v>0.08</v>
      </c>
      <c r="H133" s="44" t="n">
        <f aca="false">Inputs!$C$23</f>
        <v>1</v>
      </c>
      <c r="I133" s="132" t="n">
        <f aca="false">Inputs!$C$38+$C133*Inputs!$C$39</f>
        <v>0.19</v>
      </c>
      <c r="J133" s="36" t="n">
        <f aca="false">Inputs!$C$9</f>
        <v>0.15</v>
      </c>
      <c r="K133" s="89" t="n">
        <f aca="false">IRR(W133:AG133,0.1)</f>
        <v>0.15119909487051</v>
      </c>
      <c r="L133" s="45" t="n">
        <f aca="false">W133+NPV($J133,X133:AG133)</f>
        <v>93.8036645926291</v>
      </c>
      <c r="M133" s="45" t="n">
        <f aca="false">SUM(BF133,BV133,CL133,DB133,DR133,EH133,EX133,FN133,GD133,GT133)</f>
        <v>46142.0744664993</v>
      </c>
      <c r="N133" s="43" t="n">
        <f aca="false">IF($D133*SUM(Inputs!$C$13:$L$13)=0,0,M133/($D133*SUM(Inputs!$C$13:$L$13)))</f>
        <v>2.30710372332496</v>
      </c>
      <c r="O133" s="42" t="n">
        <f aca="false">$D133*$E133*COLUMNS(Inputs!$C$13:$L$13)</f>
        <v>2700</v>
      </c>
      <c r="P133" s="45" t="n">
        <f aca="false">SUM(BG133,BW133,CM133,DC133,DS133,EI133,EY133,FO133,GE133,GU133)</f>
        <v>6535.51861662482</v>
      </c>
      <c r="Q133" s="42" t="n">
        <f aca="false">PV($J133,COLUMNS(Inputs!$C$13:$L$13),-$D133*$E133,0,1)</f>
        <v>1558.32765832774</v>
      </c>
      <c r="R133" s="45" t="n">
        <f aca="false">NPV($J133,BG133,BW133,CM133,DC133,DS133,EI133,EY133,FO133,GE133,GU133)</f>
        <v>1615.48024860439</v>
      </c>
      <c r="S133" s="45" t="n">
        <f aca="false">Q133+R133</f>
        <v>3173.80790693213</v>
      </c>
      <c r="T133" s="32" t="n">
        <f aca="false">IF(S133=0,0,Q133/S133)</f>
        <v>0.490996211498525</v>
      </c>
      <c r="U133" s="45" t="n">
        <f aca="false">ROUND(ABS(GK133)+ABS(SUM(AV133,BL133,CB133,CR133,DH133,DX133,EN133,FD133,FT133,GJ133)-M133-P133)+ABS(S133-(AH133+NPV($J133,AI133:AR133))),6)</f>
        <v>0</v>
      </c>
      <c r="W133" s="133" t="n">
        <f aca="false">-$D133*Inputs!$C$13</f>
        <v>-4000</v>
      </c>
      <c r="X133" s="133" t="n">
        <f aca="false">BF133-$D133*Inputs!$D$13</f>
        <v>-4000</v>
      </c>
      <c r="Y133" s="133" t="n">
        <f aca="false">BV133-$D133*Inputs!$E$13</f>
        <v>-4000</v>
      </c>
      <c r="Z133" s="133" t="n">
        <f aca="false">CL133-$D133*Inputs!$F$13</f>
        <v>-4000</v>
      </c>
      <c r="AA133" s="133" t="n">
        <f aca="false">DB133-$D133*Inputs!$G$13</f>
        <v>-4000</v>
      </c>
      <c r="AB133" s="133" t="n">
        <f aca="false">DR133-$D133*Inputs!$H$13</f>
        <v>6477.4820949454</v>
      </c>
      <c r="AC133" s="133" t="n">
        <f aca="false">EH133-$D133*Inputs!$I$13</f>
        <v>6102.30295438802</v>
      </c>
      <c r="AD133" s="133" t="n">
        <f aca="false">EX133-$D133*Inputs!$J$13</f>
        <v>5745.1324125774</v>
      </c>
      <c r="AE133" s="133" t="n">
        <f aca="false">FN133-$D133*Inputs!$K$13</f>
        <v>5405.10605677368</v>
      </c>
      <c r="AF133" s="133" t="n">
        <f aca="false">GD133-$D133*Inputs!$L$13</f>
        <v>5081.40096604854</v>
      </c>
      <c r="AG133" s="84" t="n">
        <f aca="false">GT133</f>
        <v>17330.6499817662</v>
      </c>
      <c r="AH133" s="84" t="n">
        <f aca="false">$D133*$E133</f>
        <v>270</v>
      </c>
      <c r="AI133" s="84" t="n">
        <f aca="false">BG133+$D133*$E133</f>
        <v>270</v>
      </c>
      <c r="AJ133" s="84" t="n">
        <f aca="false">BW133+$D133*$E133</f>
        <v>270</v>
      </c>
      <c r="AK133" s="84" t="n">
        <f aca="false">CM133+$D133*$E133</f>
        <v>270</v>
      </c>
      <c r="AL133" s="84" t="n">
        <f aca="false">DC133+$D133*$E133</f>
        <v>270</v>
      </c>
      <c r="AM133" s="84" t="n">
        <f aca="false">DS133+$D133*$E133</f>
        <v>270</v>
      </c>
      <c r="AN133" s="84" t="n">
        <f aca="false">EI133+$D133*$E133</f>
        <v>270</v>
      </c>
      <c r="AO133" s="84" t="n">
        <f aca="false">EY133+$D133*$E133</f>
        <v>270</v>
      </c>
      <c r="AP133" s="84" t="n">
        <f aca="false">FO133+$D133*$E133</f>
        <v>270</v>
      </c>
      <c r="AQ133" s="84" t="n">
        <f aca="false">GE133+$D133*$E133</f>
        <v>270</v>
      </c>
      <c r="AR133" s="84" t="n">
        <f aca="false">GU133</f>
        <v>6535.51861662482</v>
      </c>
      <c r="AT133" s="133" t="n">
        <f aca="false">$D133*Inputs!$C$13-$D133*$E133</f>
        <v>3730</v>
      </c>
      <c r="AU133" s="84" t="n">
        <f aca="false">AT133*(1+$I133)</f>
        <v>4438.7</v>
      </c>
      <c r="AV133" s="133" t="n">
        <f aca="false">AU133*Inputs!$C$14</f>
        <v>0</v>
      </c>
      <c r="AW133" s="84" t="n">
        <f aca="false">AU133-AV133</f>
        <v>4438.7</v>
      </c>
      <c r="AX133" s="133" t="n">
        <f aca="false">$D133*Inputs!$C$13</f>
        <v>4000</v>
      </c>
      <c r="AY133" s="84" t="n">
        <f aca="false">MIN(AV133,AX133)</f>
        <v>0</v>
      </c>
      <c r="AZ133" s="84" t="n">
        <f aca="false">AX133-AY133</f>
        <v>4000</v>
      </c>
      <c r="BA133" s="84" t="n">
        <f aca="false">$G133*AX133</f>
        <v>320</v>
      </c>
      <c r="BB133" s="84" t="n">
        <f aca="false">MIN(AV133-AY133,BA133)</f>
        <v>0</v>
      </c>
      <c r="BC133" s="84" t="n">
        <f aca="false">BA133-BB133</f>
        <v>320</v>
      </c>
      <c r="BD133" s="84" t="n">
        <f aca="false">IF($H133=1,MIN(AV133-AY133-BB133,MAX(0,$F133/(1-$F133)*BB133)),0)</f>
        <v>0</v>
      </c>
      <c r="BE133" s="84" t="n">
        <f aca="false">AV133-AY133-BB133-BD133</f>
        <v>0</v>
      </c>
      <c r="BF133" s="84" t="n">
        <f aca="false">AY133+BB133+(1-$F133)*BE133</f>
        <v>0</v>
      </c>
      <c r="BG133" s="84" t="n">
        <f aca="false">BD133+$F133*BE133</f>
        <v>0</v>
      </c>
      <c r="BH133" s="84" t="n">
        <f aca="false">BB133+(1-$F133)*BE133</f>
        <v>0</v>
      </c>
      <c r="BI133" s="84" t="n">
        <f aca="false">BG133</f>
        <v>0</v>
      </c>
      <c r="BJ133" s="133" t="n">
        <f aca="false">AW133+$D133*Inputs!$D$13-$D133*$E133</f>
        <v>8168.7</v>
      </c>
      <c r="BK133" s="84" t="n">
        <f aca="false">BJ133*(1+$I133)</f>
        <v>9720.753</v>
      </c>
      <c r="BL133" s="133" t="n">
        <f aca="false">BK133*Inputs!$D$14</f>
        <v>0</v>
      </c>
      <c r="BM133" s="84" t="n">
        <f aca="false">BK133-BL133</f>
        <v>9720.753</v>
      </c>
      <c r="BN133" s="133" t="n">
        <f aca="false">AZ133+$D133*Inputs!$D$13</f>
        <v>8000</v>
      </c>
      <c r="BO133" s="84" t="n">
        <f aca="false">MIN(BL133,BN133)</f>
        <v>0</v>
      </c>
      <c r="BP133" s="84" t="n">
        <f aca="false">BN133-BO133</f>
        <v>8000</v>
      </c>
      <c r="BQ133" s="84" t="n">
        <f aca="false">BC133+$G133*(BN133+BC133)</f>
        <v>985.6</v>
      </c>
      <c r="BR133" s="84" t="n">
        <f aca="false">MIN(BL133-BO133,BQ133)</f>
        <v>0</v>
      </c>
      <c r="BS133" s="84" t="n">
        <f aca="false">BQ133-BR133</f>
        <v>985.6</v>
      </c>
      <c r="BT133" s="84" t="n">
        <f aca="false">IF($H133=1,MIN(BL133-BO133-BR133,MAX(0,$F133/(1-$F133)*(BH133+BR133)-BI133)),0)</f>
        <v>0</v>
      </c>
      <c r="BU133" s="84" t="n">
        <f aca="false">BL133-BO133-BR133-BT133</f>
        <v>0</v>
      </c>
      <c r="BV133" s="84" t="n">
        <f aca="false">BO133+BR133+(1-$F133)*BU133</f>
        <v>0</v>
      </c>
      <c r="BW133" s="84" t="n">
        <f aca="false">BT133+$F133*BU133</f>
        <v>0</v>
      </c>
      <c r="BX133" s="84" t="n">
        <f aca="false">BH133+BR133+(1-$F133)*BU133</f>
        <v>0</v>
      </c>
      <c r="BY133" s="84" t="n">
        <f aca="false">BI133+BW133</f>
        <v>0</v>
      </c>
      <c r="BZ133" s="133" t="n">
        <f aca="false">BM133+$D133*Inputs!$E$13-$D133*$E133</f>
        <v>13450.753</v>
      </c>
      <c r="CA133" s="84" t="n">
        <f aca="false">BZ133*(1+$I133)</f>
        <v>16006.39607</v>
      </c>
      <c r="CB133" s="133" t="n">
        <f aca="false">CA133*Inputs!$E$14</f>
        <v>0</v>
      </c>
      <c r="CC133" s="84" t="n">
        <f aca="false">CA133-CB133</f>
        <v>16006.39607</v>
      </c>
      <c r="CD133" s="133" t="n">
        <f aca="false">BP133+$D133*Inputs!$E$13</f>
        <v>12000</v>
      </c>
      <c r="CE133" s="84" t="n">
        <f aca="false">MIN(CB133,CD133)</f>
        <v>0</v>
      </c>
      <c r="CF133" s="84" t="n">
        <f aca="false">CD133-CE133</f>
        <v>12000</v>
      </c>
      <c r="CG133" s="84" t="n">
        <f aca="false">BS133+$G133*(CD133+BS133)</f>
        <v>2024.448</v>
      </c>
      <c r="CH133" s="84" t="n">
        <f aca="false">MIN(CB133-CE133,CG133)</f>
        <v>0</v>
      </c>
      <c r="CI133" s="84" t="n">
        <f aca="false">CG133-CH133</f>
        <v>2024.448</v>
      </c>
      <c r="CJ133" s="84" t="n">
        <f aca="false">IF($H133=1,MIN(CB133-CE133-CH133,MAX(0,$F133/(1-$F133)*(BX133+CH133)-BY133)),0)</f>
        <v>0</v>
      </c>
      <c r="CK133" s="84" t="n">
        <f aca="false">CB133-CE133-CH133-CJ133</f>
        <v>0</v>
      </c>
      <c r="CL133" s="84" t="n">
        <f aca="false">CE133+CH133+(1-$F133)*CK133</f>
        <v>0</v>
      </c>
      <c r="CM133" s="84" t="n">
        <f aca="false">CJ133+$F133*CK133</f>
        <v>0</v>
      </c>
      <c r="CN133" s="84" t="n">
        <f aca="false">BX133+CH133+(1-$F133)*CK133</f>
        <v>0</v>
      </c>
      <c r="CO133" s="84" t="n">
        <f aca="false">BY133+CM133</f>
        <v>0</v>
      </c>
      <c r="CP133" s="133" t="n">
        <f aca="false">CC133+$D133*Inputs!$F$13-$D133*$E133</f>
        <v>19736.39607</v>
      </c>
      <c r="CQ133" s="84" t="n">
        <f aca="false">CP133*(1+$I133)</f>
        <v>23486.3113233</v>
      </c>
      <c r="CR133" s="133" t="n">
        <f aca="false">CQ133*Inputs!$F$14</f>
        <v>0</v>
      </c>
      <c r="CS133" s="84" t="n">
        <f aca="false">CQ133-CR133</f>
        <v>23486.3113233</v>
      </c>
      <c r="CT133" s="133" t="n">
        <f aca="false">CF133+$D133*Inputs!$F$13</f>
        <v>16000</v>
      </c>
      <c r="CU133" s="84" t="n">
        <f aca="false">MIN(CR133,CT133)</f>
        <v>0</v>
      </c>
      <c r="CV133" s="84" t="n">
        <f aca="false">CT133-CU133</f>
        <v>16000</v>
      </c>
      <c r="CW133" s="84" t="n">
        <f aca="false">CI133+$G133*(CT133+CI133)</f>
        <v>3466.40384</v>
      </c>
      <c r="CX133" s="84" t="n">
        <f aca="false">MIN(CR133-CU133,CW133)</f>
        <v>0</v>
      </c>
      <c r="CY133" s="84" t="n">
        <f aca="false">CW133-CX133</f>
        <v>3466.40384</v>
      </c>
      <c r="CZ133" s="84" t="n">
        <f aca="false">IF($H133=1,MIN(CR133-CU133-CX133,MAX(0,$F133/(1-$F133)*(CN133+CX133)-CO133)),0)</f>
        <v>0</v>
      </c>
      <c r="DA133" s="84" t="n">
        <f aca="false">CR133-CU133-CX133-CZ133</f>
        <v>0</v>
      </c>
      <c r="DB133" s="84" t="n">
        <f aca="false">CU133+CX133+(1-$F133)*DA133</f>
        <v>0</v>
      </c>
      <c r="DC133" s="84" t="n">
        <f aca="false">CZ133+$F133*DA133</f>
        <v>0</v>
      </c>
      <c r="DD133" s="84" t="n">
        <f aca="false">CN133+CX133+(1-$F133)*DA133</f>
        <v>0</v>
      </c>
      <c r="DE133" s="84" t="n">
        <f aca="false">CO133+DC133</f>
        <v>0</v>
      </c>
      <c r="DF133" s="133" t="n">
        <f aca="false">CS133+$D133*Inputs!$G$13-$D133*$E133</f>
        <v>27216.3113233</v>
      </c>
      <c r="DG133" s="84" t="n">
        <f aca="false">DF133*(1+$I133)</f>
        <v>32387.410474727</v>
      </c>
      <c r="DH133" s="133" t="n">
        <f aca="false">DG133*Inputs!$G$14</f>
        <v>6477.4820949454</v>
      </c>
      <c r="DI133" s="84" t="n">
        <f aca="false">DG133-DH133</f>
        <v>25909.9283797816</v>
      </c>
      <c r="DJ133" s="133" t="n">
        <f aca="false">CV133+$D133*Inputs!$G$13</f>
        <v>20000</v>
      </c>
      <c r="DK133" s="84" t="n">
        <f aca="false">MIN(DH133,DJ133)</f>
        <v>6477.4820949454</v>
      </c>
      <c r="DL133" s="84" t="n">
        <f aca="false">DJ133-DK133</f>
        <v>13522.5179050546</v>
      </c>
      <c r="DM133" s="84" t="n">
        <f aca="false">CY133+$G133*(DJ133+CY133)</f>
        <v>5343.7161472</v>
      </c>
      <c r="DN133" s="84" t="n">
        <f aca="false">MIN(DH133-DK133,DM133)</f>
        <v>0</v>
      </c>
      <c r="DO133" s="84" t="n">
        <f aca="false">DM133-DN133</f>
        <v>5343.7161472</v>
      </c>
      <c r="DP133" s="84" t="n">
        <f aca="false">IF($H133=1,MIN(DH133-DK133-DN133,MAX(0,$F133/(1-$F133)*(DD133+DN133)-DE133)),0)</f>
        <v>0</v>
      </c>
      <c r="DQ133" s="84" t="n">
        <f aca="false">DH133-DK133-DN133-DP133</f>
        <v>0</v>
      </c>
      <c r="DR133" s="84" t="n">
        <f aca="false">DK133+DN133+(1-$F133)*DQ133</f>
        <v>6477.4820949454</v>
      </c>
      <c r="DS133" s="84" t="n">
        <f aca="false">DP133+$F133*DQ133</f>
        <v>0</v>
      </c>
      <c r="DT133" s="84" t="n">
        <f aca="false">DD133+DN133+(1-$F133)*DQ133</f>
        <v>0</v>
      </c>
      <c r="DU133" s="84" t="n">
        <f aca="false">DE133+DS133</f>
        <v>0</v>
      </c>
      <c r="DV133" s="133" t="n">
        <f aca="false">DI133+$D133*Inputs!$H$13-$D133*$E133</f>
        <v>25639.9283797816</v>
      </c>
      <c r="DW133" s="84" t="n">
        <f aca="false">DV133*(1+$I133)</f>
        <v>30511.5147719401</v>
      </c>
      <c r="DX133" s="133" t="n">
        <f aca="false">DW133*Inputs!$H$14</f>
        <v>6102.30295438802</v>
      </c>
      <c r="DY133" s="84" t="n">
        <f aca="false">DW133-DX133</f>
        <v>24409.2118175521</v>
      </c>
      <c r="DZ133" s="133" t="n">
        <f aca="false">DL133+$D133*Inputs!$H$13</f>
        <v>13522.5179050546</v>
      </c>
      <c r="EA133" s="84" t="n">
        <f aca="false">MIN(DX133,DZ133)</f>
        <v>6102.30295438802</v>
      </c>
      <c r="EB133" s="84" t="n">
        <f aca="false">DZ133-EA133</f>
        <v>7420.21495066658</v>
      </c>
      <c r="EC133" s="84" t="n">
        <f aca="false">DO133+$G133*(DZ133+DO133)</f>
        <v>6853.01487138037</v>
      </c>
      <c r="ED133" s="84" t="n">
        <f aca="false">MIN(DX133-EA133,EC133)</f>
        <v>0</v>
      </c>
      <c r="EE133" s="84" t="n">
        <f aca="false">EC133-ED133</f>
        <v>6853.01487138037</v>
      </c>
      <c r="EF133" s="84" t="n">
        <f aca="false">IF($H133=1,MIN(DX133-EA133-ED133,MAX(0,$F133/(1-$F133)*(DT133+ED133)-DU133)),0)</f>
        <v>0</v>
      </c>
      <c r="EG133" s="84" t="n">
        <f aca="false">DX133-EA133-ED133-EF133</f>
        <v>0</v>
      </c>
      <c r="EH133" s="84" t="n">
        <f aca="false">EA133+ED133+(1-$F133)*EG133</f>
        <v>6102.30295438802</v>
      </c>
      <c r="EI133" s="84" t="n">
        <f aca="false">EF133+$F133*EG133</f>
        <v>0</v>
      </c>
      <c r="EJ133" s="84" t="n">
        <f aca="false">DT133+ED133+(1-$F133)*EG133</f>
        <v>0</v>
      </c>
      <c r="EK133" s="84" t="n">
        <f aca="false">DU133+EI133</f>
        <v>0</v>
      </c>
      <c r="EL133" s="133" t="n">
        <f aca="false">DY133+$D133*Inputs!$I$13-$D133*$E133</f>
        <v>24139.2118175521</v>
      </c>
      <c r="EM133" s="84" t="n">
        <f aca="false">EL133*(1+$I133)</f>
        <v>28725.662062887</v>
      </c>
      <c r="EN133" s="133" t="n">
        <f aca="false">EM133*Inputs!$I$14</f>
        <v>5745.1324125774</v>
      </c>
      <c r="EO133" s="84" t="n">
        <f aca="false">EM133-EN133</f>
        <v>22980.5296503096</v>
      </c>
      <c r="EP133" s="133" t="n">
        <f aca="false">EB133+$D133*Inputs!$I$13</f>
        <v>7420.21495066658</v>
      </c>
      <c r="EQ133" s="84" t="n">
        <f aca="false">MIN(EN133,EP133)</f>
        <v>5745.1324125774</v>
      </c>
      <c r="ER133" s="84" t="n">
        <f aca="false">EP133-EQ133</f>
        <v>1675.08253808918</v>
      </c>
      <c r="ES133" s="84" t="n">
        <f aca="false">EE133+$G133*(EP133+EE133)</f>
        <v>7994.87325714412</v>
      </c>
      <c r="ET133" s="84" t="n">
        <f aca="false">MIN(EN133-EQ133,ES133)</f>
        <v>0</v>
      </c>
      <c r="EU133" s="84" t="n">
        <f aca="false">ES133-ET133</f>
        <v>7994.87325714412</v>
      </c>
      <c r="EV133" s="84" t="n">
        <f aca="false">IF($H133=1,MIN(EN133-EQ133-ET133,MAX(0,$F133/(1-$F133)*(EJ133+ET133)-EK133)),0)</f>
        <v>0</v>
      </c>
      <c r="EW133" s="84" t="n">
        <f aca="false">EN133-EQ133-ET133-EV133</f>
        <v>0</v>
      </c>
      <c r="EX133" s="84" t="n">
        <f aca="false">EQ133+ET133+(1-$F133)*EW133</f>
        <v>5745.1324125774</v>
      </c>
      <c r="EY133" s="84" t="n">
        <f aca="false">EV133+$F133*EW133</f>
        <v>0</v>
      </c>
      <c r="EZ133" s="84" t="n">
        <f aca="false">EJ133+ET133+(1-$F133)*EW133</f>
        <v>0</v>
      </c>
      <c r="FA133" s="84" t="n">
        <f aca="false">EK133+EY133</f>
        <v>0</v>
      </c>
      <c r="FB133" s="133" t="n">
        <f aca="false">EO133+$D133*Inputs!$J$13-$D133*$E133</f>
        <v>22710.5296503096</v>
      </c>
      <c r="FC133" s="84" t="n">
        <f aca="false">FB133*(1+$I133)</f>
        <v>27025.5302838684</v>
      </c>
      <c r="FD133" s="133" t="n">
        <f aca="false">FC133*Inputs!$J$14</f>
        <v>5405.10605677368</v>
      </c>
      <c r="FE133" s="84" t="n">
        <f aca="false">FC133-FD133</f>
        <v>21620.4242270947</v>
      </c>
      <c r="FF133" s="133" t="n">
        <f aca="false">ER133+$D133*Inputs!$J$13</f>
        <v>1675.08253808918</v>
      </c>
      <c r="FG133" s="84" t="n">
        <f aca="false">MIN(FD133,FF133)</f>
        <v>1675.08253808918</v>
      </c>
      <c r="FH133" s="84" t="n">
        <f aca="false">FF133-FG133</f>
        <v>0</v>
      </c>
      <c r="FI133" s="84" t="n">
        <f aca="false">EU133+$G133*(FF133+EU133)</f>
        <v>8768.46972076279</v>
      </c>
      <c r="FJ133" s="84" t="n">
        <f aca="false">MIN(FD133-FG133,FI133)</f>
        <v>3730.0235186845</v>
      </c>
      <c r="FK133" s="84" t="n">
        <f aca="false">FI133-FJ133</f>
        <v>5038.44620207829</v>
      </c>
      <c r="FL133" s="84" t="n">
        <f aca="false">IF($H133=1,MIN(FD133-FG133-FJ133,MAX(0,$F133/(1-$F133)*(EZ133+FJ133)-FA133)),0)</f>
        <v>0</v>
      </c>
      <c r="FM133" s="84" t="n">
        <f aca="false">FD133-FG133-FJ133-FL133</f>
        <v>0</v>
      </c>
      <c r="FN133" s="84" t="n">
        <f aca="false">FG133+FJ133+(1-$F133)*FM133</f>
        <v>5405.10605677368</v>
      </c>
      <c r="FO133" s="84" t="n">
        <f aca="false">FL133+$F133*FM133</f>
        <v>0</v>
      </c>
      <c r="FP133" s="84" t="n">
        <f aca="false">EZ133+FJ133+(1-$F133)*FM133</f>
        <v>3730.0235186845</v>
      </c>
      <c r="FQ133" s="84" t="n">
        <f aca="false">FA133+FO133</f>
        <v>0</v>
      </c>
      <c r="FR133" s="133" t="n">
        <f aca="false">FE133+$D133*Inputs!$K$13-$D133*$E133</f>
        <v>21350.4242270947</v>
      </c>
      <c r="FS133" s="84" t="n">
        <f aca="false">FR133*(1+$I133)</f>
        <v>25407.0048302427</v>
      </c>
      <c r="FT133" s="133" t="n">
        <f aca="false">FS133*Inputs!$K$14</f>
        <v>5081.40096604854</v>
      </c>
      <c r="FU133" s="84" t="n">
        <f aca="false">FS133-FT133</f>
        <v>20325.6038641942</v>
      </c>
      <c r="FV133" s="133" t="n">
        <f aca="false">FH133+$D133*Inputs!$K$13</f>
        <v>0</v>
      </c>
      <c r="FW133" s="84" t="n">
        <f aca="false">MIN(FT133,FV133)</f>
        <v>0</v>
      </c>
      <c r="FX133" s="84" t="n">
        <f aca="false">FV133-FW133</f>
        <v>0</v>
      </c>
      <c r="FY133" s="84" t="n">
        <f aca="false">FK133+$G133*(FV133+FK133)</f>
        <v>5441.52189824456</v>
      </c>
      <c r="FZ133" s="84" t="n">
        <f aca="false">MIN(FT133-FW133,FY133)</f>
        <v>5081.40096604854</v>
      </c>
      <c r="GA133" s="84" t="n">
        <f aca="false">FY133-FZ133</f>
        <v>360.120932196011</v>
      </c>
      <c r="GB133" s="84" t="n">
        <f aca="false">IF($H133=1,MIN(FT133-FW133-FZ133,MAX(0,$F133/(1-$F133)*(FP133+FZ133)-FQ133)),0)</f>
        <v>0</v>
      </c>
      <c r="GC133" s="84" t="n">
        <f aca="false">FT133-FW133-FZ133-GB133</f>
        <v>0</v>
      </c>
      <c r="GD133" s="84" t="n">
        <f aca="false">FW133+FZ133+(1-$F133)*GC133</f>
        <v>5081.40096604854</v>
      </c>
      <c r="GE133" s="84" t="n">
        <f aca="false">GB133+$F133*GC133</f>
        <v>0</v>
      </c>
      <c r="GF133" s="84" t="n">
        <f aca="false">FP133+FZ133+(1-$F133)*GC133</f>
        <v>8811.42448473304</v>
      </c>
      <c r="GG133" s="84" t="n">
        <f aca="false">FQ133+GE133</f>
        <v>0</v>
      </c>
      <c r="GH133" s="133" t="n">
        <f aca="false">FU133+$D133*Inputs!$L$13-$D133*$E133</f>
        <v>20055.6038641942</v>
      </c>
      <c r="GI133" s="84" t="n">
        <f aca="false">GH133*(1+$I133)</f>
        <v>23866.1685983911</v>
      </c>
      <c r="GJ133" s="133" t="n">
        <f aca="false">GI133*Inputs!$L$14</f>
        <v>23866.1685983911</v>
      </c>
      <c r="GK133" s="84" t="n">
        <f aca="false">GI133-GJ133</f>
        <v>0</v>
      </c>
      <c r="GL133" s="133" t="n">
        <f aca="false">FX133+$D133*Inputs!$L$13</f>
        <v>0</v>
      </c>
      <c r="GM133" s="84" t="n">
        <f aca="false">MIN(GJ133,GL133)</f>
        <v>0</v>
      </c>
      <c r="GN133" s="84" t="n">
        <f aca="false">GL133-GM133</f>
        <v>0</v>
      </c>
      <c r="GO133" s="84" t="n">
        <f aca="false">GA133+$G133*(GL133+GA133)</f>
        <v>388.930606771692</v>
      </c>
      <c r="GP133" s="84" t="n">
        <f aca="false">MIN(GJ133-GM133,GO133)</f>
        <v>388.930606771692</v>
      </c>
      <c r="GQ133" s="84" t="n">
        <f aca="false">GO133-GP133</f>
        <v>0</v>
      </c>
      <c r="GR133" s="84" t="n">
        <f aca="false">IF($H133=1,MIN(GJ133-GM133-GP133,MAX(0,$F133/(1-$F133)*(GF133+GP133)-GG133)),0)</f>
        <v>2300.08877287618</v>
      </c>
      <c r="GS133" s="84" t="n">
        <f aca="false">GJ133-GM133-GP133-GR133</f>
        <v>21177.1492187432</v>
      </c>
      <c r="GT133" s="84" t="n">
        <f aca="false">GM133+GP133+(1-$F133)*GS133</f>
        <v>17330.6499817662</v>
      </c>
      <c r="GU133" s="84" t="n">
        <f aca="false">GR133+$F133*GS133</f>
        <v>6535.51861662482</v>
      </c>
      <c r="GV133" s="84" t="n">
        <f aca="false">GF133+GP133+(1-$F133)*GS133</f>
        <v>26142.0744664993</v>
      </c>
      <c r="GW133" s="84" t="n">
        <f aca="false">GG133+GU133</f>
        <v>6535.51861662482</v>
      </c>
    </row>
    <row r="134" customFormat="false" ht="15" hidden="false" customHeight="false" outlineLevel="0" collapsed="false">
      <c r="A134" s="5" t="s">
        <v>640</v>
      </c>
      <c r="B134" s="5" t="s">
        <v>428</v>
      </c>
      <c r="C134" s="135" t="n">
        <v>20</v>
      </c>
      <c r="D134" s="47" t="n">
        <f aca="false">Inputs!$C$6</f>
        <v>20000</v>
      </c>
      <c r="E134" s="35" t="n">
        <f aca="false">Inputs!$C$19</f>
        <v>0.0135</v>
      </c>
      <c r="F134" s="36" t="n">
        <f aca="false">Inputs!$C$20</f>
        <v>0.2</v>
      </c>
      <c r="G134" s="36" t="n">
        <f aca="false">Inputs!$C$22</f>
        <v>0.08</v>
      </c>
      <c r="H134" s="44" t="n">
        <f aca="false">Inputs!$C$23</f>
        <v>1</v>
      </c>
      <c r="I134" s="132" t="n">
        <f aca="false">Inputs!$C$38+$C134*Inputs!$C$39</f>
        <v>0.2</v>
      </c>
      <c r="J134" s="36" t="n">
        <f aca="false">Inputs!$C$9</f>
        <v>0.15</v>
      </c>
      <c r="K134" s="89" t="n">
        <f aca="false">IRR(W134:AG134,0.1)</f>
        <v>0.160292237693307</v>
      </c>
      <c r="L134" s="45" t="n">
        <f aca="false">W134+NPV($J134,X134:AG134)</f>
        <v>825.662738669115</v>
      </c>
      <c r="M134" s="45" t="n">
        <f aca="false">SUM(BF134,BV134,CL134,DB134,DR134,EH134,EX134,FN134,GD134,GT134)</f>
        <v>48631.3881906058</v>
      </c>
      <c r="N134" s="43" t="n">
        <f aca="false">IF($D134*SUM(Inputs!$C$13:$L$13)=0,0,M134/($D134*SUM(Inputs!$C$13:$L$13)))</f>
        <v>2.43156940953029</v>
      </c>
      <c r="O134" s="42" t="n">
        <f aca="false">$D134*$E134*COLUMNS(Inputs!$C$13:$L$13)</f>
        <v>2700</v>
      </c>
      <c r="P134" s="45" t="n">
        <f aca="false">SUM(BG134,BW134,CM134,DC134,DS134,EI134,EY134,FO134,GE134,GU134)</f>
        <v>7157.84704765146</v>
      </c>
      <c r="Q134" s="42" t="n">
        <f aca="false">PV($J134,COLUMNS(Inputs!$C$13:$L$13),-$D134*$E134,0,1)</f>
        <v>1558.32765832774</v>
      </c>
      <c r="R134" s="45" t="n">
        <f aca="false">NPV($J134,BG134,BW134,CM134,DC134,DS134,EI134,EY134,FO134,GE134,GU134)</f>
        <v>1811.89616613155</v>
      </c>
      <c r="S134" s="45" t="n">
        <f aca="false">Q134+R134</f>
        <v>3370.22382445929</v>
      </c>
      <c r="T134" s="32" t="n">
        <f aca="false">IF(S134=0,0,Q134/S134)</f>
        <v>0.462381058201009</v>
      </c>
      <c r="U134" s="45" t="n">
        <f aca="false">ROUND(ABS(GK134)+ABS(SUM(AV134,BL134,CB134,CR134,DH134,DX134,EN134,FD134,FT134,GJ134)-M134-P134)+ABS(S134-(AH134+NPV($J134,AI134:AR134))),6)</f>
        <v>0</v>
      </c>
      <c r="W134" s="133" t="n">
        <f aca="false">-$D134*Inputs!$C$13</f>
        <v>-4000</v>
      </c>
      <c r="X134" s="133" t="n">
        <f aca="false">BF134-$D134*Inputs!$D$13</f>
        <v>-4000</v>
      </c>
      <c r="Y134" s="133" t="n">
        <f aca="false">BV134-$D134*Inputs!$E$13</f>
        <v>-4000</v>
      </c>
      <c r="Z134" s="133" t="n">
        <f aca="false">CL134-$D134*Inputs!$F$13</f>
        <v>-4000</v>
      </c>
      <c r="AA134" s="133" t="n">
        <f aca="false">DB134-$D134*Inputs!$G$13</f>
        <v>-4000</v>
      </c>
      <c r="AB134" s="133" t="n">
        <f aca="false">DR134-$D134*Inputs!$H$13</f>
        <v>6661.72032</v>
      </c>
      <c r="AC134" s="133" t="n">
        <f aca="false">EH134-$D134*Inputs!$I$13</f>
        <v>6330.4515072</v>
      </c>
      <c r="AD134" s="133" t="n">
        <f aca="false">EX134-$D134*Inputs!$J$13</f>
        <v>6012.433446912</v>
      </c>
      <c r="AE134" s="133" t="n">
        <f aca="false">FN134-$D134*Inputs!$K$13</f>
        <v>5707.13610903552</v>
      </c>
      <c r="AF134" s="133" t="n">
        <f aca="false">GD134-$D134*Inputs!$L$13</f>
        <v>4265.49397439723</v>
      </c>
      <c r="AG134" s="84" t="n">
        <f aca="false">GT134</f>
        <v>19654.1528330611</v>
      </c>
      <c r="AH134" s="84" t="n">
        <f aca="false">$D134*$E134</f>
        <v>270</v>
      </c>
      <c r="AI134" s="84" t="n">
        <f aca="false">BG134+$D134*$E134</f>
        <v>270</v>
      </c>
      <c r="AJ134" s="84" t="n">
        <f aca="false">BW134+$D134*$E134</f>
        <v>270</v>
      </c>
      <c r="AK134" s="84" t="n">
        <f aca="false">CM134+$D134*$E134</f>
        <v>270</v>
      </c>
      <c r="AL134" s="84" t="n">
        <f aca="false">DC134+$D134*$E134</f>
        <v>270</v>
      </c>
      <c r="AM134" s="84" t="n">
        <f aca="false">DS134+$D134*$E134</f>
        <v>270</v>
      </c>
      <c r="AN134" s="84" t="n">
        <f aca="false">EI134+$D134*$E134</f>
        <v>270</v>
      </c>
      <c r="AO134" s="84" t="n">
        <f aca="false">EY134+$D134*$E134</f>
        <v>270</v>
      </c>
      <c r="AP134" s="84" t="n">
        <f aca="false">FO134+$D134*$E134</f>
        <v>270</v>
      </c>
      <c r="AQ134" s="84" t="n">
        <f aca="false">GE134+$D134*$E134</f>
        <v>1418.55669027687</v>
      </c>
      <c r="AR134" s="84" t="n">
        <f aca="false">GU134</f>
        <v>6009.29035737459</v>
      </c>
      <c r="AT134" s="133" t="n">
        <f aca="false">$D134*Inputs!$C$13-$D134*$E134</f>
        <v>3730</v>
      </c>
      <c r="AU134" s="84" t="n">
        <f aca="false">AT134*(1+$I134)</f>
        <v>4476</v>
      </c>
      <c r="AV134" s="133" t="n">
        <f aca="false">AU134*Inputs!$C$14</f>
        <v>0</v>
      </c>
      <c r="AW134" s="84" t="n">
        <f aca="false">AU134-AV134</f>
        <v>4476</v>
      </c>
      <c r="AX134" s="133" t="n">
        <f aca="false">$D134*Inputs!$C$13</f>
        <v>4000</v>
      </c>
      <c r="AY134" s="84" t="n">
        <f aca="false">MIN(AV134,AX134)</f>
        <v>0</v>
      </c>
      <c r="AZ134" s="84" t="n">
        <f aca="false">AX134-AY134</f>
        <v>4000</v>
      </c>
      <c r="BA134" s="84" t="n">
        <f aca="false">$G134*AX134</f>
        <v>320</v>
      </c>
      <c r="BB134" s="84" t="n">
        <f aca="false">MIN(AV134-AY134,BA134)</f>
        <v>0</v>
      </c>
      <c r="BC134" s="84" t="n">
        <f aca="false">BA134-BB134</f>
        <v>320</v>
      </c>
      <c r="BD134" s="84" t="n">
        <f aca="false">IF($H134=1,MIN(AV134-AY134-BB134,MAX(0,$F134/(1-$F134)*BB134)),0)</f>
        <v>0</v>
      </c>
      <c r="BE134" s="84" t="n">
        <f aca="false">AV134-AY134-BB134-BD134</f>
        <v>0</v>
      </c>
      <c r="BF134" s="84" t="n">
        <f aca="false">AY134+BB134+(1-$F134)*BE134</f>
        <v>0</v>
      </c>
      <c r="BG134" s="84" t="n">
        <f aca="false">BD134+$F134*BE134</f>
        <v>0</v>
      </c>
      <c r="BH134" s="84" t="n">
        <f aca="false">BB134+(1-$F134)*BE134</f>
        <v>0</v>
      </c>
      <c r="BI134" s="84" t="n">
        <f aca="false">BG134</f>
        <v>0</v>
      </c>
      <c r="BJ134" s="133" t="n">
        <f aca="false">AW134+$D134*Inputs!$D$13-$D134*$E134</f>
        <v>8206</v>
      </c>
      <c r="BK134" s="84" t="n">
        <f aca="false">BJ134*(1+$I134)</f>
        <v>9847.2</v>
      </c>
      <c r="BL134" s="133" t="n">
        <f aca="false">BK134*Inputs!$D$14</f>
        <v>0</v>
      </c>
      <c r="BM134" s="84" t="n">
        <f aca="false">BK134-BL134</f>
        <v>9847.2</v>
      </c>
      <c r="BN134" s="133" t="n">
        <f aca="false">AZ134+$D134*Inputs!$D$13</f>
        <v>8000</v>
      </c>
      <c r="BO134" s="84" t="n">
        <f aca="false">MIN(BL134,BN134)</f>
        <v>0</v>
      </c>
      <c r="BP134" s="84" t="n">
        <f aca="false">BN134-BO134</f>
        <v>8000</v>
      </c>
      <c r="BQ134" s="84" t="n">
        <f aca="false">BC134+$G134*(BN134+BC134)</f>
        <v>985.6</v>
      </c>
      <c r="BR134" s="84" t="n">
        <f aca="false">MIN(BL134-BO134,BQ134)</f>
        <v>0</v>
      </c>
      <c r="BS134" s="84" t="n">
        <f aca="false">BQ134-BR134</f>
        <v>985.6</v>
      </c>
      <c r="BT134" s="84" t="n">
        <f aca="false">IF($H134=1,MIN(BL134-BO134-BR134,MAX(0,$F134/(1-$F134)*(BH134+BR134)-BI134)),0)</f>
        <v>0</v>
      </c>
      <c r="BU134" s="84" t="n">
        <f aca="false">BL134-BO134-BR134-BT134</f>
        <v>0</v>
      </c>
      <c r="BV134" s="84" t="n">
        <f aca="false">BO134+BR134+(1-$F134)*BU134</f>
        <v>0</v>
      </c>
      <c r="BW134" s="84" t="n">
        <f aca="false">BT134+$F134*BU134</f>
        <v>0</v>
      </c>
      <c r="BX134" s="84" t="n">
        <f aca="false">BH134+BR134+(1-$F134)*BU134</f>
        <v>0</v>
      </c>
      <c r="BY134" s="84" t="n">
        <f aca="false">BI134+BW134</f>
        <v>0</v>
      </c>
      <c r="BZ134" s="133" t="n">
        <f aca="false">BM134+$D134*Inputs!$E$13-$D134*$E134</f>
        <v>13577.2</v>
      </c>
      <c r="CA134" s="84" t="n">
        <f aca="false">BZ134*(1+$I134)</f>
        <v>16292.64</v>
      </c>
      <c r="CB134" s="133" t="n">
        <f aca="false">CA134*Inputs!$E$14</f>
        <v>0</v>
      </c>
      <c r="CC134" s="84" t="n">
        <f aca="false">CA134-CB134</f>
        <v>16292.64</v>
      </c>
      <c r="CD134" s="133" t="n">
        <f aca="false">BP134+$D134*Inputs!$E$13</f>
        <v>12000</v>
      </c>
      <c r="CE134" s="84" t="n">
        <f aca="false">MIN(CB134,CD134)</f>
        <v>0</v>
      </c>
      <c r="CF134" s="84" t="n">
        <f aca="false">CD134-CE134</f>
        <v>12000</v>
      </c>
      <c r="CG134" s="84" t="n">
        <f aca="false">BS134+$G134*(CD134+BS134)</f>
        <v>2024.448</v>
      </c>
      <c r="CH134" s="84" t="n">
        <f aca="false">MIN(CB134-CE134,CG134)</f>
        <v>0</v>
      </c>
      <c r="CI134" s="84" t="n">
        <f aca="false">CG134-CH134</f>
        <v>2024.448</v>
      </c>
      <c r="CJ134" s="84" t="n">
        <f aca="false">IF($H134=1,MIN(CB134-CE134-CH134,MAX(0,$F134/(1-$F134)*(BX134+CH134)-BY134)),0)</f>
        <v>0</v>
      </c>
      <c r="CK134" s="84" t="n">
        <f aca="false">CB134-CE134-CH134-CJ134</f>
        <v>0</v>
      </c>
      <c r="CL134" s="84" t="n">
        <f aca="false">CE134+CH134+(1-$F134)*CK134</f>
        <v>0</v>
      </c>
      <c r="CM134" s="84" t="n">
        <f aca="false">CJ134+$F134*CK134</f>
        <v>0</v>
      </c>
      <c r="CN134" s="84" t="n">
        <f aca="false">BX134+CH134+(1-$F134)*CK134</f>
        <v>0</v>
      </c>
      <c r="CO134" s="84" t="n">
        <f aca="false">BY134+CM134</f>
        <v>0</v>
      </c>
      <c r="CP134" s="133" t="n">
        <f aca="false">CC134+$D134*Inputs!$F$13-$D134*$E134</f>
        <v>20022.64</v>
      </c>
      <c r="CQ134" s="84" t="n">
        <f aca="false">CP134*(1+$I134)</f>
        <v>24027.168</v>
      </c>
      <c r="CR134" s="133" t="n">
        <f aca="false">CQ134*Inputs!$F$14</f>
        <v>0</v>
      </c>
      <c r="CS134" s="84" t="n">
        <f aca="false">CQ134-CR134</f>
        <v>24027.168</v>
      </c>
      <c r="CT134" s="133" t="n">
        <f aca="false">CF134+$D134*Inputs!$F$13</f>
        <v>16000</v>
      </c>
      <c r="CU134" s="84" t="n">
        <f aca="false">MIN(CR134,CT134)</f>
        <v>0</v>
      </c>
      <c r="CV134" s="84" t="n">
        <f aca="false">CT134-CU134</f>
        <v>16000</v>
      </c>
      <c r="CW134" s="84" t="n">
        <f aca="false">CI134+$G134*(CT134+CI134)</f>
        <v>3466.40384</v>
      </c>
      <c r="CX134" s="84" t="n">
        <f aca="false">MIN(CR134-CU134,CW134)</f>
        <v>0</v>
      </c>
      <c r="CY134" s="84" t="n">
        <f aca="false">CW134-CX134</f>
        <v>3466.40384</v>
      </c>
      <c r="CZ134" s="84" t="n">
        <f aca="false">IF($H134=1,MIN(CR134-CU134-CX134,MAX(0,$F134/(1-$F134)*(CN134+CX134)-CO134)),0)</f>
        <v>0</v>
      </c>
      <c r="DA134" s="84" t="n">
        <f aca="false">CR134-CU134-CX134-CZ134</f>
        <v>0</v>
      </c>
      <c r="DB134" s="84" t="n">
        <f aca="false">CU134+CX134+(1-$F134)*DA134</f>
        <v>0</v>
      </c>
      <c r="DC134" s="84" t="n">
        <f aca="false">CZ134+$F134*DA134</f>
        <v>0</v>
      </c>
      <c r="DD134" s="84" t="n">
        <f aca="false">CN134+CX134+(1-$F134)*DA134</f>
        <v>0</v>
      </c>
      <c r="DE134" s="84" t="n">
        <f aca="false">CO134+DC134</f>
        <v>0</v>
      </c>
      <c r="DF134" s="133" t="n">
        <f aca="false">CS134+$D134*Inputs!$G$13-$D134*$E134</f>
        <v>27757.168</v>
      </c>
      <c r="DG134" s="84" t="n">
        <f aca="false">DF134*(1+$I134)</f>
        <v>33308.6016</v>
      </c>
      <c r="DH134" s="133" t="n">
        <f aca="false">DG134*Inputs!$G$14</f>
        <v>6661.72032</v>
      </c>
      <c r="DI134" s="84" t="n">
        <f aca="false">DG134-DH134</f>
        <v>26646.88128</v>
      </c>
      <c r="DJ134" s="133" t="n">
        <f aca="false">CV134+$D134*Inputs!$G$13</f>
        <v>20000</v>
      </c>
      <c r="DK134" s="84" t="n">
        <f aca="false">MIN(DH134,DJ134)</f>
        <v>6661.72032</v>
      </c>
      <c r="DL134" s="84" t="n">
        <f aca="false">DJ134-DK134</f>
        <v>13338.27968</v>
      </c>
      <c r="DM134" s="84" t="n">
        <f aca="false">CY134+$G134*(DJ134+CY134)</f>
        <v>5343.7161472</v>
      </c>
      <c r="DN134" s="84" t="n">
        <f aca="false">MIN(DH134-DK134,DM134)</f>
        <v>0</v>
      </c>
      <c r="DO134" s="84" t="n">
        <f aca="false">DM134-DN134</f>
        <v>5343.7161472</v>
      </c>
      <c r="DP134" s="84" t="n">
        <f aca="false">IF($H134=1,MIN(DH134-DK134-DN134,MAX(0,$F134/(1-$F134)*(DD134+DN134)-DE134)),0)</f>
        <v>0</v>
      </c>
      <c r="DQ134" s="84" t="n">
        <f aca="false">DH134-DK134-DN134-DP134</f>
        <v>0</v>
      </c>
      <c r="DR134" s="84" t="n">
        <f aca="false">DK134+DN134+(1-$F134)*DQ134</f>
        <v>6661.72032</v>
      </c>
      <c r="DS134" s="84" t="n">
        <f aca="false">DP134+$F134*DQ134</f>
        <v>0</v>
      </c>
      <c r="DT134" s="84" t="n">
        <f aca="false">DD134+DN134+(1-$F134)*DQ134</f>
        <v>0</v>
      </c>
      <c r="DU134" s="84" t="n">
        <f aca="false">DE134+DS134</f>
        <v>0</v>
      </c>
      <c r="DV134" s="133" t="n">
        <f aca="false">DI134+$D134*Inputs!$H$13-$D134*$E134</f>
        <v>26376.88128</v>
      </c>
      <c r="DW134" s="84" t="n">
        <f aca="false">DV134*(1+$I134)</f>
        <v>31652.257536</v>
      </c>
      <c r="DX134" s="133" t="n">
        <f aca="false">DW134*Inputs!$H$14</f>
        <v>6330.4515072</v>
      </c>
      <c r="DY134" s="84" t="n">
        <f aca="false">DW134-DX134</f>
        <v>25321.8060288</v>
      </c>
      <c r="DZ134" s="133" t="n">
        <f aca="false">DL134+$D134*Inputs!$H$13</f>
        <v>13338.27968</v>
      </c>
      <c r="EA134" s="84" t="n">
        <f aca="false">MIN(DX134,DZ134)</f>
        <v>6330.4515072</v>
      </c>
      <c r="EB134" s="84" t="n">
        <f aca="false">DZ134-EA134</f>
        <v>7007.8281728</v>
      </c>
      <c r="EC134" s="84" t="n">
        <f aca="false">DO134+$G134*(DZ134+DO134)</f>
        <v>6838.275813376</v>
      </c>
      <c r="ED134" s="84" t="n">
        <f aca="false">MIN(DX134-EA134,EC134)</f>
        <v>0</v>
      </c>
      <c r="EE134" s="84" t="n">
        <f aca="false">EC134-ED134</f>
        <v>6838.275813376</v>
      </c>
      <c r="EF134" s="84" t="n">
        <f aca="false">IF($H134=1,MIN(DX134-EA134-ED134,MAX(0,$F134/(1-$F134)*(DT134+ED134)-DU134)),0)</f>
        <v>0</v>
      </c>
      <c r="EG134" s="84" t="n">
        <f aca="false">DX134-EA134-ED134-EF134</f>
        <v>0</v>
      </c>
      <c r="EH134" s="84" t="n">
        <f aca="false">EA134+ED134+(1-$F134)*EG134</f>
        <v>6330.4515072</v>
      </c>
      <c r="EI134" s="84" t="n">
        <f aca="false">EF134+$F134*EG134</f>
        <v>0</v>
      </c>
      <c r="EJ134" s="84" t="n">
        <f aca="false">DT134+ED134+(1-$F134)*EG134</f>
        <v>0</v>
      </c>
      <c r="EK134" s="84" t="n">
        <f aca="false">DU134+EI134</f>
        <v>0</v>
      </c>
      <c r="EL134" s="133" t="n">
        <f aca="false">DY134+$D134*Inputs!$I$13-$D134*$E134</f>
        <v>25051.8060288</v>
      </c>
      <c r="EM134" s="84" t="n">
        <f aca="false">EL134*(1+$I134)</f>
        <v>30062.16723456</v>
      </c>
      <c r="EN134" s="133" t="n">
        <f aca="false">EM134*Inputs!$I$14</f>
        <v>6012.433446912</v>
      </c>
      <c r="EO134" s="84" t="n">
        <f aca="false">EM134-EN134</f>
        <v>24049.733787648</v>
      </c>
      <c r="EP134" s="133" t="n">
        <f aca="false">EB134+$D134*Inputs!$I$13</f>
        <v>7007.8281728</v>
      </c>
      <c r="EQ134" s="84" t="n">
        <f aca="false">MIN(EN134,EP134)</f>
        <v>6012.433446912</v>
      </c>
      <c r="ER134" s="84" t="n">
        <f aca="false">EP134-EQ134</f>
        <v>995.394725888003</v>
      </c>
      <c r="ES134" s="84" t="n">
        <f aca="false">EE134+$G134*(EP134+EE134)</f>
        <v>7945.96413227008</v>
      </c>
      <c r="ET134" s="84" t="n">
        <f aca="false">MIN(EN134-EQ134,ES134)</f>
        <v>0</v>
      </c>
      <c r="EU134" s="84" t="n">
        <f aca="false">ES134-ET134</f>
        <v>7945.96413227008</v>
      </c>
      <c r="EV134" s="84" t="n">
        <f aca="false">IF($H134=1,MIN(EN134-EQ134-ET134,MAX(0,$F134/(1-$F134)*(EJ134+ET134)-EK134)),0)</f>
        <v>0</v>
      </c>
      <c r="EW134" s="84" t="n">
        <f aca="false">EN134-EQ134-ET134-EV134</f>
        <v>0</v>
      </c>
      <c r="EX134" s="84" t="n">
        <f aca="false">EQ134+ET134+(1-$F134)*EW134</f>
        <v>6012.433446912</v>
      </c>
      <c r="EY134" s="84" t="n">
        <f aca="false">EV134+$F134*EW134</f>
        <v>0</v>
      </c>
      <c r="EZ134" s="84" t="n">
        <f aca="false">EJ134+ET134+(1-$F134)*EW134</f>
        <v>0</v>
      </c>
      <c r="FA134" s="84" t="n">
        <f aca="false">EK134+EY134</f>
        <v>0</v>
      </c>
      <c r="FB134" s="133" t="n">
        <f aca="false">EO134+$D134*Inputs!$J$13-$D134*$E134</f>
        <v>23779.733787648</v>
      </c>
      <c r="FC134" s="84" t="n">
        <f aca="false">FB134*(1+$I134)</f>
        <v>28535.6805451776</v>
      </c>
      <c r="FD134" s="133" t="n">
        <f aca="false">FC134*Inputs!$J$14</f>
        <v>5707.13610903552</v>
      </c>
      <c r="FE134" s="84" t="n">
        <f aca="false">FC134-FD134</f>
        <v>22828.5444361421</v>
      </c>
      <c r="FF134" s="133" t="n">
        <f aca="false">ER134+$D134*Inputs!$J$13</f>
        <v>995.394725888003</v>
      </c>
      <c r="FG134" s="84" t="n">
        <f aca="false">MIN(FD134,FF134)</f>
        <v>995.394725888003</v>
      </c>
      <c r="FH134" s="84" t="n">
        <f aca="false">FF134-FG134</f>
        <v>0</v>
      </c>
      <c r="FI134" s="84" t="n">
        <f aca="false">EU134+$G134*(FF134+EU134)</f>
        <v>8661.27284092273</v>
      </c>
      <c r="FJ134" s="84" t="n">
        <f aca="false">MIN(FD134-FG134,FI134)</f>
        <v>4711.74138314751</v>
      </c>
      <c r="FK134" s="84" t="n">
        <f aca="false">FI134-FJ134</f>
        <v>3949.53145777521</v>
      </c>
      <c r="FL134" s="84" t="n">
        <f aca="false">IF($H134=1,MIN(FD134-FG134-FJ134,MAX(0,$F134/(1-$F134)*(EZ134+FJ134)-FA134)),0)</f>
        <v>0</v>
      </c>
      <c r="FM134" s="84" t="n">
        <f aca="false">FD134-FG134-FJ134-FL134</f>
        <v>0</v>
      </c>
      <c r="FN134" s="84" t="n">
        <f aca="false">FG134+FJ134+(1-$F134)*FM134</f>
        <v>5707.13610903552</v>
      </c>
      <c r="FO134" s="84" t="n">
        <f aca="false">FL134+$F134*FM134</f>
        <v>0</v>
      </c>
      <c r="FP134" s="84" t="n">
        <f aca="false">EZ134+FJ134+(1-$F134)*FM134</f>
        <v>4711.74138314751</v>
      </c>
      <c r="FQ134" s="84" t="n">
        <f aca="false">FA134+FO134</f>
        <v>0</v>
      </c>
      <c r="FR134" s="133" t="n">
        <f aca="false">FE134+$D134*Inputs!$K$13-$D134*$E134</f>
        <v>22558.5444361421</v>
      </c>
      <c r="FS134" s="84" t="n">
        <f aca="false">FR134*(1+$I134)</f>
        <v>27070.2533233705</v>
      </c>
      <c r="FT134" s="133" t="n">
        <f aca="false">FS134*Inputs!$K$14</f>
        <v>5414.0506646741</v>
      </c>
      <c r="FU134" s="84" t="n">
        <f aca="false">FS134-FT134</f>
        <v>21656.2026586964</v>
      </c>
      <c r="FV134" s="133" t="n">
        <f aca="false">FH134+$D134*Inputs!$K$13</f>
        <v>0</v>
      </c>
      <c r="FW134" s="84" t="n">
        <f aca="false">MIN(FT134,FV134)</f>
        <v>0</v>
      </c>
      <c r="FX134" s="84" t="n">
        <f aca="false">FV134-FW134</f>
        <v>0</v>
      </c>
      <c r="FY134" s="84" t="n">
        <f aca="false">FK134+$G134*(FV134+FK134)</f>
        <v>4265.49397439723</v>
      </c>
      <c r="FZ134" s="84" t="n">
        <f aca="false">MIN(FT134-FW134,FY134)</f>
        <v>4265.49397439723</v>
      </c>
      <c r="GA134" s="84" t="n">
        <f aca="false">FY134-FZ134</f>
        <v>0</v>
      </c>
      <c r="GB134" s="84" t="n">
        <f aca="false">IF($H134=1,MIN(FT134-FW134-FZ134,MAX(0,$F134/(1-$F134)*(FP134+FZ134)-FQ134)),0)</f>
        <v>1148.55669027687</v>
      </c>
      <c r="GC134" s="84" t="n">
        <f aca="false">FT134-FW134-FZ134-GB134</f>
        <v>0</v>
      </c>
      <c r="GD134" s="84" t="n">
        <f aca="false">FW134+FZ134+(1-$F134)*GC134</f>
        <v>4265.49397439723</v>
      </c>
      <c r="GE134" s="84" t="n">
        <f aca="false">GB134+$F134*GC134</f>
        <v>1148.55669027687</v>
      </c>
      <c r="GF134" s="84" t="n">
        <f aca="false">FP134+FZ134+(1-$F134)*GC134</f>
        <v>8977.23535754475</v>
      </c>
      <c r="GG134" s="84" t="n">
        <f aca="false">FQ134+GE134</f>
        <v>1148.55669027687</v>
      </c>
      <c r="GH134" s="133" t="n">
        <f aca="false">FU134+$D134*Inputs!$L$13-$D134*$E134</f>
        <v>21386.2026586964</v>
      </c>
      <c r="GI134" s="84" t="n">
        <f aca="false">GH134*(1+$I134)</f>
        <v>25663.4431904357</v>
      </c>
      <c r="GJ134" s="133" t="n">
        <f aca="false">GI134*Inputs!$L$14</f>
        <v>25663.4431904357</v>
      </c>
      <c r="GK134" s="84" t="n">
        <f aca="false">GI134-GJ134</f>
        <v>0</v>
      </c>
      <c r="GL134" s="133" t="n">
        <f aca="false">FX134+$D134*Inputs!$L$13</f>
        <v>0</v>
      </c>
      <c r="GM134" s="84" t="n">
        <f aca="false">MIN(GJ134,GL134)</f>
        <v>0</v>
      </c>
      <c r="GN134" s="84" t="n">
        <f aca="false">GL134-GM134</f>
        <v>0</v>
      </c>
      <c r="GO134" s="84" t="n">
        <f aca="false">GA134+$G134*(GL134+GA134)</f>
        <v>0</v>
      </c>
      <c r="GP134" s="84" t="n">
        <f aca="false">MIN(GJ134-GM134,GO134)</f>
        <v>0</v>
      </c>
      <c r="GQ134" s="84" t="n">
        <f aca="false">GO134-GP134</f>
        <v>0</v>
      </c>
      <c r="GR134" s="84" t="n">
        <f aca="false">IF($H134=1,MIN(GJ134-GM134-GP134,MAX(0,$F134/(1-$F134)*(GF134+GP134)-GG134)),0)</f>
        <v>1095.75214910932</v>
      </c>
      <c r="GS134" s="84" t="n">
        <f aca="false">GJ134-GM134-GP134-GR134</f>
        <v>24567.6910413263</v>
      </c>
      <c r="GT134" s="84" t="n">
        <f aca="false">GM134+GP134+(1-$F134)*GS134</f>
        <v>19654.1528330611</v>
      </c>
      <c r="GU134" s="84" t="n">
        <f aca="false">GR134+$F134*GS134</f>
        <v>6009.29035737459</v>
      </c>
      <c r="GV134" s="84" t="n">
        <f aca="false">GF134+GP134+(1-$F134)*GS134</f>
        <v>28631.3881906058</v>
      </c>
      <c r="GW134" s="84" t="n">
        <f aca="false">GG134+GU134</f>
        <v>7157.84704765146</v>
      </c>
    </row>
    <row r="135" customFormat="false" ht="15" hidden="false" customHeight="false" outlineLevel="0" collapsed="false">
      <c r="A135" s="5" t="s">
        <v>640</v>
      </c>
      <c r="B135" s="5" t="s">
        <v>428</v>
      </c>
      <c r="C135" s="135" t="n">
        <v>21</v>
      </c>
      <c r="D135" s="47" t="n">
        <f aca="false">Inputs!$C$6</f>
        <v>20000</v>
      </c>
      <c r="E135" s="35" t="n">
        <f aca="false">Inputs!$C$19</f>
        <v>0.0135</v>
      </c>
      <c r="F135" s="36" t="n">
        <f aca="false">Inputs!$C$20</f>
        <v>0.2</v>
      </c>
      <c r="G135" s="36" t="n">
        <f aca="false">Inputs!$C$22</f>
        <v>0.08</v>
      </c>
      <c r="H135" s="44" t="n">
        <f aca="false">Inputs!$C$23</f>
        <v>1</v>
      </c>
      <c r="I135" s="132" t="n">
        <f aca="false">Inputs!$C$38+$C135*Inputs!$C$39</f>
        <v>0.21</v>
      </c>
      <c r="J135" s="36" t="n">
        <f aca="false">Inputs!$C$9</f>
        <v>0.15</v>
      </c>
      <c r="K135" s="89" t="n">
        <f aca="false">IRR(W135:AG135,0.1)</f>
        <v>0.169421616424719</v>
      </c>
      <c r="L135" s="45" t="n">
        <f aca="false">W135+NPV($J135,X135:AG135)</f>
        <v>1597.87786890022</v>
      </c>
      <c r="M135" s="45" t="n">
        <f aca="false">SUM(BF135,BV135,CL135,DB135,DR135,EH135,EX135,FN135,GD135,GT135)</f>
        <v>51260.969304108</v>
      </c>
      <c r="N135" s="43" t="n">
        <f aca="false">IF($D135*SUM(Inputs!$C$13:$L$13)=0,0,M135/($D135*SUM(Inputs!$C$13:$L$13)))</f>
        <v>2.5630484652054</v>
      </c>
      <c r="O135" s="42" t="n">
        <f aca="false">$D135*$E135*COLUMNS(Inputs!$C$13:$L$13)</f>
        <v>2700</v>
      </c>
      <c r="P135" s="45" t="n">
        <f aca="false">SUM(BG135,BW135,CM135,DC135,DS135,EI135,EY135,FO135,GE135,GU135)</f>
        <v>7815.242326027</v>
      </c>
      <c r="Q135" s="42" t="n">
        <f aca="false">PV($J135,COLUMNS(Inputs!$C$13:$L$13),-$D135*$E135,0,1)</f>
        <v>1558.32765832774</v>
      </c>
      <c r="R135" s="45" t="n">
        <f aca="false">NPV($J135,BG135,BW135,CM135,DC135,DS135,EI135,EY135,FO135,GE135,GU135)</f>
        <v>2017.06194545471</v>
      </c>
      <c r="S135" s="45" t="n">
        <f aca="false">Q135+R135</f>
        <v>3575.38960378245</v>
      </c>
      <c r="T135" s="32" t="n">
        <f aca="false">IF(S135=0,0,Q135/S135)</f>
        <v>0.435848349695698</v>
      </c>
      <c r="U135" s="45" t="n">
        <f aca="false">ROUND(ABS(GK135)+ABS(SUM(AV135,BL135,CB135,CR135,DH135,DX135,EN135,FD135,FT135,GJ135)-M135-P135)+ABS(S135-(AH135+NPV($J135,AI135:AR135))),6)</f>
        <v>0</v>
      </c>
      <c r="W135" s="133" t="n">
        <f aca="false">-$D135*Inputs!$C$13</f>
        <v>-4000</v>
      </c>
      <c r="X135" s="133" t="n">
        <f aca="false">BF135-$D135*Inputs!$D$13</f>
        <v>-4000</v>
      </c>
      <c r="Y135" s="133" t="n">
        <f aca="false">BV135-$D135*Inputs!$E$13</f>
        <v>-4000</v>
      </c>
      <c r="Z135" s="133" t="n">
        <f aca="false">CL135-$D135*Inputs!$F$13</f>
        <v>-4000</v>
      </c>
      <c r="AA135" s="133" t="n">
        <f aca="false">DB135-$D135*Inputs!$G$13</f>
        <v>-4000</v>
      </c>
      <c r="AB135" s="133" t="n">
        <f aca="false">DR135-$D135*Inputs!$H$13</f>
        <v>6850.5122334946</v>
      </c>
      <c r="AC135" s="133" t="n">
        <f aca="false">EH135-$D135*Inputs!$I$13</f>
        <v>6565.95584202277</v>
      </c>
      <c r="AD135" s="133" t="n">
        <f aca="false">EX135-$D135*Inputs!$J$13</f>
        <v>6290.50525507804</v>
      </c>
      <c r="AE135" s="133" t="n">
        <f aca="false">FN135-$D135*Inputs!$K$13</f>
        <v>6023.86908691555</v>
      </c>
      <c r="AF135" s="133" t="n">
        <f aca="false">GD135-$D135*Inputs!$L$13</f>
        <v>3466.44373740521</v>
      </c>
      <c r="AG135" s="84" t="n">
        <f aca="false">GT135</f>
        <v>22063.6831491918</v>
      </c>
      <c r="AH135" s="84" t="n">
        <f aca="false">$D135*$E135</f>
        <v>270</v>
      </c>
      <c r="AI135" s="84" t="n">
        <f aca="false">BG135+$D135*$E135</f>
        <v>270</v>
      </c>
      <c r="AJ135" s="84" t="n">
        <f aca="false">BW135+$D135*$E135</f>
        <v>270</v>
      </c>
      <c r="AK135" s="84" t="n">
        <f aca="false">CM135+$D135*$E135</f>
        <v>270</v>
      </c>
      <c r="AL135" s="84" t="n">
        <f aca="false">DC135+$D135*$E135</f>
        <v>270</v>
      </c>
      <c r="AM135" s="84" t="n">
        <f aca="false">DS135+$D135*$E135</f>
        <v>270</v>
      </c>
      <c r="AN135" s="84" t="n">
        <f aca="false">EI135+$D135*$E135</f>
        <v>270</v>
      </c>
      <c r="AO135" s="84" t="n">
        <f aca="false">EY135+$D135*$E135</f>
        <v>270</v>
      </c>
      <c r="AP135" s="84" t="n">
        <f aca="false">FO135+$D135*$E135</f>
        <v>270</v>
      </c>
      <c r="AQ135" s="84" t="n">
        <f aca="false">GE135+$D135*$E135</f>
        <v>2569.32153872904</v>
      </c>
      <c r="AR135" s="84" t="n">
        <f aca="false">GU135</f>
        <v>5515.92078729795</v>
      </c>
      <c r="AT135" s="133" t="n">
        <f aca="false">$D135*Inputs!$C$13-$D135*$E135</f>
        <v>3730</v>
      </c>
      <c r="AU135" s="84" t="n">
        <f aca="false">AT135*(1+$I135)</f>
        <v>4513.3</v>
      </c>
      <c r="AV135" s="133" t="n">
        <f aca="false">AU135*Inputs!$C$14</f>
        <v>0</v>
      </c>
      <c r="AW135" s="84" t="n">
        <f aca="false">AU135-AV135</f>
        <v>4513.3</v>
      </c>
      <c r="AX135" s="133" t="n">
        <f aca="false">$D135*Inputs!$C$13</f>
        <v>4000</v>
      </c>
      <c r="AY135" s="84" t="n">
        <f aca="false">MIN(AV135,AX135)</f>
        <v>0</v>
      </c>
      <c r="AZ135" s="84" t="n">
        <f aca="false">AX135-AY135</f>
        <v>4000</v>
      </c>
      <c r="BA135" s="84" t="n">
        <f aca="false">$G135*AX135</f>
        <v>320</v>
      </c>
      <c r="BB135" s="84" t="n">
        <f aca="false">MIN(AV135-AY135,BA135)</f>
        <v>0</v>
      </c>
      <c r="BC135" s="84" t="n">
        <f aca="false">BA135-BB135</f>
        <v>320</v>
      </c>
      <c r="BD135" s="84" t="n">
        <f aca="false">IF($H135=1,MIN(AV135-AY135-BB135,MAX(0,$F135/(1-$F135)*BB135)),0)</f>
        <v>0</v>
      </c>
      <c r="BE135" s="84" t="n">
        <f aca="false">AV135-AY135-BB135-BD135</f>
        <v>0</v>
      </c>
      <c r="BF135" s="84" t="n">
        <f aca="false">AY135+BB135+(1-$F135)*BE135</f>
        <v>0</v>
      </c>
      <c r="BG135" s="84" t="n">
        <f aca="false">BD135+$F135*BE135</f>
        <v>0</v>
      </c>
      <c r="BH135" s="84" t="n">
        <f aca="false">BB135+(1-$F135)*BE135</f>
        <v>0</v>
      </c>
      <c r="BI135" s="84" t="n">
        <f aca="false">BG135</f>
        <v>0</v>
      </c>
      <c r="BJ135" s="133" t="n">
        <f aca="false">AW135+$D135*Inputs!$D$13-$D135*$E135</f>
        <v>8243.3</v>
      </c>
      <c r="BK135" s="84" t="n">
        <f aca="false">BJ135*(1+$I135)</f>
        <v>9974.393</v>
      </c>
      <c r="BL135" s="133" t="n">
        <f aca="false">BK135*Inputs!$D$14</f>
        <v>0</v>
      </c>
      <c r="BM135" s="84" t="n">
        <f aca="false">BK135-BL135</f>
        <v>9974.393</v>
      </c>
      <c r="BN135" s="133" t="n">
        <f aca="false">AZ135+$D135*Inputs!$D$13</f>
        <v>8000</v>
      </c>
      <c r="BO135" s="84" t="n">
        <f aca="false">MIN(BL135,BN135)</f>
        <v>0</v>
      </c>
      <c r="BP135" s="84" t="n">
        <f aca="false">BN135-BO135</f>
        <v>8000</v>
      </c>
      <c r="BQ135" s="84" t="n">
        <f aca="false">BC135+$G135*(BN135+BC135)</f>
        <v>985.6</v>
      </c>
      <c r="BR135" s="84" t="n">
        <f aca="false">MIN(BL135-BO135,BQ135)</f>
        <v>0</v>
      </c>
      <c r="BS135" s="84" t="n">
        <f aca="false">BQ135-BR135</f>
        <v>985.6</v>
      </c>
      <c r="BT135" s="84" t="n">
        <f aca="false">IF($H135=1,MIN(BL135-BO135-BR135,MAX(0,$F135/(1-$F135)*(BH135+BR135)-BI135)),0)</f>
        <v>0</v>
      </c>
      <c r="BU135" s="84" t="n">
        <f aca="false">BL135-BO135-BR135-BT135</f>
        <v>0</v>
      </c>
      <c r="BV135" s="84" t="n">
        <f aca="false">BO135+BR135+(1-$F135)*BU135</f>
        <v>0</v>
      </c>
      <c r="BW135" s="84" t="n">
        <f aca="false">BT135+$F135*BU135</f>
        <v>0</v>
      </c>
      <c r="BX135" s="84" t="n">
        <f aca="false">BH135+BR135+(1-$F135)*BU135</f>
        <v>0</v>
      </c>
      <c r="BY135" s="84" t="n">
        <f aca="false">BI135+BW135</f>
        <v>0</v>
      </c>
      <c r="BZ135" s="133" t="n">
        <f aca="false">BM135+$D135*Inputs!$E$13-$D135*$E135</f>
        <v>13704.393</v>
      </c>
      <c r="CA135" s="84" t="n">
        <f aca="false">BZ135*(1+$I135)</f>
        <v>16582.31553</v>
      </c>
      <c r="CB135" s="133" t="n">
        <f aca="false">CA135*Inputs!$E$14</f>
        <v>0</v>
      </c>
      <c r="CC135" s="84" t="n">
        <f aca="false">CA135-CB135</f>
        <v>16582.31553</v>
      </c>
      <c r="CD135" s="133" t="n">
        <f aca="false">BP135+$D135*Inputs!$E$13</f>
        <v>12000</v>
      </c>
      <c r="CE135" s="84" t="n">
        <f aca="false">MIN(CB135,CD135)</f>
        <v>0</v>
      </c>
      <c r="CF135" s="84" t="n">
        <f aca="false">CD135-CE135</f>
        <v>12000</v>
      </c>
      <c r="CG135" s="84" t="n">
        <f aca="false">BS135+$G135*(CD135+BS135)</f>
        <v>2024.448</v>
      </c>
      <c r="CH135" s="84" t="n">
        <f aca="false">MIN(CB135-CE135,CG135)</f>
        <v>0</v>
      </c>
      <c r="CI135" s="84" t="n">
        <f aca="false">CG135-CH135</f>
        <v>2024.448</v>
      </c>
      <c r="CJ135" s="84" t="n">
        <f aca="false">IF($H135=1,MIN(CB135-CE135-CH135,MAX(0,$F135/(1-$F135)*(BX135+CH135)-BY135)),0)</f>
        <v>0</v>
      </c>
      <c r="CK135" s="84" t="n">
        <f aca="false">CB135-CE135-CH135-CJ135</f>
        <v>0</v>
      </c>
      <c r="CL135" s="84" t="n">
        <f aca="false">CE135+CH135+(1-$F135)*CK135</f>
        <v>0</v>
      </c>
      <c r="CM135" s="84" t="n">
        <f aca="false">CJ135+$F135*CK135</f>
        <v>0</v>
      </c>
      <c r="CN135" s="84" t="n">
        <f aca="false">BX135+CH135+(1-$F135)*CK135</f>
        <v>0</v>
      </c>
      <c r="CO135" s="84" t="n">
        <f aca="false">BY135+CM135</f>
        <v>0</v>
      </c>
      <c r="CP135" s="133" t="n">
        <f aca="false">CC135+$D135*Inputs!$F$13-$D135*$E135</f>
        <v>20312.31553</v>
      </c>
      <c r="CQ135" s="84" t="n">
        <f aca="false">CP135*(1+$I135)</f>
        <v>24577.9017913</v>
      </c>
      <c r="CR135" s="133" t="n">
        <f aca="false">CQ135*Inputs!$F$14</f>
        <v>0</v>
      </c>
      <c r="CS135" s="84" t="n">
        <f aca="false">CQ135-CR135</f>
        <v>24577.9017913</v>
      </c>
      <c r="CT135" s="133" t="n">
        <f aca="false">CF135+$D135*Inputs!$F$13</f>
        <v>16000</v>
      </c>
      <c r="CU135" s="84" t="n">
        <f aca="false">MIN(CR135,CT135)</f>
        <v>0</v>
      </c>
      <c r="CV135" s="84" t="n">
        <f aca="false">CT135-CU135</f>
        <v>16000</v>
      </c>
      <c r="CW135" s="84" t="n">
        <f aca="false">CI135+$G135*(CT135+CI135)</f>
        <v>3466.40384</v>
      </c>
      <c r="CX135" s="84" t="n">
        <f aca="false">MIN(CR135-CU135,CW135)</f>
        <v>0</v>
      </c>
      <c r="CY135" s="84" t="n">
        <f aca="false">CW135-CX135</f>
        <v>3466.40384</v>
      </c>
      <c r="CZ135" s="84" t="n">
        <f aca="false">IF($H135=1,MIN(CR135-CU135-CX135,MAX(0,$F135/(1-$F135)*(CN135+CX135)-CO135)),0)</f>
        <v>0</v>
      </c>
      <c r="DA135" s="84" t="n">
        <f aca="false">CR135-CU135-CX135-CZ135</f>
        <v>0</v>
      </c>
      <c r="DB135" s="84" t="n">
        <f aca="false">CU135+CX135+(1-$F135)*DA135</f>
        <v>0</v>
      </c>
      <c r="DC135" s="84" t="n">
        <f aca="false">CZ135+$F135*DA135</f>
        <v>0</v>
      </c>
      <c r="DD135" s="84" t="n">
        <f aca="false">CN135+CX135+(1-$F135)*DA135</f>
        <v>0</v>
      </c>
      <c r="DE135" s="84" t="n">
        <f aca="false">CO135+DC135</f>
        <v>0</v>
      </c>
      <c r="DF135" s="133" t="n">
        <f aca="false">CS135+$D135*Inputs!$G$13-$D135*$E135</f>
        <v>28307.9017913</v>
      </c>
      <c r="DG135" s="84" t="n">
        <f aca="false">DF135*(1+$I135)</f>
        <v>34252.561167473</v>
      </c>
      <c r="DH135" s="133" t="n">
        <f aca="false">DG135*Inputs!$G$14</f>
        <v>6850.5122334946</v>
      </c>
      <c r="DI135" s="84" t="n">
        <f aca="false">DG135-DH135</f>
        <v>27402.0489339784</v>
      </c>
      <c r="DJ135" s="133" t="n">
        <f aca="false">CV135+$D135*Inputs!$G$13</f>
        <v>20000</v>
      </c>
      <c r="DK135" s="84" t="n">
        <f aca="false">MIN(DH135,DJ135)</f>
        <v>6850.5122334946</v>
      </c>
      <c r="DL135" s="84" t="n">
        <f aca="false">DJ135-DK135</f>
        <v>13149.4877665054</v>
      </c>
      <c r="DM135" s="84" t="n">
        <f aca="false">CY135+$G135*(DJ135+CY135)</f>
        <v>5343.7161472</v>
      </c>
      <c r="DN135" s="84" t="n">
        <f aca="false">MIN(DH135-DK135,DM135)</f>
        <v>0</v>
      </c>
      <c r="DO135" s="84" t="n">
        <f aca="false">DM135-DN135</f>
        <v>5343.7161472</v>
      </c>
      <c r="DP135" s="84" t="n">
        <f aca="false">IF($H135=1,MIN(DH135-DK135-DN135,MAX(0,$F135/(1-$F135)*(DD135+DN135)-DE135)),0)</f>
        <v>0</v>
      </c>
      <c r="DQ135" s="84" t="n">
        <f aca="false">DH135-DK135-DN135-DP135</f>
        <v>0</v>
      </c>
      <c r="DR135" s="84" t="n">
        <f aca="false">DK135+DN135+(1-$F135)*DQ135</f>
        <v>6850.5122334946</v>
      </c>
      <c r="DS135" s="84" t="n">
        <f aca="false">DP135+$F135*DQ135</f>
        <v>0</v>
      </c>
      <c r="DT135" s="84" t="n">
        <f aca="false">DD135+DN135+(1-$F135)*DQ135</f>
        <v>0</v>
      </c>
      <c r="DU135" s="84" t="n">
        <f aca="false">DE135+DS135</f>
        <v>0</v>
      </c>
      <c r="DV135" s="133" t="n">
        <f aca="false">DI135+$D135*Inputs!$H$13-$D135*$E135</f>
        <v>27132.0489339784</v>
      </c>
      <c r="DW135" s="84" t="n">
        <f aca="false">DV135*(1+$I135)</f>
        <v>32829.7792101139</v>
      </c>
      <c r="DX135" s="133" t="n">
        <f aca="false">DW135*Inputs!$H$14</f>
        <v>6565.95584202277</v>
      </c>
      <c r="DY135" s="84" t="n">
        <f aca="false">DW135-DX135</f>
        <v>26263.8233680911</v>
      </c>
      <c r="DZ135" s="133" t="n">
        <f aca="false">DL135+$D135*Inputs!$H$13</f>
        <v>13149.4877665054</v>
      </c>
      <c r="EA135" s="84" t="n">
        <f aca="false">MIN(DX135,DZ135)</f>
        <v>6565.95584202277</v>
      </c>
      <c r="EB135" s="84" t="n">
        <f aca="false">DZ135-EA135</f>
        <v>6583.53192448263</v>
      </c>
      <c r="EC135" s="84" t="n">
        <f aca="false">DO135+$G135*(DZ135+DO135)</f>
        <v>6823.17246029643</v>
      </c>
      <c r="ED135" s="84" t="n">
        <f aca="false">MIN(DX135-EA135,EC135)</f>
        <v>0</v>
      </c>
      <c r="EE135" s="84" t="n">
        <f aca="false">EC135-ED135</f>
        <v>6823.17246029643</v>
      </c>
      <c r="EF135" s="84" t="n">
        <f aca="false">IF($H135=1,MIN(DX135-EA135-ED135,MAX(0,$F135/(1-$F135)*(DT135+ED135)-DU135)),0)</f>
        <v>0</v>
      </c>
      <c r="EG135" s="84" t="n">
        <f aca="false">DX135-EA135-ED135-EF135</f>
        <v>0</v>
      </c>
      <c r="EH135" s="84" t="n">
        <f aca="false">EA135+ED135+(1-$F135)*EG135</f>
        <v>6565.95584202277</v>
      </c>
      <c r="EI135" s="84" t="n">
        <f aca="false">EF135+$F135*EG135</f>
        <v>0</v>
      </c>
      <c r="EJ135" s="84" t="n">
        <f aca="false">DT135+ED135+(1-$F135)*EG135</f>
        <v>0</v>
      </c>
      <c r="EK135" s="84" t="n">
        <f aca="false">DU135+EI135</f>
        <v>0</v>
      </c>
      <c r="EL135" s="133" t="n">
        <f aca="false">DY135+$D135*Inputs!$I$13-$D135*$E135</f>
        <v>25993.8233680911</v>
      </c>
      <c r="EM135" s="84" t="n">
        <f aca="false">EL135*(1+$I135)</f>
        <v>31452.5262753902</v>
      </c>
      <c r="EN135" s="133" t="n">
        <f aca="false">EM135*Inputs!$I$14</f>
        <v>6290.50525507804</v>
      </c>
      <c r="EO135" s="84" t="n">
        <f aca="false">EM135-EN135</f>
        <v>25162.0210203122</v>
      </c>
      <c r="EP135" s="133" t="n">
        <f aca="false">EB135+$D135*Inputs!$I$13</f>
        <v>6583.53192448263</v>
      </c>
      <c r="EQ135" s="84" t="n">
        <f aca="false">MIN(EN135,EP135)</f>
        <v>6290.50525507804</v>
      </c>
      <c r="ER135" s="84" t="n">
        <f aca="false">EP135-EQ135</f>
        <v>293.026669404584</v>
      </c>
      <c r="ES135" s="84" t="n">
        <f aca="false">EE135+$G135*(EP135+EE135)</f>
        <v>7895.70881107876</v>
      </c>
      <c r="ET135" s="84" t="n">
        <f aca="false">MIN(EN135-EQ135,ES135)</f>
        <v>0</v>
      </c>
      <c r="EU135" s="84" t="n">
        <f aca="false">ES135-ET135</f>
        <v>7895.70881107876</v>
      </c>
      <c r="EV135" s="84" t="n">
        <f aca="false">IF($H135=1,MIN(EN135-EQ135-ET135,MAX(0,$F135/(1-$F135)*(EJ135+ET135)-EK135)),0)</f>
        <v>0</v>
      </c>
      <c r="EW135" s="84" t="n">
        <f aca="false">EN135-EQ135-ET135-EV135</f>
        <v>0</v>
      </c>
      <c r="EX135" s="84" t="n">
        <f aca="false">EQ135+ET135+(1-$F135)*EW135</f>
        <v>6290.50525507804</v>
      </c>
      <c r="EY135" s="84" t="n">
        <f aca="false">EV135+$F135*EW135</f>
        <v>0</v>
      </c>
      <c r="EZ135" s="84" t="n">
        <f aca="false">EJ135+ET135+(1-$F135)*EW135</f>
        <v>0</v>
      </c>
      <c r="FA135" s="84" t="n">
        <f aca="false">EK135+EY135</f>
        <v>0</v>
      </c>
      <c r="FB135" s="133" t="n">
        <f aca="false">EO135+$D135*Inputs!$J$13-$D135*$E135</f>
        <v>24892.0210203122</v>
      </c>
      <c r="FC135" s="84" t="n">
        <f aca="false">FB135*(1+$I135)</f>
        <v>30119.3454345777</v>
      </c>
      <c r="FD135" s="133" t="n">
        <f aca="false">FC135*Inputs!$J$14</f>
        <v>6023.86908691555</v>
      </c>
      <c r="FE135" s="84" t="n">
        <f aca="false">FC135-FD135</f>
        <v>24095.4763476622</v>
      </c>
      <c r="FF135" s="133" t="n">
        <f aca="false">ER135+$D135*Inputs!$J$13</f>
        <v>293.026669404584</v>
      </c>
      <c r="FG135" s="84" t="n">
        <f aca="false">MIN(FD135,FF135)</f>
        <v>293.026669404584</v>
      </c>
      <c r="FH135" s="84" t="n">
        <f aca="false">FF135-FG135</f>
        <v>0</v>
      </c>
      <c r="FI135" s="84" t="n">
        <f aca="false">EU135+$G135*(FF135+EU135)</f>
        <v>8550.80764951743</v>
      </c>
      <c r="FJ135" s="84" t="n">
        <f aca="false">MIN(FD135-FG135,FI135)</f>
        <v>5730.84241751096</v>
      </c>
      <c r="FK135" s="84" t="n">
        <f aca="false">FI135-FJ135</f>
        <v>2819.96523200646</v>
      </c>
      <c r="FL135" s="84" t="n">
        <f aca="false">IF($H135=1,MIN(FD135-FG135-FJ135,MAX(0,$F135/(1-$F135)*(EZ135+FJ135)-FA135)),0)</f>
        <v>0</v>
      </c>
      <c r="FM135" s="84" t="n">
        <f aca="false">FD135-FG135-FJ135-FL135</f>
        <v>0</v>
      </c>
      <c r="FN135" s="84" t="n">
        <f aca="false">FG135+FJ135+(1-$F135)*FM135</f>
        <v>6023.86908691555</v>
      </c>
      <c r="FO135" s="84" t="n">
        <f aca="false">FL135+$F135*FM135</f>
        <v>0</v>
      </c>
      <c r="FP135" s="84" t="n">
        <f aca="false">EZ135+FJ135+(1-$F135)*FM135</f>
        <v>5730.84241751096</v>
      </c>
      <c r="FQ135" s="84" t="n">
        <f aca="false">FA135+FO135</f>
        <v>0</v>
      </c>
      <c r="FR135" s="133" t="n">
        <f aca="false">FE135+$D135*Inputs!$K$13-$D135*$E135</f>
        <v>23825.4763476622</v>
      </c>
      <c r="FS135" s="84" t="n">
        <f aca="false">FR135*(1+$I135)</f>
        <v>28828.8263806712</v>
      </c>
      <c r="FT135" s="133" t="n">
        <f aca="false">FS135*Inputs!$K$14</f>
        <v>5765.76527613425</v>
      </c>
      <c r="FU135" s="84" t="n">
        <f aca="false">FS135-FT135</f>
        <v>23063.061104537</v>
      </c>
      <c r="FV135" s="133" t="n">
        <f aca="false">FH135+$D135*Inputs!$K$13</f>
        <v>0</v>
      </c>
      <c r="FW135" s="84" t="n">
        <f aca="false">MIN(FT135,FV135)</f>
        <v>0</v>
      </c>
      <c r="FX135" s="84" t="n">
        <f aca="false">FV135-FW135</f>
        <v>0</v>
      </c>
      <c r="FY135" s="84" t="n">
        <f aca="false">FK135+$G135*(FV135+FK135)</f>
        <v>3045.56245056698</v>
      </c>
      <c r="FZ135" s="84" t="n">
        <f aca="false">MIN(FT135-FW135,FY135)</f>
        <v>3045.56245056698</v>
      </c>
      <c r="GA135" s="84" t="n">
        <f aca="false">FY135-FZ135</f>
        <v>0</v>
      </c>
      <c r="GB135" s="84" t="n">
        <f aca="false">IF($H135=1,MIN(FT135-FW135-FZ135,MAX(0,$F135/(1-$F135)*(FP135+FZ135)-FQ135)),0)</f>
        <v>2194.10121701949</v>
      </c>
      <c r="GC135" s="84" t="n">
        <f aca="false">FT135-FW135-FZ135-GB135</f>
        <v>526.101608547785</v>
      </c>
      <c r="GD135" s="84" t="n">
        <f aca="false">FW135+FZ135+(1-$F135)*GC135</f>
        <v>3466.44373740521</v>
      </c>
      <c r="GE135" s="84" t="n">
        <f aca="false">GB135+$F135*GC135</f>
        <v>2299.32153872904</v>
      </c>
      <c r="GF135" s="84" t="n">
        <f aca="false">FP135+FZ135+(1-$F135)*GC135</f>
        <v>9197.28615491617</v>
      </c>
      <c r="GG135" s="84" t="n">
        <f aca="false">FQ135+GE135</f>
        <v>2299.32153872904</v>
      </c>
      <c r="GH135" s="133" t="n">
        <f aca="false">FU135+$D135*Inputs!$L$13-$D135*$E135</f>
        <v>22793.061104537</v>
      </c>
      <c r="GI135" s="84" t="n">
        <f aca="false">GH135*(1+$I135)</f>
        <v>27579.6039364898</v>
      </c>
      <c r="GJ135" s="133" t="n">
        <f aca="false">GI135*Inputs!$L$14</f>
        <v>27579.6039364898</v>
      </c>
      <c r="GK135" s="84" t="n">
        <f aca="false">GI135-GJ135</f>
        <v>0</v>
      </c>
      <c r="GL135" s="133" t="n">
        <f aca="false">FX135+$D135*Inputs!$L$13</f>
        <v>0</v>
      </c>
      <c r="GM135" s="84" t="n">
        <f aca="false">MIN(GJ135,GL135)</f>
        <v>0</v>
      </c>
      <c r="GN135" s="84" t="n">
        <f aca="false">GL135-GM135</f>
        <v>0</v>
      </c>
      <c r="GO135" s="84" t="n">
        <f aca="false">GA135+$G135*(GL135+GA135)</f>
        <v>0</v>
      </c>
      <c r="GP135" s="84" t="n">
        <f aca="false">MIN(GJ135-GM135,GO135)</f>
        <v>0</v>
      </c>
      <c r="GQ135" s="84" t="n">
        <f aca="false">GO135-GP135</f>
        <v>0</v>
      </c>
      <c r="GR135" s="84" t="n">
        <f aca="false">IF($H135=1,MIN(GJ135-GM135-GP135,MAX(0,$F135/(1-$F135)*(GF135+GP135)-GG135)),0)</f>
        <v>0</v>
      </c>
      <c r="GS135" s="84" t="n">
        <f aca="false">GJ135-GM135-GP135-GR135</f>
        <v>27579.6039364898</v>
      </c>
      <c r="GT135" s="84" t="n">
        <f aca="false">GM135+GP135+(1-$F135)*GS135</f>
        <v>22063.6831491918</v>
      </c>
      <c r="GU135" s="84" t="n">
        <f aca="false">GR135+$F135*GS135</f>
        <v>5515.92078729795</v>
      </c>
      <c r="GV135" s="84" t="n">
        <f aca="false">GF135+GP135+(1-$F135)*GS135</f>
        <v>31260.969304108</v>
      </c>
      <c r="GW135" s="84" t="n">
        <f aca="false">GG135+GU135</f>
        <v>7815.242326027</v>
      </c>
    </row>
    <row r="136" customFormat="false" ht="15" hidden="false" customHeight="false" outlineLevel="0" collapsed="false">
      <c r="A136" s="5" t="s">
        <v>640</v>
      </c>
      <c r="B136" s="5" t="s">
        <v>428</v>
      </c>
      <c r="C136" s="135" t="n">
        <v>22</v>
      </c>
      <c r="D136" s="47" t="n">
        <f aca="false">Inputs!$C$6</f>
        <v>20000</v>
      </c>
      <c r="E136" s="35" t="n">
        <f aca="false">Inputs!$C$19</f>
        <v>0.0135</v>
      </c>
      <c r="F136" s="36" t="n">
        <f aca="false">Inputs!$C$20</f>
        <v>0.2</v>
      </c>
      <c r="G136" s="36" t="n">
        <f aca="false">Inputs!$C$22</f>
        <v>0.08</v>
      </c>
      <c r="H136" s="44" t="n">
        <f aca="false">Inputs!$C$23</f>
        <v>1</v>
      </c>
      <c r="I136" s="132" t="n">
        <f aca="false">Inputs!$C$38+$C136*Inputs!$C$39</f>
        <v>0.22</v>
      </c>
      <c r="J136" s="36" t="n">
        <f aca="false">Inputs!$C$9</f>
        <v>0.15</v>
      </c>
      <c r="K136" s="89" t="n">
        <f aca="false">IRR(W136:AG136,0.1)</f>
        <v>0.178993522608295</v>
      </c>
      <c r="L136" s="45" t="n">
        <f aca="false">W136+NPV($J136,X136:AG136)</f>
        <v>2444.60876177136</v>
      </c>
      <c r="M136" s="45" t="n">
        <f aca="false">SUM(BF136,BV136,CL136,DB136,DR136,EH136,EX136,FN136,GD136,GT136)</f>
        <v>54038.1753019336</v>
      </c>
      <c r="N136" s="43" t="n">
        <f aca="false">IF($D136*SUM(Inputs!$C$13:$L$13)=0,0,M136/($D136*SUM(Inputs!$C$13:$L$13)))</f>
        <v>2.70190876509668</v>
      </c>
      <c r="O136" s="42" t="n">
        <f aca="false">$D136*$E136*COLUMNS(Inputs!$C$13:$L$13)</f>
        <v>2700</v>
      </c>
      <c r="P136" s="45" t="n">
        <f aca="false">SUM(BG136,BW136,CM136,DC136,DS136,EI136,EY136,FO136,GE136,GU136)</f>
        <v>8509.54382548339</v>
      </c>
      <c r="Q136" s="42" t="n">
        <f aca="false">PV($J136,COLUMNS(Inputs!$C$13:$L$13),-$D136*$E136,0,1)</f>
        <v>1558.32765832774</v>
      </c>
      <c r="R136" s="45" t="n">
        <f aca="false">NPV($J136,BG136,BW136,CM136,DC136,DS136,EI136,EY136,FO136,GE136,GU136)</f>
        <v>2199.28317333834</v>
      </c>
      <c r="S136" s="45" t="n">
        <f aca="false">Q136+R136</f>
        <v>3757.61083166608</v>
      </c>
      <c r="T136" s="32" t="n">
        <f aca="false">IF(S136=0,0,Q136/S136)</f>
        <v>0.414712360629639</v>
      </c>
      <c r="U136" s="45" t="n">
        <f aca="false">ROUND(ABS(GK136)+ABS(SUM(AV136,BL136,CB136,CR136,DH136,DX136,EN136,FD136,FT136,GJ136)-M136-P136)+ABS(S136-(AH136+NPV($J136,AI136:AR136))),6)</f>
        <v>0</v>
      </c>
      <c r="W136" s="133" t="n">
        <f aca="false">-$D136*Inputs!$C$13</f>
        <v>-4000</v>
      </c>
      <c r="X136" s="133" t="n">
        <f aca="false">BF136-$D136*Inputs!$D$13</f>
        <v>-4000</v>
      </c>
      <c r="Y136" s="133" t="n">
        <f aca="false">BV136-$D136*Inputs!$E$13</f>
        <v>-4000</v>
      </c>
      <c r="Z136" s="133" t="n">
        <f aca="false">CL136-$D136*Inputs!$F$13</f>
        <v>-4000</v>
      </c>
      <c r="AA136" s="133" t="n">
        <f aca="false">DB136-$D136*Inputs!$G$13</f>
        <v>-4000</v>
      </c>
      <c r="AB136" s="133" t="n">
        <f aca="false">DR136-$D136*Inputs!$H$13</f>
        <v>7043.9488795072</v>
      </c>
      <c r="AC136" s="133" t="n">
        <f aca="false">EH136-$D136*Inputs!$I$13</f>
        <v>6809.01410639903</v>
      </c>
      <c r="AD136" s="133" t="n">
        <f aca="false">EX136-$D136*Inputs!$J$13</f>
        <v>6579.71776784545</v>
      </c>
      <c r="AE136" s="133" t="n">
        <f aca="false">FN136-$D136*Inputs!$K$13</f>
        <v>6355.92454141716</v>
      </c>
      <c r="AF136" s="133" t="n">
        <f aca="false">GD136-$D136*Inputs!$L$13</f>
        <v>3552.28082290475</v>
      </c>
      <c r="AG136" s="84" t="n">
        <f aca="false">GT136</f>
        <v>23697.28918386</v>
      </c>
      <c r="AH136" s="84" t="n">
        <f aca="false">$D136*$E136</f>
        <v>270</v>
      </c>
      <c r="AI136" s="84" t="n">
        <f aca="false">BG136+$D136*$E136</f>
        <v>270</v>
      </c>
      <c r="AJ136" s="84" t="n">
        <f aca="false">BW136+$D136*$E136</f>
        <v>270</v>
      </c>
      <c r="AK136" s="84" t="n">
        <f aca="false">CM136+$D136*$E136</f>
        <v>270</v>
      </c>
      <c r="AL136" s="84" t="n">
        <f aca="false">DC136+$D136*$E136</f>
        <v>270</v>
      </c>
      <c r="AM136" s="84" t="n">
        <f aca="false">DS136+$D136*$E136</f>
        <v>270</v>
      </c>
      <c r="AN136" s="84" t="n">
        <f aca="false">EI136+$D136*$E136</f>
        <v>270</v>
      </c>
      <c r="AO136" s="84" t="n">
        <f aca="false">EY136+$D136*$E136</f>
        <v>270</v>
      </c>
      <c r="AP136" s="84" t="n">
        <f aca="false">FO136+$D136*$E136</f>
        <v>270</v>
      </c>
      <c r="AQ136" s="84" t="n">
        <f aca="false">GE136+$D136*$E136</f>
        <v>2855.2215295184</v>
      </c>
      <c r="AR136" s="84" t="n">
        <f aca="false">GU136</f>
        <v>5924.32229596499</v>
      </c>
      <c r="AT136" s="133" t="n">
        <f aca="false">$D136*Inputs!$C$13-$D136*$E136</f>
        <v>3730</v>
      </c>
      <c r="AU136" s="84" t="n">
        <f aca="false">AT136*(1+$I136)</f>
        <v>4550.6</v>
      </c>
      <c r="AV136" s="133" t="n">
        <f aca="false">AU136*Inputs!$C$14</f>
        <v>0</v>
      </c>
      <c r="AW136" s="84" t="n">
        <f aca="false">AU136-AV136</f>
        <v>4550.6</v>
      </c>
      <c r="AX136" s="133" t="n">
        <f aca="false">$D136*Inputs!$C$13</f>
        <v>4000</v>
      </c>
      <c r="AY136" s="84" t="n">
        <f aca="false">MIN(AV136,AX136)</f>
        <v>0</v>
      </c>
      <c r="AZ136" s="84" t="n">
        <f aca="false">AX136-AY136</f>
        <v>4000</v>
      </c>
      <c r="BA136" s="84" t="n">
        <f aca="false">$G136*AX136</f>
        <v>320</v>
      </c>
      <c r="BB136" s="84" t="n">
        <f aca="false">MIN(AV136-AY136,BA136)</f>
        <v>0</v>
      </c>
      <c r="BC136" s="84" t="n">
        <f aca="false">BA136-BB136</f>
        <v>320</v>
      </c>
      <c r="BD136" s="84" t="n">
        <f aca="false">IF($H136=1,MIN(AV136-AY136-BB136,MAX(0,$F136/(1-$F136)*BB136)),0)</f>
        <v>0</v>
      </c>
      <c r="BE136" s="84" t="n">
        <f aca="false">AV136-AY136-BB136-BD136</f>
        <v>0</v>
      </c>
      <c r="BF136" s="84" t="n">
        <f aca="false">AY136+BB136+(1-$F136)*BE136</f>
        <v>0</v>
      </c>
      <c r="BG136" s="84" t="n">
        <f aca="false">BD136+$F136*BE136</f>
        <v>0</v>
      </c>
      <c r="BH136" s="84" t="n">
        <f aca="false">BB136+(1-$F136)*BE136</f>
        <v>0</v>
      </c>
      <c r="BI136" s="84" t="n">
        <f aca="false">BG136</f>
        <v>0</v>
      </c>
      <c r="BJ136" s="133" t="n">
        <f aca="false">AW136+$D136*Inputs!$D$13-$D136*$E136</f>
        <v>8280.6</v>
      </c>
      <c r="BK136" s="84" t="n">
        <f aca="false">BJ136*(1+$I136)</f>
        <v>10102.332</v>
      </c>
      <c r="BL136" s="133" t="n">
        <f aca="false">BK136*Inputs!$D$14</f>
        <v>0</v>
      </c>
      <c r="BM136" s="84" t="n">
        <f aca="false">BK136-BL136</f>
        <v>10102.332</v>
      </c>
      <c r="BN136" s="133" t="n">
        <f aca="false">AZ136+$D136*Inputs!$D$13</f>
        <v>8000</v>
      </c>
      <c r="BO136" s="84" t="n">
        <f aca="false">MIN(BL136,BN136)</f>
        <v>0</v>
      </c>
      <c r="BP136" s="84" t="n">
        <f aca="false">BN136-BO136</f>
        <v>8000</v>
      </c>
      <c r="BQ136" s="84" t="n">
        <f aca="false">BC136+$G136*(BN136+BC136)</f>
        <v>985.6</v>
      </c>
      <c r="BR136" s="84" t="n">
        <f aca="false">MIN(BL136-BO136,BQ136)</f>
        <v>0</v>
      </c>
      <c r="BS136" s="84" t="n">
        <f aca="false">BQ136-BR136</f>
        <v>985.6</v>
      </c>
      <c r="BT136" s="84" t="n">
        <f aca="false">IF($H136=1,MIN(BL136-BO136-BR136,MAX(0,$F136/(1-$F136)*(BH136+BR136)-BI136)),0)</f>
        <v>0</v>
      </c>
      <c r="BU136" s="84" t="n">
        <f aca="false">BL136-BO136-BR136-BT136</f>
        <v>0</v>
      </c>
      <c r="BV136" s="84" t="n">
        <f aca="false">BO136+BR136+(1-$F136)*BU136</f>
        <v>0</v>
      </c>
      <c r="BW136" s="84" t="n">
        <f aca="false">BT136+$F136*BU136</f>
        <v>0</v>
      </c>
      <c r="BX136" s="84" t="n">
        <f aca="false">BH136+BR136+(1-$F136)*BU136</f>
        <v>0</v>
      </c>
      <c r="BY136" s="84" t="n">
        <f aca="false">BI136+BW136</f>
        <v>0</v>
      </c>
      <c r="BZ136" s="133" t="n">
        <f aca="false">BM136+$D136*Inputs!$E$13-$D136*$E136</f>
        <v>13832.332</v>
      </c>
      <c r="CA136" s="84" t="n">
        <f aca="false">BZ136*(1+$I136)</f>
        <v>16875.44504</v>
      </c>
      <c r="CB136" s="133" t="n">
        <f aca="false">CA136*Inputs!$E$14</f>
        <v>0</v>
      </c>
      <c r="CC136" s="84" t="n">
        <f aca="false">CA136-CB136</f>
        <v>16875.44504</v>
      </c>
      <c r="CD136" s="133" t="n">
        <f aca="false">BP136+$D136*Inputs!$E$13</f>
        <v>12000</v>
      </c>
      <c r="CE136" s="84" t="n">
        <f aca="false">MIN(CB136,CD136)</f>
        <v>0</v>
      </c>
      <c r="CF136" s="84" t="n">
        <f aca="false">CD136-CE136</f>
        <v>12000</v>
      </c>
      <c r="CG136" s="84" t="n">
        <f aca="false">BS136+$G136*(CD136+BS136)</f>
        <v>2024.448</v>
      </c>
      <c r="CH136" s="84" t="n">
        <f aca="false">MIN(CB136-CE136,CG136)</f>
        <v>0</v>
      </c>
      <c r="CI136" s="84" t="n">
        <f aca="false">CG136-CH136</f>
        <v>2024.448</v>
      </c>
      <c r="CJ136" s="84" t="n">
        <f aca="false">IF($H136=1,MIN(CB136-CE136-CH136,MAX(0,$F136/(1-$F136)*(BX136+CH136)-BY136)),0)</f>
        <v>0</v>
      </c>
      <c r="CK136" s="84" t="n">
        <f aca="false">CB136-CE136-CH136-CJ136</f>
        <v>0</v>
      </c>
      <c r="CL136" s="84" t="n">
        <f aca="false">CE136+CH136+(1-$F136)*CK136</f>
        <v>0</v>
      </c>
      <c r="CM136" s="84" t="n">
        <f aca="false">CJ136+$F136*CK136</f>
        <v>0</v>
      </c>
      <c r="CN136" s="84" t="n">
        <f aca="false">BX136+CH136+(1-$F136)*CK136</f>
        <v>0</v>
      </c>
      <c r="CO136" s="84" t="n">
        <f aca="false">BY136+CM136</f>
        <v>0</v>
      </c>
      <c r="CP136" s="133" t="n">
        <f aca="false">CC136+$D136*Inputs!$F$13-$D136*$E136</f>
        <v>20605.44504</v>
      </c>
      <c r="CQ136" s="84" t="n">
        <f aca="false">CP136*(1+$I136)</f>
        <v>25138.6429488</v>
      </c>
      <c r="CR136" s="133" t="n">
        <f aca="false">CQ136*Inputs!$F$14</f>
        <v>0</v>
      </c>
      <c r="CS136" s="84" t="n">
        <f aca="false">CQ136-CR136</f>
        <v>25138.6429488</v>
      </c>
      <c r="CT136" s="133" t="n">
        <f aca="false">CF136+$D136*Inputs!$F$13</f>
        <v>16000</v>
      </c>
      <c r="CU136" s="84" t="n">
        <f aca="false">MIN(CR136,CT136)</f>
        <v>0</v>
      </c>
      <c r="CV136" s="84" t="n">
        <f aca="false">CT136-CU136</f>
        <v>16000</v>
      </c>
      <c r="CW136" s="84" t="n">
        <f aca="false">CI136+$G136*(CT136+CI136)</f>
        <v>3466.40384</v>
      </c>
      <c r="CX136" s="84" t="n">
        <f aca="false">MIN(CR136-CU136,CW136)</f>
        <v>0</v>
      </c>
      <c r="CY136" s="84" t="n">
        <f aca="false">CW136-CX136</f>
        <v>3466.40384</v>
      </c>
      <c r="CZ136" s="84" t="n">
        <f aca="false">IF($H136=1,MIN(CR136-CU136-CX136,MAX(0,$F136/(1-$F136)*(CN136+CX136)-CO136)),0)</f>
        <v>0</v>
      </c>
      <c r="DA136" s="84" t="n">
        <f aca="false">CR136-CU136-CX136-CZ136</f>
        <v>0</v>
      </c>
      <c r="DB136" s="84" t="n">
        <f aca="false">CU136+CX136+(1-$F136)*DA136</f>
        <v>0</v>
      </c>
      <c r="DC136" s="84" t="n">
        <f aca="false">CZ136+$F136*DA136</f>
        <v>0</v>
      </c>
      <c r="DD136" s="84" t="n">
        <f aca="false">CN136+CX136+(1-$F136)*DA136</f>
        <v>0</v>
      </c>
      <c r="DE136" s="84" t="n">
        <f aca="false">CO136+DC136</f>
        <v>0</v>
      </c>
      <c r="DF136" s="133" t="n">
        <f aca="false">CS136+$D136*Inputs!$G$13-$D136*$E136</f>
        <v>28868.6429488</v>
      </c>
      <c r="DG136" s="84" t="n">
        <f aca="false">DF136*(1+$I136)</f>
        <v>35219.744397536</v>
      </c>
      <c r="DH136" s="133" t="n">
        <f aca="false">DG136*Inputs!$G$14</f>
        <v>7043.9488795072</v>
      </c>
      <c r="DI136" s="84" t="n">
        <f aca="false">DG136-DH136</f>
        <v>28175.7955180288</v>
      </c>
      <c r="DJ136" s="133" t="n">
        <f aca="false">CV136+$D136*Inputs!$G$13</f>
        <v>20000</v>
      </c>
      <c r="DK136" s="84" t="n">
        <f aca="false">MIN(DH136,DJ136)</f>
        <v>7043.9488795072</v>
      </c>
      <c r="DL136" s="84" t="n">
        <f aca="false">DJ136-DK136</f>
        <v>12956.0511204928</v>
      </c>
      <c r="DM136" s="84" t="n">
        <f aca="false">CY136+$G136*(DJ136+CY136)</f>
        <v>5343.7161472</v>
      </c>
      <c r="DN136" s="84" t="n">
        <f aca="false">MIN(DH136-DK136,DM136)</f>
        <v>0</v>
      </c>
      <c r="DO136" s="84" t="n">
        <f aca="false">DM136-DN136</f>
        <v>5343.7161472</v>
      </c>
      <c r="DP136" s="84" t="n">
        <f aca="false">IF($H136=1,MIN(DH136-DK136-DN136,MAX(0,$F136/(1-$F136)*(DD136+DN136)-DE136)),0)</f>
        <v>0</v>
      </c>
      <c r="DQ136" s="84" t="n">
        <f aca="false">DH136-DK136-DN136-DP136</f>
        <v>0</v>
      </c>
      <c r="DR136" s="84" t="n">
        <f aca="false">DK136+DN136+(1-$F136)*DQ136</f>
        <v>7043.9488795072</v>
      </c>
      <c r="DS136" s="84" t="n">
        <f aca="false">DP136+$F136*DQ136</f>
        <v>0</v>
      </c>
      <c r="DT136" s="84" t="n">
        <f aca="false">DD136+DN136+(1-$F136)*DQ136</f>
        <v>0</v>
      </c>
      <c r="DU136" s="84" t="n">
        <f aca="false">DE136+DS136</f>
        <v>0</v>
      </c>
      <c r="DV136" s="133" t="n">
        <f aca="false">DI136+$D136*Inputs!$H$13-$D136*$E136</f>
        <v>27905.7955180288</v>
      </c>
      <c r="DW136" s="84" t="n">
        <f aca="false">DV136*(1+$I136)</f>
        <v>34045.0705319951</v>
      </c>
      <c r="DX136" s="133" t="n">
        <f aca="false">DW136*Inputs!$H$14</f>
        <v>6809.01410639903</v>
      </c>
      <c r="DY136" s="84" t="n">
        <f aca="false">DW136-DX136</f>
        <v>27236.0564255961</v>
      </c>
      <c r="DZ136" s="133" t="n">
        <f aca="false">DL136+$D136*Inputs!$H$13</f>
        <v>12956.0511204928</v>
      </c>
      <c r="EA136" s="84" t="n">
        <f aca="false">MIN(DX136,DZ136)</f>
        <v>6809.01410639903</v>
      </c>
      <c r="EB136" s="84" t="n">
        <f aca="false">DZ136-EA136</f>
        <v>6147.03701409377</v>
      </c>
      <c r="EC136" s="84" t="n">
        <f aca="false">DO136+$G136*(DZ136+DO136)</f>
        <v>6807.69752861542</v>
      </c>
      <c r="ED136" s="84" t="n">
        <f aca="false">MIN(DX136-EA136,EC136)</f>
        <v>0</v>
      </c>
      <c r="EE136" s="84" t="n">
        <f aca="false">EC136-ED136</f>
        <v>6807.69752861542</v>
      </c>
      <c r="EF136" s="84" t="n">
        <f aca="false">IF($H136=1,MIN(DX136-EA136-ED136,MAX(0,$F136/(1-$F136)*(DT136+ED136)-DU136)),0)</f>
        <v>0</v>
      </c>
      <c r="EG136" s="84" t="n">
        <f aca="false">DX136-EA136-ED136-EF136</f>
        <v>0</v>
      </c>
      <c r="EH136" s="84" t="n">
        <f aca="false">EA136+ED136+(1-$F136)*EG136</f>
        <v>6809.01410639903</v>
      </c>
      <c r="EI136" s="84" t="n">
        <f aca="false">EF136+$F136*EG136</f>
        <v>0</v>
      </c>
      <c r="EJ136" s="84" t="n">
        <f aca="false">DT136+ED136+(1-$F136)*EG136</f>
        <v>0</v>
      </c>
      <c r="EK136" s="84" t="n">
        <f aca="false">DU136+EI136</f>
        <v>0</v>
      </c>
      <c r="EL136" s="133" t="n">
        <f aca="false">DY136+$D136*Inputs!$I$13-$D136*$E136</f>
        <v>26966.0564255961</v>
      </c>
      <c r="EM136" s="84" t="n">
        <f aca="false">EL136*(1+$I136)</f>
        <v>32898.5888392273</v>
      </c>
      <c r="EN136" s="133" t="n">
        <f aca="false">EM136*Inputs!$I$14</f>
        <v>6579.71776784545</v>
      </c>
      <c r="EO136" s="84" t="n">
        <f aca="false">EM136-EN136</f>
        <v>26318.8710713818</v>
      </c>
      <c r="EP136" s="133" t="n">
        <f aca="false">EB136+$D136*Inputs!$I$13</f>
        <v>6147.03701409377</v>
      </c>
      <c r="EQ136" s="84" t="n">
        <f aca="false">MIN(EN136,EP136)</f>
        <v>6147.03701409377</v>
      </c>
      <c r="ER136" s="84" t="n">
        <f aca="false">EP136-EQ136</f>
        <v>0</v>
      </c>
      <c r="ES136" s="84" t="n">
        <f aca="false">EE136+$G136*(EP136+EE136)</f>
        <v>7844.07629203216</v>
      </c>
      <c r="ET136" s="84" t="n">
        <f aca="false">MIN(EN136-EQ136,ES136)</f>
        <v>432.680753751678</v>
      </c>
      <c r="EU136" s="84" t="n">
        <f aca="false">ES136-ET136</f>
        <v>7411.39553828048</v>
      </c>
      <c r="EV136" s="84" t="n">
        <f aca="false">IF($H136=1,MIN(EN136-EQ136-ET136,MAX(0,$F136/(1-$F136)*(EJ136+ET136)-EK136)),0)</f>
        <v>0</v>
      </c>
      <c r="EW136" s="84" t="n">
        <f aca="false">EN136-EQ136-ET136-EV136</f>
        <v>0</v>
      </c>
      <c r="EX136" s="84" t="n">
        <f aca="false">EQ136+ET136+(1-$F136)*EW136</f>
        <v>6579.71776784545</v>
      </c>
      <c r="EY136" s="84" t="n">
        <f aca="false">EV136+$F136*EW136</f>
        <v>0</v>
      </c>
      <c r="EZ136" s="84" t="n">
        <f aca="false">EJ136+ET136+(1-$F136)*EW136</f>
        <v>432.680753751678</v>
      </c>
      <c r="FA136" s="84" t="n">
        <f aca="false">EK136+EY136</f>
        <v>0</v>
      </c>
      <c r="FB136" s="133" t="n">
        <f aca="false">EO136+$D136*Inputs!$J$13-$D136*$E136</f>
        <v>26048.8710713818</v>
      </c>
      <c r="FC136" s="84" t="n">
        <f aca="false">FB136*(1+$I136)</f>
        <v>31779.6227070858</v>
      </c>
      <c r="FD136" s="133" t="n">
        <f aca="false">FC136*Inputs!$J$14</f>
        <v>6355.92454141716</v>
      </c>
      <c r="FE136" s="84" t="n">
        <f aca="false">FC136-FD136</f>
        <v>25423.6981656686</v>
      </c>
      <c r="FF136" s="133" t="n">
        <f aca="false">ER136+$D136*Inputs!$J$13</f>
        <v>0</v>
      </c>
      <c r="FG136" s="84" t="n">
        <f aca="false">MIN(FD136,FF136)</f>
        <v>0</v>
      </c>
      <c r="FH136" s="84" t="n">
        <f aca="false">FF136-FG136</f>
        <v>0</v>
      </c>
      <c r="FI136" s="84" t="n">
        <f aca="false">EU136+$G136*(FF136+EU136)</f>
        <v>8004.30718134292</v>
      </c>
      <c r="FJ136" s="84" t="n">
        <f aca="false">MIN(FD136-FG136,FI136)</f>
        <v>6355.92454141716</v>
      </c>
      <c r="FK136" s="84" t="n">
        <f aca="false">FI136-FJ136</f>
        <v>1648.38263992576</v>
      </c>
      <c r="FL136" s="84" t="n">
        <f aca="false">IF($H136=1,MIN(FD136-FG136-FJ136,MAX(0,$F136/(1-$F136)*(EZ136+FJ136)-FA136)),0)</f>
        <v>0</v>
      </c>
      <c r="FM136" s="84" t="n">
        <f aca="false">FD136-FG136-FJ136-FL136</f>
        <v>0</v>
      </c>
      <c r="FN136" s="84" t="n">
        <f aca="false">FG136+FJ136+(1-$F136)*FM136</f>
        <v>6355.92454141716</v>
      </c>
      <c r="FO136" s="84" t="n">
        <f aca="false">FL136+$F136*FM136</f>
        <v>0</v>
      </c>
      <c r="FP136" s="84" t="n">
        <f aca="false">EZ136+FJ136+(1-$F136)*FM136</f>
        <v>6788.60529516884</v>
      </c>
      <c r="FQ136" s="84" t="n">
        <f aca="false">FA136+FO136</f>
        <v>0</v>
      </c>
      <c r="FR136" s="133" t="n">
        <f aca="false">FE136+$D136*Inputs!$K$13-$D136*$E136</f>
        <v>25153.6981656686</v>
      </c>
      <c r="FS136" s="84" t="n">
        <f aca="false">FR136*(1+$I136)</f>
        <v>30687.5117621157</v>
      </c>
      <c r="FT136" s="133" t="n">
        <f aca="false">FS136*Inputs!$K$14</f>
        <v>6137.50235242315</v>
      </c>
      <c r="FU136" s="84" t="n">
        <f aca="false">FS136-FT136</f>
        <v>24550.0094096926</v>
      </c>
      <c r="FV136" s="133" t="n">
        <f aca="false">FH136+$D136*Inputs!$K$13</f>
        <v>0</v>
      </c>
      <c r="FW136" s="84" t="n">
        <f aca="false">MIN(FT136,FV136)</f>
        <v>0</v>
      </c>
      <c r="FX136" s="84" t="n">
        <f aca="false">FV136-FW136</f>
        <v>0</v>
      </c>
      <c r="FY136" s="84" t="n">
        <f aca="false">FK136+$G136*(FV136+FK136)</f>
        <v>1780.25325111982</v>
      </c>
      <c r="FZ136" s="84" t="n">
        <f aca="false">MIN(FT136-FW136,FY136)</f>
        <v>1780.25325111982</v>
      </c>
      <c r="GA136" s="84" t="n">
        <f aca="false">FY136-FZ136</f>
        <v>0</v>
      </c>
      <c r="GB136" s="84" t="n">
        <f aca="false">IF($H136=1,MIN(FT136-FW136-FZ136,MAX(0,$F136/(1-$F136)*(FP136+FZ136)-FQ136)),0)</f>
        <v>2142.21463657216</v>
      </c>
      <c r="GC136" s="84" t="n">
        <f aca="false">FT136-FW136-FZ136-GB136</f>
        <v>2215.03446473116</v>
      </c>
      <c r="GD136" s="84" t="n">
        <f aca="false">FW136+FZ136+(1-$F136)*GC136</f>
        <v>3552.28082290475</v>
      </c>
      <c r="GE136" s="84" t="n">
        <f aca="false">GB136+$F136*GC136</f>
        <v>2585.2215295184</v>
      </c>
      <c r="GF136" s="84" t="n">
        <f aca="false">FP136+FZ136+(1-$F136)*GC136</f>
        <v>10340.8861180736</v>
      </c>
      <c r="GG136" s="84" t="n">
        <f aca="false">FQ136+GE136</f>
        <v>2585.2215295184</v>
      </c>
      <c r="GH136" s="133" t="n">
        <f aca="false">FU136+$D136*Inputs!$L$13-$D136*$E136</f>
        <v>24280.0094096926</v>
      </c>
      <c r="GI136" s="84" t="n">
        <f aca="false">GH136*(1+$I136)</f>
        <v>29621.611479825</v>
      </c>
      <c r="GJ136" s="133" t="n">
        <f aca="false">GI136*Inputs!$L$14</f>
        <v>29621.611479825</v>
      </c>
      <c r="GK136" s="84" t="n">
        <f aca="false">GI136-GJ136</f>
        <v>0</v>
      </c>
      <c r="GL136" s="133" t="n">
        <f aca="false">FX136+$D136*Inputs!$L$13</f>
        <v>0</v>
      </c>
      <c r="GM136" s="84" t="n">
        <f aca="false">MIN(GJ136,GL136)</f>
        <v>0</v>
      </c>
      <c r="GN136" s="84" t="n">
        <f aca="false">GL136-GM136</f>
        <v>0</v>
      </c>
      <c r="GO136" s="84" t="n">
        <f aca="false">GA136+$G136*(GL136+GA136)</f>
        <v>0</v>
      </c>
      <c r="GP136" s="84" t="n">
        <f aca="false">MIN(GJ136-GM136,GO136)</f>
        <v>0</v>
      </c>
      <c r="GQ136" s="84" t="n">
        <f aca="false">GO136-GP136</f>
        <v>0</v>
      </c>
      <c r="GR136" s="84" t="n">
        <f aca="false">IF($H136=1,MIN(GJ136-GM136-GP136,MAX(0,$F136/(1-$F136)*(GF136+GP136)-GG136)),0)</f>
        <v>0</v>
      </c>
      <c r="GS136" s="84" t="n">
        <f aca="false">GJ136-GM136-GP136-GR136</f>
        <v>29621.611479825</v>
      </c>
      <c r="GT136" s="84" t="n">
        <f aca="false">GM136+GP136+(1-$F136)*GS136</f>
        <v>23697.28918386</v>
      </c>
      <c r="GU136" s="84" t="n">
        <f aca="false">GR136+$F136*GS136</f>
        <v>5924.32229596499</v>
      </c>
      <c r="GV136" s="84" t="n">
        <f aca="false">GF136+GP136+(1-$F136)*GS136</f>
        <v>34038.1753019336</v>
      </c>
      <c r="GW136" s="84" t="n">
        <f aca="false">GG136+GU136</f>
        <v>8509.54382548339</v>
      </c>
    </row>
    <row r="137" customFormat="false" ht="15" hidden="false" customHeight="false" outlineLevel="0" collapsed="false">
      <c r="A137" s="5" t="s">
        <v>640</v>
      </c>
      <c r="B137" s="5" t="s">
        <v>428</v>
      </c>
      <c r="C137" s="135" t="n">
        <v>23</v>
      </c>
      <c r="D137" s="47" t="n">
        <f aca="false">Inputs!$C$6</f>
        <v>20000</v>
      </c>
      <c r="E137" s="35" t="n">
        <f aca="false">Inputs!$C$19</f>
        <v>0.0135</v>
      </c>
      <c r="F137" s="36" t="n">
        <f aca="false">Inputs!$C$20</f>
        <v>0.2</v>
      </c>
      <c r="G137" s="36" t="n">
        <f aca="false">Inputs!$C$22</f>
        <v>0.08</v>
      </c>
      <c r="H137" s="44" t="n">
        <f aca="false">Inputs!$C$23</f>
        <v>1</v>
      </c>
      <c r="I137" s="132" t="n">
        <f aca="false">Inputs!$C$38+$C137*Inputs!$C$39</f>
        <v>0.23</v>
      </c>
      <c r="J137" s="36" t="n">
        <f aca="false">Inputs!$C$9</f>
        <v>0.15</v>
      </c>
      <c r="K137" s="89" t="n">
        <f aca="false">IRR(W137:AG137,0.1)</f>
        <v>0.188591033998375</v>
      </c>
      <c r="L137" s="45" t="n">
        <f aca="false">W137+NPV($J137,X137:AG137)</f>
        <v>3335.43869157095</v>
      </c>
      <c r="M137" s="45" t="n">
        <f aca="false">SUM(BF137,BV137,CL137,DB137,DR137,EH137,EX137,FN137,GD137,GT137)</f>
        <v>56970.7134919231</v>
      </c>
      <c r="N137" s="43" t="n">
        <f aca="false">IF($D137*SUM(Inputs!$C$13:$L$13)=0,0,M137/($D137*SUM(Inputs!$C$13:$L$13)))</f>
        <v>2.84853567459616</v>
      </c>
      <c r="O137" s="42" t="n">
        <f aca="false">$D137*$E137*COLUMNS(Inputs!$C$13:$L$13)</f>
        <v>2700</v>
      </c>
      <c r="P137" s="45" t="n">
        <f aca="false">SUM(BG137,BW137,CM137,DC137,DS137,EI137,EY137,FO137,GE137,GU137)</f>
        <v>9242.67837298078</v>
      </c>
      <c r="Q137" s="42" t="n">
        <f aca="false">PV($J137,COLUMNS(Inputs!$C$13:$L$13),-$D137*$E137,0,1)</f>
        <v>1558.32765832774</v>
      </c>
      <c r="R137" s="45" t="n">
        <f aca="false">NPV($J137,BG137,BW137,CM137,DC137,DS137,EI137,EY137,FO137,GE137,GU137)</f>
        <v>2391.555685203</v>
      </c>
      <c r="S137" s="45" t="n">
        <f aca="false">Q137+R137</f>
        <v>3949.88334353073</v>
      </c>
      <c r="T137" s="32" t="n">
        <f aca="false">IF(S137=0,0,Q137/S137)</f>
        <v>0.394524982840322</v>
      </c>
      <c r="U137" s="45" t="n">
        <f aca="false">ROUND(ABS(GK137)+ABS(SUM(AV137,BL137,CB137,CR137,DH137,DX137,EN137,FD137,FT137,GJ137)-M137-P137)+ABS(S137-(AH137+NPV($J137,AI137:AR137))),6)</f>
        <v>0</v>
      </c>
      <c r="W137" s="133" t="n">
        <f aca="false">-$D137*Inputs!$C$13</f>
        <v>-4000</v>
      </c>
      <c r="X137" s="133" t="n">
        <f aca="false">BF137-$D137*Inputs!$D$13</f>
        <v>-4000</v>
      </c>
      <c r="Y137" s="133" t="n">
        <f aca="false">BV137-$D137*Inputs!$E$13</f>
        <v>-4000</v>
      </c>
      <c r="Z137" s="133" t="n">
        <f aca="false">CL137-$D137*Inputs!$F$13</f>
        <v>-4000</v>
      </c>
      <c r="AA137" s="133" t="n">
        <f aca="false">DB137-$D137*Inputs!$G$13</f>
        <v>-4000</v>
      </c>
      <c r="AB137" s="133" t="n">
        <f aca="false">DR137-$D137*Inputs!$H$13</f>
        <v>7242.1225643478</v>
      </c>
      <c r="AC137" s="133" t="n">
        <f aca="false">EH137-$D137*Inputs!$I$13</f>
        <v>7059.82860331824</v>
      </c>
      <c r="AD137" s="133" t="n">
        <f aca="false">EX137-$D137*Inputs!$J$13</f>
        <v>6880.45134566514</v>
      </c>
      <c r="AE137" s="133" t="n">
        <f aca="false">FN137-$D137*Inputs!$K$13</f>
        <v>6703.9441241345</v>
      </c>
      <c r="AF137" s="133" t="n">
        <f aca="false">GD137-$D137*Inputs!$L$13</f>
        <v>3646.93948702554</v>
      </c>
      <c r="AG137" s="84" t="n">
        <f aca="false">GT137</f>
        <v>25437.4273674319</v>
      </c>
      <c r="AH137" s="84" t="n">
        <f aca="false">$D137*$E137</f>
        <v>270</v>
      </c>
      <c r="AI137" s="84" t="n">
        <f aca="false">BG137+$D137*$E137</f>
        <v>270</v>
      </c>
      <c r="AJ137" s="84" t="n">
        <f aca="false">BW137+$D137*$E137</f>
        <v>270</v>
      </c>
      <c r="AK137" s="84" t="n">
        <f aca="false">CM137+$D137*$E137</f>
        <v>270</v>
      </c>
      <c r="AL137" s="84" t="n">
        <f aca="false">DC137+$D137*$E137</f>
        <v>270</v>
      </c>
      <c r="AM137" s="84" t="n">
        <f aca="false">DS137+$D137*$E137</f>
        <v>270</v>
      </c>
      <c r="AN137" s="84" t="n">
        <f aca="false">EI137+$D137*$E137</f>
        <v>270</v>
      </c>
      <c r="AO137" s="84" t="n">
        <f aca="false">EY137+$D137*$E137</f>
        <v>270</v>
      </c>
      <c r="AP137" s="84" t="n">
        <f aca="false">FO137+$D137*$E137</f>
        <v>270</v>
      </c>
      <c r="AQ137" s="84" t="n">
        <f aca="false">GE137+$D137*$E137</f>
        <v>3153.32153112281</v>
      </c>
      <c r="AR137" s="84" t="n">
        <f aca="false">GU137</f>
        <v>6359.35684185798</v>
      </c>
      <c r="AT137" s="133" t="n">
        <f aca="false">$D137*Inputs!$C$13-$D137*$E137</f>
        <v>3730</v>
      </c>
      <c r="AU137" s="84" t="n">
        <f aca="false">AT137*(1+$I137)</f>
        <v>4587.9</v>
      </c>
      <c r="AV137" s="133" t="n">
        <f aca="false">AU137*Inputs!$C$14</f>
        <v>0</v>
      </c>
      <c r="AW137" s="84" t="n">
        <f aca="false">AU137-AV137</f>
        <v>4587.9</v>
      </c>
      <c r="AX137" s="133" t="n">
        <f aca="false">$D137*Inputs!$C$13</f>
        <v>4000</v>
      </c>
      <c r="AY137" s="84" t="n">
        <f aca="false">MIN(AV137,AX137)</f>
        <v>0</v>
      </c>
      <c r="AZ137" s="84" t="n">
        <f aca="false">AX137-AY137</f>
        <v>4000</v>
      </c>
      <c r="BA137" s="84" t="n">
        <f aca="false">$G137*AX137</f>
        <v>320</v>
      </c>
      <c r="BB137" s="84" t="n">
        <f aca="false">MIN(AV137-AY137,BA137)</f>
        <v>0</v>
      </c>
      <c r="BC137" s="84" t="n">
        <f aca="false">BA137-BB137</f>
        <v>320</v>
      </c>
      <c r="BD137" s="84" t="n">
        <f aca="false">IF($H137=1,MIN(AV137-AY137-BB137,MAX(0,$F137/(1-$F137)*BB137)),0)</f>
        <v>0</v>
      </c>
      <c r="BE137" s="84" t="n">
        <f aca="false">AV137-AY137-BB137-BD137</f>
        <v>0</v>
      </c>
      <c r="BF137" s="84" t="n">
        <f aca="false">AY137+BB137+(1-$F137)*BE137</f>
        <v>0</v>
      </c>
      <c r="BG137" s="84" t="n">
        <f aca="false">BD137+$F137*BE137</f>
        <v>0</v>
      </c>
      <c r="BH137" s="84" t="n">
        <f aca="false">BB137+(1-$F137)*BE137</f>
        <v>0</v>
      </c>
      <c r="BI137" s="84" t="n">
        <f aca="false">BG137</f>
        <v>0</v>
      </c>
      <c r="BJ137" s="133" t="n">
        <f aca="false">AW137+$D137*Inputs!$D$13-$D137*$E137</f>
        <v>8317.9</v>
      </c>
      <c r="BK137" s="84" t="n">
        <f aca="false">BJ137*(1+$I137)</f>
        <v>10231.017</v>
      </c>
      <c r="BL137" s="133" t="n">
        <f aca="false">BK137*Inputs!$D$14</f>
        <v>0</v>
      </c>
      <c r="BM137" s="84" t="n">
        <f aca="false">BK137-BL137</f>
        <v>10231.017</v>
      </c>
      <c r="BN137" s="133" t="n">
        <f aca="false">AZ137+$D137*Inputs!$D$13</f>
        <v>8000</v>
      </c>
      <c r="BO137" s="84" t="n">
        <f aca="false">MIN(BL137,BN137)</f>
        <v>0</v>
      </c>
      <c r="BP137" s="84" t="n">
        <f aca="false">BN137-BO137</f>
        <v>8000</v>
      </c>
      <c r="BQ137" s="84" t="n">
        <f aca="false">BC137+$G137*(BN137+BC137)</f>
        <v>985.6</v>
      </c>
      <c r="BR137" s="84" t="n">
        <f aca="false">MIN(BL137-BO137,BQ137)</f>
        <v>0</v>
      </c>
      <c r="BS137" s="84" t="n">
        <f aca="false">BQ137-BR137</f>
        <v>985.6</v>
      </c>
      <c r="BT137" s="84" t="n">
        <f aca="false">IF($H137=1,MIN(BL137-BO137-BR137,MAX(0,$F137/(1-$F137)*(BH137+BR137)-BI137)),0)</f>
        <v>0</v>
      </c>
      <c r="BU137" s="84" t="n">
        <f aca="false">BL137-BO137-BR137-BT137</f>
        <v>0</v>
      </c>
      <c r="BV137" s="84" t="n">
        <f aca="false">BO137+BR137+(1-$F137)*BU137</f>
        <v>0</v>
      </c>
      <c r="BW137" s="84" t="n">
        <f aca="false">BT137+$F137*BU137</f>
        <v>0</v>
      </c>
      <c r="BX137" s="84" t="n">
        <f aca="false">BH137+BR137+(1-$F137)*BU137</f>
        <v>0</v>
      </c>
      <c r="BY137" s="84" t="n">
        <f aca="false">BI137+BW137</f>
        <v>0</v>
      </c>
      <c r="BZ137" s="133" t="n">
        <f aca="false">BM137+$D137*Inputs!$E$13-$D137*$E137</f>
        <v>13961.017</v>
      </c>
      <c r="CA137" s="84" t="n">
        <f aca="false">BZ137*(1+$I137)</f>
        <v>17172.05091</v>
      </c>
      <c r="CB137" s="133" t="n">
        <f aca="false">CA137*Inputs!$E$14</f>
        <v>0</v>
      </c>
      <c r="CC137" s="84" t="n">
        <f aca="false">CA137-CB137</f>
        <v>17172.05091</v>
      </c>
      <c r="CD137" s="133" t="n">
        <f aca="false">BP137+$D137*Inputs!$E$13</f>
        <v>12000</v>
      </c>
      <c r="CE137" s="84" t="n">
        <f aca="false">MIN(CB137,CD137)</f>
        <v>0</v>
      </c>
      <c r="CF137" s="84" t="n">
        <f aca="false">CD137-CE137</f>
        <v>12000</v>
      </c>
      <c r="CG137" s="84" t="n">
        <f aca="false">BS137+$G137*(CD137+BS137)</f>
        <v>2024.448</v>
      </c>
      <c r="CH137" s="84" t="n">
        <f aca="false">MIN(CB137-CE137,CG137)</f>
        <v>0</v>
      </c>
      <c r="CI137" s="84" t="n">
        <f aca="false">CG137-CH137</f>
        <v>2024.448</v>
      </c>
      <c r="CJ137" s="84" t="n">
        <f aca="false">IF($H137=1,MIN(CB137-CE137-CH137,MAX(0,$F137/(1-$F137)*(BX137+CH137)-BY137)),0)</f>
        <v>0</v>
      </c>
      <c r="CK137" s="84" t="n">
        <f aca="false">CB137-CE137-CH137-CJ137</f>
        <v>0</v>
      </c>
      <c r="CL137" s="84" t="n">
        <f aca="false">CE137+CH137+(1-$F137)*CK137</f>
        <v>0</v>
      </c>
      <c r="CM137" s="84" t="n">
        <f aca="false">CJ137+$F137*CK137</f>
        <v>0</v>
      </c>
      <c r="CN137" s="84" t="n">
        <f aca="false">BX137+CH137+(1-$F137)*CK137</f>
        <v>0</v>
      </c>
      <c r="CO137" s="84" t="n">
        <f aca="false">BY137+CM137</f>
        <v>0</v>
      </c>
      <c r="CP137" s="133" t="n">
        <f aca="false">CC137+$D137*Inputs!$F$13-$D137*$E137</f>
        <v>20902.05091</v>
      </c>
      <c r="CQ137" s="84" t="n">
        <f aca="false">CP137*(1+$I137)</f>
        <v>25709.5226193</v>
      </c>
      <c r="CR137" s="133" t="n">
        <f aca="false">CQ137*Inputs!$F$14</f>
        <v>0</v>
      </c>
      <c r="CS137" s="84" t="n">
        <f aca="false">CQ137-CR137</f>
        <v>25709.5226193</v>
      </c>
      <c r="CT137" s="133" t="n">
        <f aca="false">CF137+$D137*Inputs!$F$13</f>
        <v>16000</v>
      </c>
      <c r="CU137" s="84" t="n">
        <f aca="false">MIN(CR137,CT137)</f>
        <v>0</v>
      </c>
      <c r="CV137" s="84" t="n">
        <f aca="false">CT137-CU137</f>
        <v>16000</v>
      </c>
      <c r="CW137" s="84" t="n">
        <f aca="false">CI137+$G137*(CT137+CI137)</f>
        <v>3466.40384</v>
      </c>
      <c r="CX137" s="84" t="n">
        <f aca="false">MIN(CR137-CU137,CW137)</f>
        <v>0</v>
      </c>
      <c r="CY137" s="84" t="n">
        <f aca="false">CW137-CX137</f>
        <v>3466.40384</v>
      </c>
      <c r="CZ137" s="84" t="n">
        <f aca="false">IF($H137=1,MIN(CR137-CU137-CX137,MAX(0,$F137/(1-$F137)*(CN137+CX137)-CO137)),0)</f>
        <v>0</v>
      </c>
      <c r="DA137" s="84" t="n">
        <f aca="false">CR137-CU137-CX137-CZ137</f>
        <v>0</v>
      </c>
      <c r="DB137" s="84" t="n">
        <f aca="false">CU137+CX137+(1-$F137)*DA137</f>
        <v>0</v>
      </c>
      <c r="DC137" s="84" t="n">
        <f aca="false">CZ137+$F137*DA137</f>
        <v>0</v>
      </c>
      <c r="DD137" s="84" t="n">
        <f aca="false">CN137+CX137+(1-$F137)*DA137</f>
        <v>0</v>
      </c>
      <c r="DE137" s="84" t="n">
        <f aca="false">CO137+DC137</f>
        <v>0</v>
      </c>
      <c r="DF137" s="133" t="n">
        <f aca="false">CS137+$D137*Inputs!$G$13-$D137*$E137</f>
        <v>29439.5226193</v>
      </c>
      <c r="DG137" s="84" t="n">
        <f aca="false">DF137*(1+$I137)</f>
        <v>36210.612821739</v>
      </c>
      <c r="DH137" s="133" t="n">
        <f aca="false">DG137*Inputs!$G$14</f>
        <v>7242.1225643478</v>
      </c>
      <c r="DI137" s="84" t="n">
        <f aca="false">DG137-DH137</f>
        <v>28968.4902573912</v>
      </c>
      <c r="DJ137" s="133" t="n">
        <f aca="false">CV137+$D137*Inputs!$G$13</f>
        <v>20000</v>
      </c>
      <c r="DK137" s="84" t="n">
        <f aca="false">MIN(DH137,DJ137)</f>
        <v>7242.1225643478</v>
      </c>
      <c r="DL137" s="84" t="n">
        <f aca="false">DJ137-DK137</f>
        <v>12757.8774356522</v>
      </c>
      <c r="DM137" s="84" t="n">
        <f aca="false">CY137+$G137*(DJ137+CY137)</f>
        <v>5343.7161472</v>
      </c>
      <c r="DN137" s="84" t="n">
        <f aca="false">MIN(DH137-DK137,DM137)</f>
        <v>0</v>
      </c>
      <c r="DO137" s="84" t="n">
        <f aca="false">DM137-DN137</f>
        <v>5343.7161472</v>
      </c>
      <c r="DP137" s="84" t="n">
        <f aca="false">IF($H137=1,MIN(DH137-DK137-DN137,MAX(0,$F137/(1-$F137)*(DD137+DN137)-DE137)),0)</f>
        <v>0</v>
      </c>
      <c r="DQ137" s="84" t="n">
        <f aca="false">DH137-DK137-DN137-DP137</f>
        <v>0</v>
      </c>
      <c r="DR137" s="84" t="n">
        <f aca="false">DK137+DN137+(1-$F137)*DQ137</f>
        <v>7242.1225643478</v>
      </c>
      <c r="DS137" s="84" t="n">
        <f aca="false">DP137+$F137*DQ137</f>
        <v>0</v>
      </c>
      <c r="DT137" s="84" t="n">
        <f aca="false">DD137+DN137+(1-$F137)*DQ137</f>
        <v>0</v>
      </c>
      <c r="DU137" s="84" t="n">
        <f aca="false">DE137+DS137</f>
        <v>0</v>
      </c>
      <c r="DV137" s="133" t="n">
        <f aca="false">DI137+$D137*Inputs!$H$13-$D137*$E137</f>
        <v>28698.4902573912</v>
      </c>
      <c r="DW137" s="84" t="n">
        <f aca="false">DV137*(1+$I137)</f>
        <v>35299.1430165912</v>
      </c>
      <c r="DX137" s="133" t="n">
        <f aca="false">DW137*Inputs!$H$14</f>
        <v>7059.82860331824</v>
      </c>
      <c r="DY137" s="84" t="n">
        <f aca="false">DW137-DX137</f>
        <v>28239.3144132729</v>
      </c>
      <c r="DZ137" s="133" t="n">
        <f aca="false">DL137+$D137*Inputs!$H$13</f>
        <v>12757.8774356522</v>
      </c>
      <c r="EA137" s="84" t="n">
        <f aca="false">MIN(DX137,DZ137)</f>
        <v>7059.82860331824</v>
      </c>
      <c r="EB137" s="84" t="n">
        <f aca="false">DZ137-EA137</f>
        <v>5698.04883233397</v>
      </c>
      <c r="EC137" s="84" t="n">
        <f aca="false">DO137+$G137*(DZ137+DO137)</f>
        <v>6791.84363382818</v>
      </c>
      <c r="ED137" s="84" t="n">
        <f aca="false">MIN(DX137-EA137,EC137)</f>
        <v>0</v>
      </c>
      <c r="EE137" s="84" t="n">
        <f aca="false">EC137-ED137</f>
        <v>6791.84363382818</v>
      </c>
      <c r="EF137" s="84" t="n">
        <f aca="false">IF($H137=1,MIN(DX137-EA137-ED137,MAX(0,$F137/(1-$F137)*(DT137+ED137)-DU137)),0)</f>
        <v>0</v>
      </c>
      <c r="EG137" s="84" t="n">
        <f aca="false">DX137-EA137-ED137-EF137</f>
        <v>0</v>
      </c>
      <c r="EH137" s="84" t="n">
        <f aca="false">EA137+ED137+(1-$F137)*EG137</f>
        <v>7059.82860331824</v>
      </c>
      <c r="EI137" s="84" t="n">
        <f aca="false">EF137+$F137*EG137</f>
        <v>0</v>
      </c>
      <c r="EJ137" s="84" t="n">
        <f aca="false">DT137+ED137+(1-$F137)*EG137</f>
        <v>0</v>
      </c>
      <c r="EK137" s="84" t="n">
        <f aca="false">DU137+EI137</f>
        <v>0</v>
      </c>
      <c r="EL137" s="133" t="n">
        <f aca="false">DY137+$D137*Inputs!$I$13-$D137*$E137</f>
        <v>27969.3144132729</v>
      </c>
      <c r="EM137" s="84" t="n">
        <f aca="false">EL137*(1+$I137)</f>
        <v>34402.2567283257</v>
      </c>
      <c r="EN137" s="133" t="n">
        <f aca="false">EM137*Inputs!$I$14</f>
        <v>6880.45134566514</v>
      </c>
      <c r="EO137" s="84" t="n">
        <f aca="false">EM137-EN137</f>
        <v>27521.8053826606</v>
      </c>
      <c r="EP137" s="133" t="n">
        <f aca="false">EB137+$D137*Inputs!$I$13</f>
        <v>5698.04883233397</v>
      </c>
      <c r="EQ137" s="84" t="n">
        <f aca="false">MIN(EN137,EP137)</f>
        <v>5698.04883233397</v>
      </c>
      <c r="ER137" s="84" t="n">
        <f aca="false">EP137-EQ137</f>
        <v>0</v>
      </c>
      <c r="ES137" s="84" t="n">
        <f aca="false">EE137+$G137*(EP137+EE137)</f>
        <v>7791.03503112115</v>
      </c>
      <c r="ET137" s="84" t="n">
        <f aca="false">MIN(EN137-EQ137,ES137)</f>
        <v>1182.40251333118</v>
      </c>
      <c r="EU137" s="84" t="n">
        <f aca="false">ES137-ET137</f>
        <v>6608.63251778997</v>
      </c>
      <c r="EV137" s="84" t="n">
        <f aca="false">IF($H137=1,MIN(EN137-EQ137-ET137,MAX(0,$F137/(1-$F137)*(EJ137+ET137)-EK137)),0)</f>
        <v>0</v>
      </c>
      <c r="EW137" s="84" t="n">
        <f aca="false">EN137-EQ137-ET137-EV137</f>
        <v>0</v>
      </c>
      <c r="EX137" s="84" t="n">
        <f aca="false">EQ137+ET137+(1-$F137)*EW137</f>
        <v>6880.45134566514</v>
      </c>
      <c r="EY137" s="84" t="n">
        <f aca="false">EV137+$F137*EW137</f>
        <v>0</v>
      </c>
      <c r="EZ137" s="84" t="n">
        <f aca="false">EJ137+ET137+(1-$F137)*EW137</f>
        <v>1182.40251333118</v>
      </c>
      <c r="FA137" s="84" t="n">
        <f aca="false">EK137+EY137</f>
        <v>0</v>
      </c>
      <c r="FB137" s="133" t="n">
        <f aca="false">EO137+$D137*Inputs!$J$13-$D137*$E137</f>
        <v>27251.8053826606</v>
      </c>
      <c r="FC137" s="84" t="n">
        <f aca="false">FB137*(1+$I137)</f>
        <v>33519.7206206725</v>
      </c>
      <c r="FD137" s="133" t="n">
        <f aca="false">FC137*Inputs!$J$14</f>
        <v>6703.9441241345</v>
      </c>
      <c r="FE137" s="84" t="n">
        <f aca="false">FC137-FD137</f>
        <v>26815.776496538</v>
      </c>
      <c r="FF137" s="133" t="n">
        <f aca="false">ER137+$D137*Inputs!$J$13</f>
        <v>0</v>
      </c>
      <c r="FG137" s="84" t="n">
        <f aca="false">MIN(FD137,FF137)</f>
        <v>0</v>
      </c>
      <c r="FH137" s="84" t="n">
        <f aca="false">FF137-FG137</f>
        <v>0</v>
      </c>
      <c r="FI137" s="84" t="n">
        <f aca="false">EU137+$G137*(FF137+EU137)</f>
        <v>7137.32311921317</v>
      </c>
      <c r="FJ137" s="84" t="n">
        <f aca="false">MIN(FD137-FG137,FI137)</f>
        <v>6703.9441241345</v>
      </c>
      <c r="FK137" s="84" t="n">
        <f aca="false">FI137-FJ137</f>
        <v>433.378995078666</v>
      </c>
      <c r="FL137" s="84" t="n">
        <f aca="false">IF($H137=1,MIN(FD137-FG137-FJ137,MAX(0,$F137/(1-$F137)*(EZ137+FJ137)-FA137)),0)</f>
        <v>0</v>
      </c>
      <c r="FM137" s="84" t="n">
        <f aca="false">FD137-FG137-FJ137-FL137</f>
        <v>0</v>
      </c>
      <c r="FN137" s="84" t="n">
        <f aca="false">FG137+FJ137+(1-$F137)*FM137</f>
        <v>6703.9441241345</v>
      </c>
      <c r="FO137" s="84" t="n">
        <f aca="false">FL137+$F137*FM137</f>
        <v>0</v>
      </c>
      <c r="FP137" s="84" t="n">
        <f aca="false">EZ137+FJ137+(1-$F137)*FM137</f>
        <v>7886.34663746568</v>
      </c>
      <c r="FQ137" s="84" t="n">
        <f aca="false">FA137+FO137</f>
        <v>0</v>
      </c>
      <c r="FR137" s="133" t="n">
        <f aca="false">FE137+$D137*Inputs!$K$13-$D137*$E137</f>
        <v>26545.776496538</v>
      </c>
      <c r="FS137" s="84" t="n">
        <f aca="false">FR137*(1+$I137)</f>
        <v>32651.3050907417</v>
      </c>
      <c r="FT137" s="133" t="n">
        <f aca="false">FS137*Inputs!$K$14</f>
        <v>6530.26101814835</v>
      </c>
      <c r="FU137" s="84" t="n">
        <f aca="false">FS137-FT137</f>
        <v>26121.0440725934</v>
      </c>
      <c r="FV137" s="133" t="n">
        <f aca="false">FH137+$D137*Inputs!$K$13</f>
        <v>0</v>
      </c>
      <c r="FW137" s="84" t="n">
        <f aca="false">MIN(FT137,FV137)</f>
        <v>0</v>
      </c>
      <c r="FX137" s="84" t="n">
        <f aca="false">FV137-FW137</f>
        <v>0</v>
      </c>
      <c r="FY137" s="84" t="n">
        <f aca="false">FK137+$G137*(FV137+FK137)</f>
        <v>468.049314684959</v>
      </c>
      <c r="FZ137" s="84" t="n">
        <f aca="false">MIN(FT137-FW137,FY137)</f>
        <v>468.049314684959</v>
      </c>
      <c r="GA137" s="84" t="n">
        <f aca="false">FY137-FZ137</f>
        <v>0</v>
      </c>
      <c r="GB137" s="84" t="n">
        <f aca="false">IF($H137=1,MIN(FT137-FW137-FZ137,MAX(0,$F137/(1-$F137)*(FP137+FZ137)-FQ137)),0)</f>
        <v>2088.59898803766</v>
      </c>
      <c r="GC137" s="84" t="n">
        <f aca="false">FT137-FW137-FZ137-GB137</f>
        <v>3973.61271542573</v>
      </c>
      <c r="GD137" s="84" t="n">
        <f aca="false">FW137+FZ137+(1-$F137)*GC137</f>
        <v>3646.93948702554</v>
      </c>
      <c r="GE137" s="84" t="n">
        <f aca="false">GB137+$F137*GC137</f>
        <v>2883.32153112281</v>
      </c>
      <c r="GF137" s="84" t="n">
        <f aca="false">FP137+FZ137+(1-$F137)*GC137</f>
        <v>11533.2861244912</v>
      </c>
      <c r="GG137" s="84" t="n">
        <f aca="false">FQ137+GE137</f>
        <v>2883.32153112281</v>
      </c>
      <c r="GH137" s="133" t="n">
        <f aca="false">FU137+$D137*Inputs!$L$13-$D137*$E137</f>
        <v>25851.0440725934</v>
      </c>
      <c r="GI137" s="84" t="n">
        <f aca="false">GH137*(1+$I137)</f>
        <v>31796.7842092899</v>
      </c>
      <c r="GJ137" s="133" t="n">
        <f aca="false">GI137*Inputs!$L$14</f>
        <v>31796.7842092899</v>
      </c>
      <c r="GK137" s="84" t="n">
        <f aca="false">GI137-GJ137</f>
        <v>0</v>
      </c>
      <c r="GL137" s="133" t="n">
        <f aca="false">FX137+$D137*Inputs!$L$13</f>
        <v>0</v>
      </c>
      <c r="GM137" s="84" t="n">
        <f aca="false">MIN(GJ137,GL137)</f>
        <v>0</v>
      </c>
      <c r="GN137" s="84" t="n">
        <f aca="false">GL137-GM137</f>
        <v>0</v>
      </c>
      <c r="GO137" s="84" t="n">
        <f aca="false">GA137+$G137*(GL137+GA137)</f>
        <v>0</v>
      </c>
      <c r="GP137" s="84" t="n">
        <f aca="false">MIN(GJ137-GM137,GO137)</f>
        <v>0</v>
      </c>
      <c r="GQ137" s="84" t="n">
        <f aca="false">GO137-GP137</f>
        <v>0</v>
      </c>
      <c r="GR137" s="84" t="n">
        <f aca="false">IF($H137=1,MIN(GJ137-GM137-GP137,MAX(0,$F137/(1-$F137)*(GF137+GP137)-GG137)),0)</f>
        <v>0</v>
      </c>
      <c r="GS137" s="84" t="n">
        <f aca="false">GJ137-GM137-GP137-GR137</f>
        <v>31796.7842092899</v>
      </c>
      <c r="GT137" s="84" t="n">
        <f aca="false">GM137+GP137+(1-$F137)*GS137</f>
        <v>25437.4273674319</v>
      </c>
      <c r="GU137" s="84" t="n">
        <f aca="false">GR137+$F137*GS137</f>
        <v>6359.35684185798</v>
      </c>
      <c r="GV137" s="84" t="n">
        <f aca="false">GF137+GP137+(1-$F137)*GS137</f>
        <v>36970.7134919231</v>
      </c>
      <c r="GW137" s="84" t="n">
        <f aca="false">GG137+GU137</f>
        <v>9242.67837298078</v>
      </c>
    </row>
    <row r="138" customFormat="false" ht="15" hidden="false" customHeight="false" outlineLevel="0" collapsed="false">
      <c r="A138" s="5" t="s">
        <v>640</v>
      </c>
      <c r="B138" s="5" t="s">
        <v>428</v>
      </c>
      <c r="C138" s="135" t="n">
        <v>24</v>
      </c>
      <c r="D138" s="47" t="n">
        <f aca="false">Inputs!$C$6</f>
        <v>20000</v>
      </c>
      <c r="E138" s="35" t="n">
        <f aca="false">Inputs!$C$19</f>
        <v>0.0135</v>
      </c>
      <c r="F138" s="36" t="n">
        <f aca="false">Inputs!$C$20</f>
        <v>0.2</v>
      </c>
      <c r="G138" s="36" t="n">
        <f aca="false">Inputs!$C$22</f>
        <v>0.08</v>
      </c>
      <c r="H138" s="44" t="n">
        <f aca="false">Inputs!$C$23</f>
        <v>1</v>
      </c>
      <c r="I138" s="132" t="n">
        <f aca="false">Inputs!$C$38+$C138*Inputs!$C$39</f>
        <v>0.24</v>
      </c>
      <c r="J138" s="36" t="n">
        <f aca="false">Inputs!$C$9</f>
        <v>0.15</v>
      </c>
      <c r="K138" s="89" t="n">
        <f aca="false">IRR(W138:AG138,0.1)</f>
        <v>0.197759752481498</v>
      </c>
      <c r="L138" s="45" t="n">
        <f aca="false">W138+NPV($J138,X138:AG138)</f>
        <v>4237.30761864105</v>
      </c>
      <c r="M138" s="45" t="n">
        <f aca="false">SUM(BF138,BV138,CL138,DB138,DR138,EH138,EX138,FN138,GD138,GT138)</f>
        <v>60066.655638087</v>
      </c>
      <c r="N138" s="43" t="n">
        <f aca="false">IF($D138*SUM(Inputs!$C$13:$L$13)=0,0,M138/($D138*SUM(Inputs!$C$13:$L$13)))</f>
        <v>3.00333278190435</v>
      </c>
      <c r="O138" s="42" t="n">
        <f aca="false">$D138*$E138*COLUMNS(Inputs!$C$13:$L$13)</f>
        <v>2700</v>
      </c>
      <c r="P138" s="45" t="n">
        <f aca="false">SUM(BG138,BW138,CM138,DC138,DS138,EI138,EY138,FO138,GE138,GU138)</f>
        <v>10016.6639095217</v>
      </c>
      <c r="Q138" s="42" t="n">
        <f aca="false">PV($J138,COLUMNS(Inputs!$C$13:$L$13),-$D138*$E138,0,1)</f>
        <v>1558.32765832774</v>
      </c>
      <c r="R138" s="45" t="n">
        <f aca="false">NPV($J138,BG138,BW138,CM138,DC138,DS138,EI138,EY138,FO138,GE138,GU138)</f>
        <v>2629.63712096924</v>
      </c>
      <c r="S138" s="45" t="n">
        <f aca="false">Q138+R138</f>
        <v>4187.96477929698</v>
      </c>
      <c r="T138" s="32" t="n">
        <f aca="false">IF(S138=0,0,Q138/S138)</f>
        <v>0.372096648479773</v>
      </c>
      <c r="U138" s="45" t="n">
        <f aca="false">ROUND(ABS(GK138)+ABS(SUM(AV138,BL138,CB138,CR138,DH138,DX138,EN138,FD138,FT138,GJ138)-M138-P138)+ABS(S138-(AH138+NPV($J138,AI138:AR138))),6)</f>
        <v>0</v>
      </c>
      <c r="W138" s="133" t="n">
        <f aca="false">-$D138*Inputs!$C$13</f>
        <v>-4000</v>
      </c>
      <c r="X138" s="133" t="n">
        <f aca="false">BF138-$D138*Inputs!$D$13</f>
        <v>-4000</v>
      </c>
      <c r="Y138" s="133" t="n">
        <f aca="false">BV138-$D138*Inputs!$E$13</f>
        <v>-4000</v>
      </c>
      <c r="Z138" s="133" t="n">
        <f aca="false">CL138-$D138*Inputs!$F$13</f>
        <v>-4000</v>
      </c>
      <c r="AA138" s="133" t="n">
        <f aca="false">DB138-$D138*Inputs!$G$13</f>
        <v>-4000</v>
      </c>
      <c r="AB138" s="133" t="n">
        <f aca="false">DR138-$D138*Inputs!$H$13</f>
        <v>7445.1268655104</v>
      </c>
      <c r="AC138" s="133" t="n">
        <f aca="false">EH138-$D138*Inputs!$I$13</f>
        <v>7318.60585058632</v>
      </c>
      <c r="AD138" s="133" t="n">
        <f aca="false">EX138-$D138*Inputs!$J$13</f>
        <v>7193.09700378163</v>
      </c>
      <c r="AE138" s="133" t="n">
        <f aca="false">FN138-$D138*Inputs!$K$13</f>
        <v>6242.10107300773</v>
      </c>
      <c r="AF138" s="133" t="n">
        <f aca="false">GD138-$D138*Inputs!$L$13</f>
        <v>4577.47355716119</v>
      </c>
      <c r="AG138" s="84" t="n">
        <f aca="false">GT138</f>
        <v>27290.2512880397</v>
      </c>
      <c r="AH138" s="84" t="n">
        <f aca="false">$D138*$E138</f>
        <v>270</v>
      </c>
      <c r="AI138" s="84" t="n">
        <f aca="false">BG138+$D138*$E138</f>
        <v>270</v>
      </c>
      <c r="AJ138" s="84" t="n">
        <f aca="false">BW138+$D138*$E138</f>
        <v>270</v>
      </c>
      <c r="AK138" s="84" t="n">
        <f aca="false">CM138+$D138*$E138</f>
        <v>270</v>
      </c>
      <c r="AL138" s="84" t="n">
        <f aca="false">DC138+$D138*$E138</f>
        <v>270</v>
      </c>
      <c r="AM138" s="84" t="n">
        <f aca="false">DS138+$D138*$E138</f>
        <v>270</v>
      </c>
      <c r="AN138" s="84" t="n">
        <f aca="false">EI138+$D138*$E138</f>
        <v>270</v>
      </c>
      <c r="AO138" s="84" t="n">
        <f aca="false">EY138+$D138*$E138</f>
        <v>270</v>
      </c>
      <c r="AP138" s="84" t="n">
        <f aca="false">FO138+$D138*$E138</f>
        <v>1096.49115474364</v>
      </c>
      <c r="AQ138" s="84" t="n">
        <f aca="false">GE138+$D138*$E138</f>
        <v>2637.60993276818</v>
      </c>
      <c r="AR138" s="84" t="n">
        <f aca="false">GU138</f>
        <v>6822.56282200993</v>
      </c>
      <c r="AT138" s="133" t="n">
        <f aca="false">$D138*Inputs!$C$13-$D138*$E138</f>
        <v>3730</v>
      </c>
      <c r="AU138" s="84" t="n">
        <f aca="false">AT138*(1+$I138)</f>
        <v>4625.2</v>
      </c>
      <c r="AV138" s="133" t="n">
        <f aca="false">AU138*Inputs!$C$14</f>
        <v>0</v>
      </c>
      <c r="AW138" s="84" t="n">
        <f aca="false">AU138-AV138</f>
        <v>4625.2</v>
      </c>
      <c r="AX138" s="133" t="n">
        <f aca="false">$D138*Inputs!$C$13</f>
        <v>4000</v>
      </c>
      <c r="AY138" s="84" t="n">
        <f aca="false">MIN(AV138,AX138)</f>
        <v>0</v>
      </c>
      <c r="AZ138" s="84" t="n">
        <f aca="false">AX138-AY138</f>
        <v>4000</v>
      </c>
      <c r="BA138" s="84" t="n">
        <f aca="false">$G138*AX138</f>
        <v>320</v>
      </c>
      <c r="BB138" s="84" t="n">
        <f aca="false">MIN(AV138-AY138,BA138)</f>
        <v>0</v>
      </c>
      <c r="BC138" s="84" t="n">
        <f aca="false">BA138-BB138</f>
        <v>320</v>
      </c>
      <c r="BD138" s="84" t="n">
        <f aca="false">IF($H138=1,MIN(AV138-AY138-BB138,MAX(0,$F138/(1-$F138)*BB138)),0)</f>
        <v>0</v>
      </c>
      <c r="BE138" s="84" t="n">
        <f aca="false">AV138-AY138-BB138-BD138</f>
        <v>0</v>
      </c>
      <c r="BF138" s="84" t="n">
        <f aca="false">AY138+BB138+(1-$F138)*BE138</f>
        <v>0</v>
      </c>
      <c r="BG138" s="84" t="n">
        <f aca="false">BD138+$F138*BE138</f>
        <v>0</v>
      </c>
      <c r="BH138" s="84" t="n">
        <f aca="false">BB138+(1-$F138)*BE138</f>
        <v>0</v>
      </c>
      <c r="BI138" s="84" t="n">
        <f aca="false">BG138</f>
        <v>0</v>
      </c>
      <c r="BJ138" s="133" t="n">
        <f aca="false">AW138+$D138*Inputs!$D$13-$D138*$E138</f>
        <v>8355.2</v>
      </c>
      <c r="BK138" s="84" t="n">
        <f aca="false">BJ138*(1+$I138)</f>
        <v>10360.448</v>
      </c>
      <c r="BL138" s="133" t="n">
        <f aca="false">BK138*Inputs!$D$14</f>
        <v>0</v>
      </c>
      <c r="BM138" s="84" t="n">
        <f aca="false">BK138-BL138</f>
        <v>10360.448</v>
      </c>
      <c r="BN138" s="133" t="n">
        <f aca="false">AZ138+$D138*Inputs!$D$13</f>
        <v>8000</v>
      </c>
      <c r="BO138" s="84" t="n">
        <f aca="false">MIN(BL138,BN138)</f>
        <v>0</v>
      </c>
      <c r="BP138" s="84" t="n">
        <f aca="false">BN138-BO138</f>
        <v>8000</v>
      </c>
      <c r="BQ138" s="84" t="n">
        <f aca="false">BC138+$G138*(BN138+BC138)</f>
        <v>985.6</v>
      </c>
      <c r="BR138" s="84" t="n">
        <f aca="false">MIN(BL138-BO138,BQ138)</f>
        <v>0</v>
      </c>
      <c r="BS138" s="84" t="n">
        <f aca="false">BQ138-BR138</f>
        <v>985.6</v>
      </c>
      <c r="BT138" s="84" t="n">
        <f aca="false">IF($H138=1,MIN(BL138-BO138-BR138,MAX(0,$F138/(1-$F138)*(BH138+BR138)-BI138)),0)</f>
        <v>0</v>
      </c>
      <c r="BU138" s="84" t="n">
        <f aca="false">BL138-BO138-BR138-BT138</f>
        <v>0</v>
      </c>
      <c r="BV138" s="84" t="n">
        <f aca="false">BO138+BR138+(1-$F138)*BU138</f>
        <v>0</v>
      </c>
      <c r="BW138" s="84" t="n">
        <f aca="false">BT138+$F138*BU138</f>
        <v>0</v>
      </c>
      <c r="BX138" s="84" t="n">
        <f aca="false">BH138+BR138+(1-$F138)*BU138</f>
        <v>0</v>
      </c>
      <c r="BY138" s="84" t="n">
        <f aca="false">BI138+BW138</f>
        <v>0</v>
      </c>
      <c r="BZ138" s="133" t="n">
        <f aca="false">BM138+$D138*Inputs!$E$13-$D138*$E138</f>
        <v>14090.448</v>
      </c>
      <c r="CA138" s="84" t="n">
        <f aca="false">BZ138*(1+$I138)</f>
        <v>17472.15552</v>
      </c>
      <c r="CB138" s="133" t="n">
        <f aca="false">CA138*Inputs!$E$14</f>
        <v>0</v>
      </c>
      <c r="CC138" s="84" t="n">
        <f aca="false">CA138-CB138</f>
        <v>17472.15552</v>
      </c>
      <c r="CD138" s="133" t="n">
        <f aca="false">BP138+$D138*Inputs!$E$13</f>
        <v>12000</v>
      </c>
      <c r="CE138" s="84" t="n">
        <f aca="false">MIN(CB138,CD138)</f>
        <v>0</v>
      </c>
      <c r="CF138" s="84" t="n">
        <f aca="false">CD138-CE138</f>
        <v>12000</v>
      </c>
      <c r="CG138" s="84" t="n">
        <f aca="false">BS138+$G138*(CD138+BS138)</f>
        <v>2024.448</v>
      </c>
      <c r="CH138" s="84" t="n">
        <f aca="false">MIN(CB138-CE138,CG138)</f>
        <v>0</v>
      </c>
      <c r="CI138" s="84" t="n">
        <f aca="false">CG138-CH138</f>
        <v>2024.448</v>
      </c>
      <c r="CJ138" s="84" t="n">
        <f aca="false">IF($H138=1,MIN(CB138-CE138-CH138,MAX(0,$F138/(1-$F138)*(BX138+CH138)-BY138)),0)</f>
        <v>0</v>
      </c>
      <c r="CK138" s="84" t="n">
        <f aca="false">CB138-CE138-CH138-CJ138</f>
        <v>0</v>
      </c>
      <c r="CL138" s="84" t="n">
        <f aca="false">CE138+CH138+(1-$F138)*CK138</f>
        <v>0</v>
      </c>
      <c r="CM138" s="84" t="n">
        <f aca="false">CJ138+$F138*CK138</f>
        <v>0</v>
      </c>
      <c r="CN138" s="84" t="n">
        <f aca="false">BX138+CH138+(1-$F138)*CK138</f>
        <v>0</v>
      </c>
      <c r="CO138" s="84" t="n">
        <f aca="false">BY138+CM138</f>
        <v>0</v>
      </c>
      <c r="CP138" s="133" t="n">
        <f aca="false">CC138+$D138*Inputs!$F$13-$D138*$E138</f>
        <v>21202.15552</v>
      </c>
      <c r="CQ138" s="84" t="n">
        <f aca="false">CP138*(1+$I138)</f>
        <v>26290.6728448</v>
      </c>
      <c r="CR138" s="133" t="n">
        <f aca="false">CQ138*Inputs!$F$14</f>
        <v>0</v>
      </c>
      <c r="CS138" s="84" t="n">
        <f aca="false">CQ138-CR138</f>
        <v>26290.6728448</v>
      </c>
      <c r="CT138" s="133" t="n">
        <f aca="false">CF138+$D138*Inputs!$F$13</f>
        <v>16000</v>
      </c>
      <c r="CU138" s="84" t="n">
        <f aca="false">MIN(CR138,CT138)</f>
        <v>0</v>
      </c>
      <c r="CV138" s="84" t="n">
        <f aca="false">CT138-CU138</f>
        <v>16000</v>
      </c>
      <c r="CW138" s="84" t="n">
        <f aca="false">CI138+$G138*(CT138+CI138)</f>
        <v>3466.40384</v>
      </c>
      <c r="CX138" s="84" t="n">
        <f aca="false">MIN(CR138-CU138,CW138)</f>
        <v>0</v>
      </c>
      <c r="CY138" s="84" t="n">
        <f aca="false">CW138-CX138</f>
        <v>3466.40384</v>
      </c>
      <c r="CZ138" s="84" t="n">
        <f aca="false">IF($H138=1,MIN(CR138-CU138-CX138,MAX(0,$F138/(1-$F138)*(CN138+CX138)-CO138)),0)</f>
        <v>0</v>
      </c>
      <c r="DA138" s="84" t="n">
        <f aca="false">CR138-CU138-CX138-CZ138</f>
        <v>0</v>
      </c>
      <c r="DB138" s="84" t="n">
        <f aca="false">CU138+CX138+(1-$F138)*DA138</f>
        <v>0</v>
      </c>
      <c r="DC138" s="84" t="n">
        <f aca="false">CZ138+$F138*DA138</f>
        <v>0</v>
      </c>
      <c r="DD138" s="84" t="n">
        <f aca="false">CN138+CX138+(1-$F138)*DA138</f>
        <v>0</v>
      </c>
      <c r="DE138" s="84" t="n">
        <f aca="false">CO138+DC138</f>
        <v>0</v>
      </c>
      <c r="DF138" s="133" t="n">
        <f aca="false">CS138+$D138*Inputs!$G$13-$D138*$E138</f>
        <v>30020.6728448</v>
      </c>
      <c r="DG138" s="84" t="n">
        <f aca="false">DF138*(1+$I138)</f>
        <v>37225.634327552</v>
      </c>
      <c r="DH138" s="133" t="n">
        <f aca="false">DG138*Inputs!$G$14</f>
        <v>7445.1268655104</v>
      </c>
      <c r="DI138" s="84" t="n">
        <f aca="false">DG138-DH138</f>
        <v>29780.5074620416</v>
      </c>
      <c r="DJ138" s="133" t="n">
        <f aca="false">CV138+$D138*Inputs!$G$13</f>
        <v>20000</v>
      </c>
      <c r="DK138" s="84" t="n">
        <f aca="false">MIN(DH138,DJ138)</f>
        <v>7445.1268655104</v>
      </c>
      <c r="DL138" s="84" t="n">
        <f aca="false">DJ138-DK138</f>
        <v>12554.8731344896</v>
      </c>
      <c r="DM138" s="84" t="n">
        <f aca="false">CY138+$G138*(DJ138+CY138)</f>
        <v>5343.7161472</v>
      </c>
      <c r="DN138" s="84" t="n">
        <f aca="false">MIN(DH138-DK138,DM138)</f>
        <v>0</v>
      </c>
      <c r="DO138" s="84" t="n">
        <f aca="false">DM138-DN138</f>
        <v>5343.7161472</v>
      </c>
      <c r="DP138" s="84" t="n">
        <f aca="false">IF($H138=1,MIN(DH138-DK138-DN138,MAX(0,$F138/(1-$F138)*(DD138+DN138)-DE138)),0)</f>
        <v>0</v>
      </c>
      <c r="DQ138" s="84" t="n">
        <f aca="false">DH138-DK138-DN138-DP138</f>
        <v>0</v>
      </c>
      <c r="DR138" s="84" t="n">
        <f aca="false">DK138+DN138+(1-$F138)*DQ138</f>
        <v>7445.1268655104</v>
      </c>
      <c r="DS138" s="84" t="n">
        <f aca="false">DP138+$F138*DQ138</f>
        <v>0</v>
      </c>
      <c r="DT138" s="84" t="n">
        <f aca="false">DD138+DN138+(1-$F138)*DQ138</f>
        <v>0</v>
      </c>
      <c r="DU138" s="84" t="n">
        <f aca="false">DE138+DS138</f>
        <v>0</v>
      </c>
      <c r="DV138" s="133" t="n">
        <f aca="false">DI138+$D138*Inputs!$H$13-$D138*$E138</f>
        <v>29510.5074620416</v>
      </c>
      <c r="DW138" s="84" t="n">
        <f aca="false">DV138*(1+$I138)</f>
        <v>36593.0292529316</v>
      </c>
      <c r="DX138" s="133" t="n">
        <f aca="false">DW138*Inputs!$H$14</f>
        <v>7318.60585058632</v>
      </c>
      <c r="DY138" s="84" t="n">
        <f aca="false">DW138-DX138</f>
        <v>29274.4234023453</v>
      </c>
      <c r="DZ138" s="133" t="n">
        <f aca="false">DL138+$D138*Inputs!$H$13</f>
        <v>12554.8731344896</v>
      </c>
      <c r="EA138" s="84" t="n">
        <f aca="false">MIN(DX138,DZ138)</f>
        <v>7318.60585058632</v>
      </c>
      <c r="EB138" s="84" t="n">
        <f aca="false">DZ138-EA138</f>
        <v>5236.26728390328</v>
      </c>
      <c r="EC138" s="84" t="n">
        <f aca="false">DO138+$G138*(DZ138+DO138)</f>
        <v>6775.60328973517</v>
      </c>
      <c r="ED138" s="84" t="n">
        <f aca="false">MIN(DX138-EA138,EC138)</f>
        <v>0</v>
      </c>
      <c r="EE138" s="84" t="n">
        <f aca="false">EC138-ED138</f>
        <v>6775.60328973517</v>
      </c>
      <c r="EF138" s="84" t="n">
        <f aca="false">IF($H138=1,MIN(DX138-EA138-ED138,MAX(0,$F138/(1-$F138)*(DT138+ED138)-DU138)),0)</f>
        <v>0</v>
      </c>
      <c r="EG138" s="84" t="n">
        <f aca="false">DX138-EA138-ED138-EF138</f>
        <v>0</v>
      </c>
      <c r="EH138" s="84" t="n">
        <f aca="false">EA138+ED138+(1-$F138)*EG138</f>
        <v>7318.60585058632</v>
      </c>
      <c r="EI138" s="84" t="n">
        <f aca="false">EF138+$F138*EG138</f>
        <v>0</v>
      </c>
      <c r="EJ138" s="84" t="n">
        <f aca="false">DT138+ED138+(1-$F138)*EG138</f>
        <v>0</v>
      </c>
      <c r="EK138" s="84" t="n">
        <f aca="false">DU138+EI138</f>
        <v>0</v>
      </c>
      <c r="EL138" s="133" t="n">
        <f aca="false">DY138+$D138*Inputs!$I$13-$D138*$E138</f>
        <v>29004.4234023453</v>
      </c>
      <c r="EM138" s="84" t="n">
        <f aca="false">EL138*(1+$I138)</f>
        <v>35965.4850189081</v>
      </c>
      <c r="EN138" s="133" t="n">
        <f aca="false">EM138*Inputs!$I$14</f>
        <v>7193.09700378163</v>
      </c>
      <c r="EO138" s="84" t="n">
        <f aca="false">EM138-EN138</f>
        <v>28772.3880151265</v>
      </c>
      <c r="EP138" s="133" t="n">
        <f aca="false">EB138+$D138*Inputs!$I$13</f>
        <v>5236.26728390328</v>
      </c>
      <c r="EQ138" s="84" t="n">
        <f aca="false">MIN(EN138,EP138)</f>
        <v>5236.26728390328</v>
      </c>
      <c r="ER138" s="84" t="n">
        <f aca="false">EP138-EQ138</f>
        <v>0</v>
      </c>
      <c r="ES138" s="84" t="n">
        <f aca="false">EE138+$G138*(EP138+EE138)</f>
        <v>7736.55293562624</v>
      </c>
      <c r="ET138" s="84" t="n">
        <f aca="false">MIN(EN138-EQ138,ES138)</f>
        <v>1956.82971987834</v>
      </c>
      <c r="EU138" s="84" t="n">
        <f aca="false">ES138-ET138</f>
        <v>5779.7232157479</v>
      </c>
      <c r="EV138" s="84" t="n">
        <f aca="false">IF($H138=1,MIN(EN138-EQ138-ET138,MAX(0,$F138/(1-$F138)*(EJ138+ET138)-EK138)),0)</f>
        <v>0</v>
      </c>
      <c r="EW138" s="84" t="n">
        <f aca="false">EN138-EQ138-ET138-EV138</f>
        <v>0</v>
      </c>
      <c r="EX138" s="84" t="n">
        <f aca="false">EQ138+ET138+(1-$F138)*EW138</f>
        <v>7193.09700378163</v>
      </c>
      <c r="EY138" s="84" t="n">
        <f aca="false">EV138+$F138*EW138</f>
        <v>0</v>
      </c>
      <c r="EZ138" s="84" t="n">
        <f aca="false">EJ138+ET138+(1-$F138)*EW138</f>
        <v>1956.82971987834</v>
      </c>
      <c r="FA138" s="84" t="n">
        <f aca="false">EK138+EY138</f>
        <v>0</v>
      </c>
      <c r="FB138" s="133" t="n">
        <f aca="false">EO138+$D138*Inputs!$J$13-$D138*$E138</f>
        <v>28502.3880151265</v>
      </c>
      <c r="FC138" s="84" t="n">
        <f aca="false">FB138*(1+$I138)</f>
        <v>35342.9611387569</v>
      </c>
      <c r="FD138" s="133" t="n">
        <f aca="false">FC138*Inputs!$J$14</f>
        <v>7068.59222775137</v>
      </c>
      <c r="FE138" s="84" t="n">
        <f aca="false">FC138-FD138</f>
        <v>28274.3689110055</v>
      </c>
      <c r="FF138" s="133" t="n">
        <f aca="false">ER138+$D138*Inputs!$J$13</f>
        <v>0</v>
      </c>
      <c r="FG138" s="84" t="n">
        <f aca="false">MIN(FD138,FF138)</f>
        <v>0</v>
      </c>
      <c r="FH138" s="84" t="n">
        <f aca="false">FF138-FG138</f>
        <v>0</v>
      </c>
      <c r="FI138" s="84" t="n">
        <f aca="false">EU138+$G138*(FF138+EU138)</f>
        <v>6242.10107300773</v>
      </c>
      <c r="FJ138" s="84" t="n">
        <f aca="false">MIN(FD138-FG138,FI138)</f>
        <v>6242.10107300773</v>
      </c>
      <c r="FK138" s="84" t="n">
        <f aca="false">FI138-FJ138</f>
        <v>0</v>
      </c>
      <c r="FL138" s="84" t="n">
        <f aca="false">IF($H138=1,MIN(FD138-FG138-FJ138,MAX(0,$F138/(1-$F138)*(EZ138+FJ138)-FA138)),0)</f>
        <v>826.491154743641</v>
      </c>
      <c r="FM138" s="84" t="n">
        <f aca="false">FD138-FG138-FJ138-FL138</f>
        <v>0</v>
      </c>
      <c r="FN138" s="84" t="n">
        <f aca="false">FG138+FJ138+(1-$F138)*FM138</f>
        <v>6242.10107300773</v>
      </c>
      <c r="FO138" s="84" t="n">
        <f aca="false">FL138+$F138*FM138</f>
        <v>826.491154743641</v>
      </c>
      <c r="FP138" s="84" t="n">
        <f aca="false">EZ138+FJ138+(1-$F138)*FM138</f>
        <v>8198.93079288608</v>
      </c>
      <c r="FQ138" s="84" t="n">
        <f aca="false">FA138+FO138</f>
        <v>826.491154743641</v>
      </c>
      <c r="FR138" s="133" t="n">
        <f aca="false">FE138+$D138*Inputs!$K$13-$D138*$E138</f>
        <v>28004.3689110055</v>
      </c>
      <c r="FS138" s="84" t="n">
        <f aca="false">FR138*(1+$I138)</f>
        <v>34725.4174496468</v>
      </c>
      <c r="FT138" s="133" t="n">
        <f aca="false">FS138*Inputs!$K$14</f>
        <v>6945.08348992936</v>
      </c>
      <c r="FU138" s="84" t="n">
        <f aca="false">FS138-FT138</f>
        <v>27780.3339597175</v>
      </c>
      <c r="FV138" s="133" t="n">
        <f aca="false">FH138+$D138*Inputs!$K$13</f>
        <v>0</v>
      </c>
      <c r="FW138" s="84" t="n">
        <f aca="false">MIN(FT138,FV138)</f>
        <v>0</v>
      </c>
      <c r="FX138" s="84" t="n">
        <f aca="false">FV138-FW138</f>
        <v>0</v>
      </c>
      <c r="FY138" s="84" t="n">
        <f aca="false">FK138+$G138*(FV138+FK138)</f>
        <v>0</v>
      </c>
      <c r="FZ138" s="84" t="n">
        <f aca="false">MIN(FT138-FW138,FY138)</f>
        <v>0</v>
      </c>
      <c r="GA138" s="84" t="n">
        <f aca="false">FY138-FZ138</f>
        <v>0</v>
      </c>
      <c r="GB138" s="84" t="n">
        <f aca="false">IF($H138=1,MIN(FT138-FW138-FZ138,MAX(0,$F138/(1-$F138)*(FP138+FZ138)-FQ138)),0)</f>
        <v>1223.24154347788</v>
      </c>
      <c r="GC138" s="84" t="n">
        <f aca="false">FT138-FW138-FZ138-GB138</f>
        <v>5721.84194645149</v>
      </c>
      <c r="GD138" s="84" t="n">
        <f aca="false">FW138+FZ138+(1-$F138)*GC138</f>
        <v>4577.47355716119</v>
      </c>
      <c r="GE138" s="84" t="n">
        <f aca="false">GB138+$F138*GC138</f>
        <v>2367.60993276818</v>
      </c>
      <c r="GF138" s="84" t="n">
        <f aca="false">FP138+FZ138+(1-$F138)*GC138</f>
        <v>12776.4043500473</v>
      </c>
      <c r="GG138" s="84" t="n">
        <f aca="false">FQ138+GE138</f>
        <v>3194.10108751182</v>
      </c>
      <c r="GH138" s="133" t="n">
        <f aca="false">FU138+$D138*Inputs!$L$13-$D138*$E138</f>
        <v>27510.3339597175</v>
      </c>
      <c r="GI138" s="84" t="n">
        <f aca="false">GH138*(1+$I138)</f>
        <v>34112.8141100496</v>
      </c>
      <c r="GJ138" s="133" t="n">
        <f aca="false">GI138*Inputs!$L$14</f>
        <v>34112.8141100496</v>
      </c>
      <c r="GK138" s="84" t="n">
        <f aca="false">GI138-GJ138</f>
        <v>0</v>
      </c>
      <c r="GL138" s="133" t="n">
        <f aca="false">FX138+$D138*Inputs!$L$13</f>
        <v>0</v>
      </c>
      <c r="GM138" s="84" t="n">
        <f aca="false">MIN(GJ138,GL138)</f>
        <v>0</v>
      </c>
      <c r="GN138" s="84" t="n">
        <f aca="false">GL138-GM138</f>
        <v>0</v>
      </c>
      <c r="GO138" s="84" t="n">
        <f aca="false">GA138+$G138*(GL138+GA138)</f>
        <v>0</v>
      </c>
      <c r="GP138" s="84" t="n">
        <f aca="false">MIN(GJ138-GM138,GO138)</f>
        <v>0</v>
      </c>
      <c r="GQ138" s="84" t="n">
        <f aca="false">GO138-GP138</f>
        <v>0</v>
      </c>
      <c r="GR138" s="84" t="n">
        <f aca="false">IF($H138=1,MIN(GJ138-GM138-GP138,MAX(0,$F138/(1-$F138)*(GF138+GP138)-GG138)),0)</f>
        <v>0</v>
      </c>
      <c r="GS138" s="84" t="n">
        <f aca="false">GJ138-GM138-GP138-GR138</f>
        <v>34112.8141100496</v>
      </c>
      <c r="GT138" s="84" t="n">
        <f aca="false">GM138+GP138+(1-$F138)*GS138</f>
        <v>27290.2512880397</v>
      </c>
      <c r="GU138" s="84" t="n">
        <f aca="false">GR138+$F138*GS138</f>
        <v>6822.56282200993</v>
      </c>
      <c r="GV138" s="84" t="n">
        <f aca="false">GF138+GP138+(1-$F138)*GS138</f>
        <v>40066.655638087</v>
      </c>
      <c r="GW138" s="84" t="n">
        <f aca="false">GG138+GU138</f>
        <v>10016.6639095217</v>
      </c>
    </row>
    <row r="139" customFormat="false" ht="15" hidden="false" customHeight="false" outlineLevel="0" collapsed="false">
      <c r="A139" s="5" t="s">
        <v>640</v>
      </c>
      <c r="B139" s="5" t="s">
        <v>428</v>
      </c>
      <c r="C139" s="135" t="n">
        <v>25</v>
      </c>
      <c r="D139" s="47" t="n">
        <f aca="false">Inputs!$C$6</f>
        <v>20000</v>
      </c>
      <c r="E139" s="35" t="n">
        <f aca="false">Inputs!$C$19</f>
        <v>0.0135</v>
      </c>
      <c r="F139" s="36" t="n">
        <f aca="false">Inputs!$C$20</f>
        <v>0.2</v>
      </c>
      <c r="G139" s="36" t="n">
        <f aca="false">Inputs!$C$22</f>
        <v>0.08</v>
      </c>
      <c r="H139" s="44" t="n">
        <f aca="false">Inputs!$C$23</f>
        <v>1</v>
      </c>
      <c r="I139" s="132" t="n">
        <f aca="false">Inputs!$C$38+$C139*Inputs!$C$39</f>
        <v>0.25</v>
      </c>
      <c r="J139" s="36" t="n">
        <f aca="false">Inputs!$C$9</f>
        <v>0.15</v>
      </c>
      <c r="K139" s="89" t="n">
        <f aca="false">IRR(W139:AG139,0.1)</f>
        <v>0.206745525290629</v>
      </c>
      <c r="L139" s="45" t="n">
        <f aca="false">W139+NPV($J139,X139:AG139)</f>
        <v>5171.17304286239</v>
      </c>
      <c r="M139" s="45" t="n">
        <f aca="false">SUM(BF139,BV139,CL139,DB139,DR139,EH139,EX139,FN139,GD139,GT139)</f>
        <v>63334.453125</v>
      </c>
      <c r="N139" s="43" t="n">
        <f aca="false">IF($D139*SUM(Inputs!$C$13:$L$13)=0,0,M139/($D139*SUM(Inputs!$C$13:$L$13)))</f>
        <v>3.16672265625</v>
      </c>
      <c r="O139" s="42" t="n">
        <f aca="false">$D139*$E139*COLUMNS(Inputs!$C$13:$L$13)</f>
        <v>2700</v>
      </c>
      <c r="P139" s="45" t="n">
        <f aca="false">SUM(BG139,BW139,CM139,DC139,DS139,EI139,EY139,FO139,GE139,GU139)</f>
        <v>10833.61328125</v>
      </c>
      <c r="Q139" s="42" t="n">
        <f aca="false">PV($J139,COLUMNS(Inputs!$C$13:$L$13),-$D139*$E139,0,1)</f>
        <v>1558.32765832774</v>
      </c>
      <c r="R139" s="45" t="n">
        <f aca="false">NPV($J139,BG139,BW139,CM139,DC139,DS139,EI139,EY139,FO139,GE139,GU139)</f>
        <v>2895.39090997556</v>
      </c>
      <c r="S139" s="45" t="n">
        <f aca="false">Q139+R139</f>
        <v>4453.7185683033</v>
      </c>
      <c r="T139" s="32" t="n">
        <f aca="false">IF(S139=0,0,Q139/S139)</f>
        <v>0.349893607875947</v>
      </c>
      <c r="U139" s="45" t="n">
        <f aca="false">ROUND(ABS(GK139)+ABS(SUM(AV139,BL139,CB139,CR139,DH139,DX139,EN139,FD139,FT139,GJ139)-M139-P139)+ABS(S139-(AH139+NPV($J139,AI139:AR139))),6)</f>
        <v>0</v>
      </c>
      <c r="W139" s="133" t="n">
        <f aca="false">-$D139*Inputs!$C$13</f>
        <v>-4000</v>
      </c>
      <c r="X139" s="133" t="n">
        <f aca="false">BF139-$D139*Inputs!$D$13</f>
        <v>-4000</v>
      </c>
      <c r="Y139" s="133" t="n">
        <f aca="false">BV139-$D139*Inputs!$E$13</f>
        <v>-4000</v>
      </c>
      <c r="Z139" s="133" t="n">
        <f aca="false">CL139-$D139*Inputs!$F$13</f>
        <v>-4000</v>
      </c>
      <c r="AA139" s="133" t="n">
        <f aca="false">DB139-$D139*Inputs!$G$13</f>
        <v>-4000</v>
      </c>
      <c r="AB139" s="133" t="n">
        <f aca="false">DR139-$D139*Inputs!$H$13</f>
        <v>7653.056640625</v>
      </c>
      <c r="AC139" s="133" t="n">
        <f aca="false">EH139-$D139*Inputs!$I$13</f>
        <v>7585.556640625</v>
      </c>
      <c r="AD139" s="133" t="n">
        <f aca="false">EX139-$D139*Inputs!$J$13</f>
        <v>7518.056640625</v>
      </c>
      <c r="AE139" s="133" t="n">
        <f aca="false">FN139-$D139*Inputs!$K$13</f>
        <v>5409.111328125</v>
      </c>
      <c r="AF139" s="133" t="n">
        <f aca="false">GD139-$D139*Inputs!$L$13</f>
        <v>5906.4453125</v>
      </c>
      <c r="AG139" s="84" t="n">
        <f aca="false">GT139</f>
        <v>29262.2265625</v>
      </c>
      <c r="AH139" s="84" t="n">
        <f aca="false">$D139*$E139</f>
        <v>270</v>
      </c>
      <c r="AI139" s="84" t="n">
        <f aca="false">BG139+$D139*$E139</f>
        <v>270</v>
      </c>
      <c r="AJ139" s="84" t="n">
        <f aca="false">BW139+$D139*$E139</f>
        <v>270</v>
      </c>
      <c r="AK139" s="84" t="n">
        <f aca="false">CM139+$D139*$E139</f>
        <v>270</v>
      </c>
      <c r="AL139" s="84" t="n">
        <f aca="false">DC139+$D139*$E139</f>
        <v>270</v>
      </c>
      <c r="AM139" s="84" t="n">
        <f aca="false">DS139+$D139*$E139</f>
        <v>270</v>
      </c>
      <c r="AN139" s="84" t="n">
        <f aca="false">EI139+$D139*$E139</f>
        <v>270</v>
      </c>
      <c r="AO139" s="84" t="n">
        <f aca="false">EY139+$D139*$E139</f>
        <v>270</v>
      </c>
      <c r="AP139" s="84" t="n">
        <f aca="false">FO139+$D139*$E139</f>
        <v>2311.4453125</v>
      </c>
      <c r="AQ139" s="84" t="n">
        <f aca="false">GE139+$D139*$E139</f>
        <v>1746.611328125</v>
      </c>
      <c r="AR139" s="84" t="n">
        <f aca="false">GU139</f>
        <v>7315.556640625</v>
      </c>
      <c r="AT139" s="133" t="n">
        <f aca="false">$D139*Inputs!$C$13-$D139*$E139</f>
        <v>3730</v>
      </c>
      <c r="AU139" s="84" t="n">
        <f aca="false">AT139*(1+$I139)</f>
        <v>4662.5</v>
      </c>
      <c r="AV139" s="133" t="n">
        <f aca="false">AU139*Inputs!$C$14</f>
        <v>0</v>
      </c>
      <c r="AW139" s="84" t="n">
        <f aca="false">AU139-AV139</f>
        <v>4662.5</v>
      </c>
      <c r="AX139" s="133" t="n">
        <f aca="false">$D139*Inputs!$C$13</f>
        <v>4000</v>
      </c>
      <c r="AY139" s="84" t="n">
        <f aca="false">MIN(AV139,AX139)</f>
        <v>0</v>
      </c>
      <c r="AZ139" s="84" t="n">
        <f aca="false">AX139-AY139</f>
        <v>4000</v>
      </c>
      <c r="BA139" s="84" t="n">
        <f aca="false">$G139*AX139</f>
        <v>320</v>
      </c>
      <c r="BB139" s="84" t="n">
        <f aca="false">MIN(AV139-AY139,BA139)</f>
        <v>0</v>
      </c>
      <c r="BC139" s="84" t="n">
        <f aca="false">BA139-BB139</f>
        <v>320</v>
      </c>
      <c r="BD139" s="84" t="n">
        <f aca="false">IF($H139=1,MIN(AV139-AY139-BB139,MAX(0,$F139/(1-$F139)*BB139)),0)</f>
        <v>0</v>
      </c>
      <c r="BE139" s="84" t="n">
        <f aca="false">AV139-AY139-BB139-BD139</f>
        <v>0</v>
      </c>
      <c r="BF139" s="84" t="n">
        <f aca="false">AY139+BB139+(1-$F139)*BE139</f>
        <v>0</v>
      </c>
      <c r="BG139" s="84" t="n">
        <f aca="false">BD139+$F139*BE139</f>
        <v>0</v>
      </c>
      <c r="BH139" s="84" t="n">
        <f aca="false">BB139+(1-$F139)*BE139</f>
        <v>0</v>
      </c>
      <c r="BI139" s="84" t="n">
        <f aca="false">BG139</f>
        <v>0</v>
      </c>
      <c r="BJ139" s="133" t="n">
        <f aca="false">AW139+$D139*Inputs!$D$13-$D139*$E139</f>
        <v>8392.5</v>
      </c>
      <c r="BK139" s="84" t="n">
        <f aca="false">BJ139*(1+$I139)</f>
        <v>10490.625</v>
      </c>
      <c r="BL139" s="133" t="n">
        <f aca="false">BK139*Inputs!$D$14</f>
        <v>0</v>
      </c>
      <c r="BM139" s="84" t="n">
        <f aca="false">BK139-BL139</f>
        <v>10490.625</v>
      </c>
      <c r="BN139" s="133" t="n">
        <f aca="false">AZ139+$D139*Inputs!$D$13</f>
        <v>8000</v>
      </c>
      <c r="BO139" s="84" t="n">
        <f aca="false">MIN(BL139,BN139)</f>
        <v>0</v>
      </c>
      <c r="BP139" s="84" t="n">
        <f aca="false">BN139-BO139</f>
        <v>8000</v>
      </c>
      <c r="BQ139" s="84" t="n">
        <f aca="false">BC139+$G139*(BN139+BC139)</f>
        <v>985.6</v>
      </c>
      <c r="BR139" s="84" t="n">
        <f aca="false">MIN(BL139-BO139,BQ139)</f>
        <v>0</v>
      </c>
      <c r="BS139" s="84" t="n">
        <f aca="false">BQ139-BR139</f>
        <v>985.6</v>
      </c>
      <c r="BT139" s="84" t="n">
        <f aca="false">IF($H139=1,MIN(BL139-BO139-BR139,MAX(0,$F139/(1-$F139)*(BH139+BR139)-BI139)),0)</f>
        <v>0</v>
      </c>
      <c r="BU139" s="84" t="n">
        <f aca="false">BL139-BO139-BR139-BT139</f>
        <v>0</v>
      </c>
      <c r="BV139" s="84" t="n">
        <f aca="false">BO139+BR139+(1-$F139)*BU139</f>
        <v>0</v>
      </c>
      <c r="BW139" s="84" t="n">
        <f aca="false">BT139+$F139*BU139</f>
        <v>0</v>
      </c>
      <c r="BX139" s="84" t="n">
        <f aca="false">BH139+BR139+(1-$F139)*BU139</f>
        <v>0</v>
      </c>
      <c r="BY139" s="84" t="n">
        <f aca="false">BI139+BW139</f>
        <v>0</v>
      </c>
      <c r="BZ139" s="133" t="n">
        <f aca="false">BM139+$D139*Inputs!$E$13-$D139*$E139</f>
        <v>14220.625</v>
      </c>
      <c r="CA139" s="84" t="n">
        <f aca="false">BZ139*(1+$I139)</f>
        <v>17775.78125</v>
      </c>
      <c r="CB139" s="133" t="n">
        <f aca="false">CA139*Inputs!$E$14</f>
        <v>0</v>
      </c>
      <c r="CC139" s="84" t="n">
        <f aca="false">CA139-CB139</f>
        <v>17775.78125</v>
      </c>
      <c r="CD139" s="133" t="n">
        <f aca="false">BP139+$D139*Inputs!$E$13</f>
        <v>12000</v>
      </c>
      <c r="CE139" s="84" t="n">
        <f aca="false">MIN(CB139,CD139)</f>
        <v>0</v>
      </c>
      <c r="CF139" s="84" t="n">
        <f aca="false">CD139-CE139</f>
        <v>12000</v>
      </c>
      <c r="CG139" s="84" t="n">
        <f aca="false">BS139+$G139*(CD139+BS139)</f>
        <v>2024.448</v>
      </c>
      <c r="CH139" s="84" t="n">
        <f aca="false">MIN(CB139-CE139,CG139)</f>
        <v>0</v>
      </c>
      <c r="CI139" s="84" t="n">
        <f aca="false">CG139-CH139</f>
        <v>2024.448</v>
      </c>
      <c r="CJ139" s="84" t="n">
        <f aca="false">IF($H139=1,MIN(CB139-CE139-CH139,MAX(0,$F139/(1-$F139)*(BX139+CH139)-BY139)),0)</f>
        <v>0</v>
      </c>
      <c r="CK139" s="84" t="n">
        <f aca="false">CB139-CE139-CH139-CJ139</f>
        <v>0</v>
      </c>
      <c r="CL139" s="84" t="n">
        <f aca="false">CE139+CH139+(1-$F139)*CK139</f>
        <v>0</v>
      </c>
      <c r="CM139" s="84" t="n">
        <f aca="false">CJ139+$F139*CK139</f>
        <v>0</v>
      </c>
      <c r="CN139" s="84" t="n">
        <f aca="false">BX139+CH139+(1-$F139)*CK139</f>
        <v>0</v>
      </c>
      <c r="CO139" s="84" t="n">
        <f aca="false">BY139+CM139</f>
        <v>0</v>
      </c>
      <c r="CP139" s="133" t="n">
        <f aca="false">CC139+$D139*Inputs!$F$13-$D139*$E139</f>
        <v>21505.78125</v>
      </c>
      <c r="CQ139" s="84" t="n">
        <f aca="false">CP139*(1+$I139)</f>
        <v>26882.2265625</v>
      </c>
      <c r="CR139" s="133" t="n">
        <f aca="false">CQ139*Inputs!$F$14</f>
        <v>0</v>
      </c>
      <c r="CS139" s="84" t="n">
        <f aca="false">CQ139-CR139</f>
        <v>26882.2265625</v>
      </c>
      <c r="CT139" s="133" t="n">
        <f aca="false">CF139+$D139*Inputs!$F$13</f>
        <v>16000</v>
      </c>
      <c r="CU139" s="84" t="n">
        <f aca="false">MIN(CR139,CT139)</f>
        <v>0</v>
      </c>
      <c r="CV139" s="84" t="n">
        <f aca="false">CT139-CU139</f>
        <v>16000</v>
      </c>
      <c r="CW139" s="84" t="n">
        <f aca="false">CI139+$G139*(CT139+CI139)</f>
        <v>3466.40384</v>
      </c>
      <c r="CX139" s="84" t="n">
        <f aca="false">MIN(CR139-CU139,CW139)</f>
        <v>0</v>
      </c>
      <c r="CY139" s="84" t="n">
        <f aca="false">CW139-CX139</f>
        <v>3466.40384</v>
      </c>
      <c r="CZ139" s="84" t="n">
        <f aca="false">IF($H139=1,MIN(CR139-CU139-CX139,MAX(0,$F139/(1-$F139)*(CN139+CX139)-CO139)),0)</f>
        <v>0</v>
      </c>
      <c r="DA139" s="84" t="n">
        <f aca="false">CR139-CU139-CX139-CZ139</f>
        <v>0</v>
      </c>
      <c r="DB139" s="84" t="n">
        <f aca="false">CU139+CX139+(1-$F139)*DA139</f>
        <v>0</v>
      </c>
      <c r="DC139" s="84" t="n">
        <f aca="false">CZ139+$F139*DA139</f>
        <v>0</v>
      </c>
      <c r="DD139" s="84" t="n">
        <f aca="false">CN139+CX139+(1-$F139)*DA139</f>
        <v>0</v>
      </c>
      <c r="DE139" s="84" t="n">
        <f aca="false">CO139+DC139</f>
        <v>0</v>
      </c>
      <c r="DF139" s="133" t="n">
        <f aca="false">CS139+$D139*Inputs!$G$13-$D139*$E139</f>
        <v>30612.2265625</v>
      </c>
      <c r="DG139" s="84" t="n">
        <f aca="false">DF139*(1+$I139)</f>
        <v>38265.283203125</v>
      </c>
      <c r="DH139" s="133" t="n">
        <f aca="false">DG139*Inputs!$G$14</f>
        <v>7653.056640625</v>
      </c>
      <c r="DI139" s="84" t="n">
        <f aca="false">DG139-DH139</f>
        <v>30612.2265625</v>
      </c>
      <c r="DJ139" s="133" t="n">
        <f aca="false">CV139+$D139*Inputs!$G$13</f>
        <v>20000</v>
      </c>
      <c r="DK139" s="84" t="n">
        <f aca="false">MIN(DH139,DJ139)</f>
        <v>7653.056640625</v>
      </c>
      <c r="DL139" s="84" t="n">
        <f aca="false">DJ139-DK139</f>
        <v>12346.943359375</v>
      </c>
      <c r="DM139" s="84" t="n">
        <f aca="false">CY139+$G139*(DJ139+CY139)</f>
        <v>5343.7161472</v>
      </c>
      <c r="DN139" s="84" t="n">
        <f aca="false">MIN(DH139-DK139,DM139)</f>
        <v>0</v>
      </c>
      <c r="DO139" s="84" t="n">
        <f aca="false">DM139-DN139</f>
        <v>5343.7161472</v>
      </c>
      <c r="DP139" s="84" t="n">
        <f aca="false">IF($H139=1,MIN(DH139-DK139-DN139,MAX(0,$F139/(1-$F139)*(DD139+DN139)-DE139)),0)</f>
        <v>0</v>
      </c>
      <c r="DQ139" s="84" t="n">
        <f aca="false">DH139-DK139-DN139-DP139</f>
        <v>0</v>
      </c>
      <c r="DR139" s="84" t="n">
        <f aca="false">DK139+DN139+(1-$F139)*DQ139</f>
        <v>7653.056640625</v>
      </c>
      <c r="DS139" s="84" t="n">
        <f aca="false">DP139+$F139*DQ139</f>
        <v>0</v>
      </c>
      <c r="DT139" s="84" t="n">
        <f aca="false">DD139+DN139+(1-$F139)*DQ139</f>
        <v>0</v>
      </c>
      <c r="DU139" s="84" t="n">
        <f aca="false">DE139+DS139</f>
        <v>0</v>
      </c>
      <c r="DV139" s="133" t="n">
        <f aca="false">DI139+$D139*Inputs!$H$13-$D139*$E139</f>
        <v>30342.2265625</v>
      </c>
      <c r="DW139" s="84" t="n">
        <f aca="false">DV139*(1+$I139)</f>
        <v>37927.783203125</v>
      </c>
      <c r="DX139" s="133" t="n">
        <f aca="false">DW139*Inputs!$H$14</f>
        <v>7585.556640625</v>
      </c>
      <c r="DY139" s="84" t="n">
        <f aca="false">DW139-DX139</f>
        <v>30342.2265625</v>
      </c>
      <c r="DZ139" s="133" t="n">
        <f aca="false">DL139+$D139*Inputs!$H$13</f>
        <v>12346.943359375</v>
      </c>
      <c r="EA139" s="84" t="n">
        <f aca="false">MIN(DX139,DZ139)</f>
        <v>7585.556640625</v>
      </c>
      <c r="EB139" s="84" t="n">
        <f aca="false">DZ139-EA139</f>
        <v>4761.38671875</v>
      </c>
      <c r="EC139" s="84" t="n">
        <f aca="false">DO139+$G139*(DZ139+DO139)</f>
        <v>6758.968907726</v>
      </c>
      <c r="ED139" s="84" t="n">
        <f aca="false">MIN(DX139-EA139,EC139)</f>
        <v>0</v>
      </c>
      <c r="EE139" s="84" t="n">
        <f aca="false">EC139-ED139</f>
        <v>6758.968907726</v>
      </c>
      <c r="EF139" s="84" t="n">
        <f aca="false">IF($H139=1,MIN(DX139-EA139-ED139,MAX(0,$F139/(1-$F139)*(DT139+ED139)-DU139)),0)</f>
        <v>0</v>
      </c>
      <c r="EG139" s="84" t="n">
        <f aca="false">DX139-EA139-ED139-EF139</f>
        <v>0</v>
      </c>
      <c r="EH139" s="84" t="n">
        <f aca="false">EA139+ED139+(1-$F139)*EG139</f>
        <v>7585.556640625</v>
      </c>
      <c r="EI139" s="84" t="n">
        <f aca="false">EF139+$F139*EG139</f>
        <v>0</v>
      </c>
      <c r="EJ139" s="84" t="n">
        <f aca="false">DT139+ED139+(1-$F139)*EG139</f>
        <v>0</v>
      </c>
      <c r="EK139" s="84" t="n">
        <f aca="false">DU139+EI139</f>
        <v>0</v>
      </c>
      <c r="EL139" s="133" t="n">
        <f aca="false">DY139+$D139*Inputs!$I$13-$D139*$E139</f>
        <v>30072.2265625</v>
      </c>
      <c r="EM139" s="84" t="n">
        <f aca="false">EL139*(1+$I139)</f>
        <v>37590.283203125</v>
      </c>
      <c r="EN139" s="133" t="n">
        <f aca="false">EM139*Inputs!$I$14</f>
        <v>7518.056640625</v>
      </c>
      <c r="EO139" s="84" t="n">
        <f aca="false">EM139-EN139</f>
        <v>30072.2265625</v>
      </c>
      <c r="EP139" s="133" t="n">
        <f aca="false">EB139+$D139*Inputs!$I$13</f>
        <v>4761.38671875</v>
      </c>
      <c r="EQ139" s="84" t="n">
        <f aca="false">MIN(EN139,EP139)</f>
        <v>4761.38671875</v>
      </c>
      <c r="ER139" s="84" t="n">
        <f aca="false">EP139-EQ139</f>
        <v>0</v>
      </c>
      <c r="ES139" s="84" t="n">
        <f aca="false">EE139+$G139*(EP139+EE139)</f>
        <v>7680.59735784408</v>
      </c>
      <c r="ET139" s="84" t="n">
        <f aca="false">MIN(EN139-EQ139,ES139)</f>
        <v>2756.669921875</v>
      </c>
      <c r="EU139" s="84" t="n">
        <f aca="false">ES139-ET139</f>
        <v>4923.92743596908</v>
      </c>
      <c r="EV139" s="84" t="n">
        <f aca="false">IF($H139=1,MIN(EN139-EQ139-ET139,MAX(0,$F139/(1-$F139)*(EJ139+ET139)-EK139)),0)</f>
        <v>0</v>
      </c>
      <c r="EW139" s="84" t="n">
        <f aca="false">EN139-EQ139-ET139-EV139</f>
        <v>0</v>
      </c>
      <c r="EX139" s="84" t="n">
        <f aca="false">EQ139+ET139+(1-$F139)*EW139</f>
        <v>7518.056640625</v>
      </c>
      <c r="EY139" s="84" t="n">
        <f aca="false">EV139+$F139*EW139</f>
        <v>0</v>
      </c>
      <c r="EZ139" s="84" t="n">
        <f aca="false">EJ139+ET139+(1-$F139)*EW139</f>
        <v>2756.669921875</v>
      </c>
      <c r="FA139" s="84" t="n">
        <f aca="false">EK139+EY139</f>
        <v>0</v>
      </c>
      <c r="FB139" s="133" t="n">
        <f aca="false">EO139+$D139*Inputs!$J$13-$D139*$E139</f>
        <v>29802.2265625</v>
      </c>
      <c r="FC139" s="84" t="n">
        <f aca="false">FB139*(1+$I139)</f>
        <v>37252.783203125</v>
      </c>
      <c r="FD139" s="133" t="n">
        <f aca="false">FC139*Inputs!$J$14</f>
        <v>7450.556640625</v>
      </c>
      <c r="FE139" s="84" t="n">
        <f aca="false">FC139-FD139</f>
        <v>29802.2265625</v>
      </c>
      <c r="FF139" s="133" t="n">
        <f aca="false">ER139+$D139*Inputs!$J$13</f>
        <v>0</v>
      </c>
      <c r="FG139" s="84" t="n">
        <f aca="false">MIN(FD139,FF139)</f>
        <v>0</v>
      </c>
      <c r="FH139" s="84" t="n">
        <f aca="false">FF139-FG139</f>
        <v>0</v>
      </c>
      <c r="FI139" s="84" t="n">
        <f aca="false">EU139+$G139*(FF139+EU139)</f>
        <v>5317.84163084661</v>
      </c>
      <c r="FJ139" s="84" t="n">
        <f aca="false">MIN(FD139-FG139,FI139)</f>
        <v>5317.84163084661</v>
      </c>
      <c r="FK139" s="84" t="n">
        <f aca="false">FI139-FJ139</f>
        <v>0</v>
      </c>
      <c r="FL139" s="84" t="n">
        <f aca="false">IF($H139=1,MIN(FD139-FG139-FJ139,MAX(0,$F139/(1-$F139)*(EZ139+FJ139)-FA139)),0)</f>
        <v>2018.6278881804</v>
      </c>
      <c r="FM139" s="84" t="n">
        <f aca="false">FD139-FG139-FJ139-FL139</f>
        <v>114.087121597993</v>
      </c>
      <c r="FN139" s="84" t="n">
        <f aca="false">FG139+FJ139+(1-$F139)*FM139</f>
        <v>5409.111328125</v>
      </c>
      <c r="FO139" s="84" t="n">
        <f aca="false">FL139+$F139*FM139</f>
        <v>2041.4453125</v>
      </c>
      <c r="FP139" s="84" t="n">
        <f aca="false">EZ139+FJ139+(1-$F139)*FM139</f>
        <v>8165.78125</v>
      </c>
      <c r="FQ139" s="84" t="n">
        <f aca="false">FA139+FO139</f>
        <v>2041.4453125</v>
      </c>
      <c r="FR139" s="133" t="n">
        <f aca="false">FE139+$D139*Inputs!$K$13-$D139*$E139</f>
        <v>29532.2265625</v>
      </c>
      <c r="FS139" s="84" t="n">
        <f aca="false">FR139*(1+$I139)</f>
        <v>36915.283203125</v>
      </c>
      <c r="FT139" s="133" t="n">
        <f aca="false">FS139*Inputs!$K$14</f>
        <v>7383.056640625</v>
      </c>
      <c r="FU139" s="84" t="n">
        <f aca="false">FS139-FT139</f>
        <v>29532.2265625</v>
      </c>
      <c r="FV139" s="133" t="n">
        <f aca="false">FH139+$D139*Inputs!$K$13</f>
        <v>0</v>
      </c>
      <c r="FW139" s="84" t="n">
        <f aca="false">MIN(FT139,FV139)</f>
        <v>0</v>
      </c>
      <c r="FX139" s="84" t="n">
        <f aca="false">FV139-FW139</f>
        <v>0</v>
      </c>
      <c r="FY139" s="84" t="n">
        <f aca="false">FK139+$G139*(FV139+FK139)</f>
        <v>0</v>
      </c>
      <c r="FZ139" s="84" t="n">
        <f aca="false">MIN(FT139-FW139,FY139)</f>
        <v>0</v>
      </c>
      <c r="GA139" s="84" t="n">
        <f aca="false">FY139-FZ139</f>
        <v>0</v>
      </c>
      <c r="GB139" s="84" t="n">
        <f aca="false">IF($H139=1,MIN(FT139-FW139-FZ139,MAX(0,$F139/(1-$F139)*(FP139+FZ139)-FQ139)),0)</f>
        <v>0</v>
      </c>
      <c r="GC139" s="84" t="n">
        <f aca="false">FT139-FW139-FZ139-GB139</f>
        <v>7383.056640625</v>
      </c>
      <c r="GD139" s="84" t="n">
        <f aca="false">FW139+FZ139+(1-$F139)*GC139</f>
        <v>5906.4453125</v>
      </c>
      <c r="GE139" s="84" t="n">
        <f aca="false">GB139+$F139*GC139</f>
        <v>1476.611328125</v>
      </c>
      <c r="GF139" s="84" t="n">
        <f aca="false">FP139+FZ139+(1-$F139)*GC139</f>
        <v>14072.2265625</v>
      </c>
      <c r="GG139" s="84" t="n">
        <f aca="false">FQ139+GE139</f>
        <v>3518.056640625</v>
      </c>
      <c r="GH139" s="133" t="n">
        <f aca="false">FU139+$D139*Inputs!$L$13-$D139*$E139</f>
        <v>29262.2265625</v>
      </c>
      <c r="GI139" s="84" t="n">
        <f aca="false">GH139*(1+$I139)</f>
        <v>36577.783203125</v>
      </c>
      <c r="GJ139" s="133" t="n">
        <f aca="false">GI139*Inputs!$L$14</f>
        <v>36577.783203125</v>
      </c>
      <c r="GK139" s="84" t="n">
        <f aca="false">GI139-GJ139</f>
        <v>0</v>
      </c>
      <c r="GL139" s="133" t="n">
        <f aca="false">FX139+$D139*Inputs!$L$13</f>
        <v>0</v>
      </c>
      <c r="GM139" s="84" t="n">
        <f aca="false">MIN(GJ139,GL139)</f>
        <v>0</v>
      </c>
      <c r="GN139" s="84" t="n">
        <f aca="false">GL139-GM139</f>
        <v>0</v>
      </c>
      <c r="GO139" s="84" t="n">
        <f aca="false">GA139+$G139*(GL139+GA139)</f>
        <v>0</v>
      </c>
      <c r="GP139" s="84" t="n">
        <f aca="false">MIN(GJ139-GM139,GO139)</f>
        <v>0</v>
      </c>
      <c r="GQ139" s="84" t="n">
        <f aca="false">GO139-GP139</f>
        <v>0</v>
      </c>
      <c r="GR139" s="84" t="n">
        <f aca="false">IF($H139=1,MIN(GJ139-GM139-GP139,MAX(0,$F139/(1-$F139)*(GF139+GP139)-GG139)),0)</f>
        <v>0</v>
      </c>
      <c r="GS139" s="84" t="n">
        <f aca="false">GJ139-GM139-GP139-GR139</f>
        <v>36577.783203125</v>
      </c>
      <c r="GT139" s="84" t="n">
        <f aca="false">GM139+GP139+(1-$F139)*GS139</f>
        <v>29262.2265625</v>
      </c>
      <c r="GU139" s="84" t="n">
        <f aca="false">GR139+$F139*GS139</f>
        <v>7315.556640625</v>
      </c>
      <c r="GV139" s="84" t="n">
        <f aca="false">GF139+GP139+(1-$F139)*GS139</f>
        <v>43334.453125</v>
      </c>
      <c r="GW139" s="84" t="n">
        <f aca="false">GG139+GU139</f>
        <v>10833.61328125</v>
      </c>
    </row>
    <row r="140" customFormat="false" ht="15" hidden="false" customHeight="false" outlineLevel="0" collapsed="false">
      <c r="A140" s="5" t="s">
        <v>640</v>
      </c>
      <c r="B140" s="5" t="s">
        <v>428</v>
      </c>
      <c r="C140" s="135" t="n">
        <v>26</v>
      </c>
      <c r="D140" s="47" t="n">
        <f aca="false">Inputs!$C$6</f>
        <v>20000</v>
      </c>
      <c r="E140" s="35" t="n">
        <f aca="false">Inputs!$C$19</f>
        <v>0.0135</v>
      </c>
      <c r="F140" s="36" t="n">
        <f aca="false">Inputs!$C$20</f>
        <v>0.2</v>
      </c>
      <c r="G140" s="36" t="n">
        <f aca="false">Inputs!$C$22</f>
        <v>0.08</v>
      </c>
      <c r="H140" s="44" t="n">
        <f aca="false">Inputs!$C$23</f>
        <v>1</v>
      </c>
      <c r="I140" s="132" t="n">
        <f aca="false">Inputs!$C$38+$C140*Inputs!$C$39</f>
        <v>0.26</v>
      </c>
      <c r="J140" s="36" t="n">
        <f aca="false">Inputs!$C$9</f>
        <v>0.15</v>
      </c>
      <c r="K140" s="89" t="n">
        <f aca="false">IRR(W140:AG140,0.1)</f>
        <v>0.216285221102136</v>
      </c>
      <c r="L140" s="45" t="n">
        <f aca="false">W140+NPV($J140,X140:AG140)</f>
        <v>6197.33225289937</v>
      </c>
      <c r="M140" s="45" t="n">
        <f aca="false">SUM(BF140,BV140,CL140,DB140,DR140,EH140,EX140,FN140,GD140,GT140)</f>
        <v>66782.9526583856</v>
      </c>
      <c r="N140" s="43" t="n">
        <f aca="false">IF($D140*SUM(Inputs!$C$13:$L$13)=0,0,M140/($D140*SUM(Inputs!$C$13:$L$13)))</f>
        <v>3.33914763291928</v>
      </c>
      <c r="O140" s="42" t="n">
        <f aca="false">$D140*$E140*COLUMNS(Inputs!$C$13:$L$13)</f>
        <v>2700</v>
      </c>
      <c r="P140" s="45" t="n">
        <f aca="false">SUM(BG140,BW140,CM140,DC140,DS140,EI140,EY140,FO140,GE140,GU140)</f>
        <v>11695.7381645964</v>
      </c>
      <c r="Q140" s="42" t="n">
        <f aca="false">PV($J140,COLUMNS(Inputs!$C$13:$L$13),-$D140*$E140,0,1)</f>
        <v>1558.32765832774</v>
      </c>
      <c r="R140" s="45" t="n">
        <f aca="false">NPV($J140,BG140,BW140,CM140,DC140,DS140,EI140,EY140,FO140,GE140,GU140)</f>
        <v>3131.46902915187</v>
      </c>
      <c r="S140" s="45" t="n">
        <f aca="false">Q140+R140</f>
        <v>4689.79668747961</v>
      </c>
      <c r="T140" s="32" t="n">
        <f aca="false">IF(S140=0,0,Q140/S140)</f>
        <v>0.332280429658714</v>
      </c>
      <c r="U140" s="45" t="n">
        <f aca="false">ROUND(ABS(GK140)+ABS(SUM(AV140,BL140,CB140,CR140,DH140,DX140,EN140,FD140,FT140,GJ140)-M140-P140)+ABS(S140-(AH140+NPV($J140,AI140:AR140))),6)</f>
        <v>0</v>
      </c>
      <c r="W140" s="133" t="n">
        <f aca="false">-$D140*Inputs!$C$13</f>
        <v>-4000</v>
      </c>
      <c r="X140" s="133" t="n">
        <f aca="false">BF140-$D140*Inputs!$D$13</f>
        <v>-4000</v>
      </c>
      <c r="Y140" s="133" t="n">
        <f aca="false">BV140-$D140*Inputs!$E$13</f>
        <v>-4000</v>
      </c>
      <c r="Z140" s="133" t="n">
        <f aca="false">CL140-$D140*Inputs!$F$13</f>
        <v>-4000</v>
      </c>
      <c r="AA140" s="133" t="n">
        <f aca="false">DB140-$D140*Inputs!$G$13</f>
        <v>-4000</v>
      </c>
      <c r="AB140" s="133" t="n">
        <f aca="false">DR140-$D140*Inputs!$H$13</f>
        <v>7866.0080364096</v>
      </c>
      <c r="AC140" s="133" t="n">
        <f aca="false">EH140-$D140*Inputs!$I$13</f>
        <v>7860.89610070088</v>
      </c>
      <c r="AD140" s="133" t="n">
        <f aca="false">EX140-$D140*Inputs!$J$13</f>
        <v>7855.74326950648</v>
      </c>
      <c r="AE140" s="133" t="n">
        <f aca="false">FN140-$D140*Inputs!$K$13</f>
        <v>5563.90989120664</v>
      </c>
      <c r="AF140" s="133" t="n">
        <f aca="false">GD140-$D140*Inputs!$L$13</f>
        <v>6276.25088751027</v>
      </c>
      <c r="AG140" s="84" t="n">
        <f aca="false">GT140</f>
        <v>31360.1444730518</v>
      </c>
      <c r="AH140" s="84" t="n">
        <f aca="false">$D140*$E140</f>
        <v>270</v>
      </c>
      <c r="AI140" s="84" t="n">
        <f aca="false">BG140+$D140*$E140</f>
        <v>270</v>
      </c>
      <c r="AJ140" s="84" t="n">
        <f aca="false">BW140+$D140*$E140</f>
        <v>270</v>
      </c>
      <c r="AK140" s="84" t="n">
        <f aca="false">CM140+$D140*$E140</f>
        <v>270</v>
      </c>
      <c r="AL140" s="84" t="n">
        <f aca="false">DC140+$D140*$E140</f>
        <v>270</v>
      </c>
      <c r="AM140" s="84" t="n">
        <f aca="false">DS140+$D140*$E140</f>
        <v>270</v>
      </c>
      <c r="AN140" s="84" t="n">
        <f aca="false">EI140+$D140*$E140</f>
        <v>270</v>
      </c>
      <c r="AO140" s="84" t="n">
        <f aca="false">EY140+$D140*$E140</f>
        <v>270</v>
      </c>
      <c r="AP140" s="84" t="n">
        <f aca="false">FO140+$D140*$E140</f>
        <v>2556.6393244559</v>
      </c>
      <c r="AQ140" s="84" t="n">
        <f aca="false">GE140+$D140*$E140</f>
        <v>1839.06272187757</v>
      </c>
      <c r="AR140" s="84" t="n">
        <f aca="false">GU140</f>
        <v>7840.03611826294</v>
      </c>
      <c r="AT140" s="133" t="n">
        <f aca="false">$D140*Inputs!$C$13-$D140*$E140</f>
        <v>3730</v>
      </c>
      <c r="AU140" s="84" t="n">
        <f aca="false">AT140*(1+$I140)</f>
        <v>4699.8</v>
      </c>
      <c r="AV140" s="133" t="n">
        <f aca="false">AU140*Inputs!$C$14</f>
        <v>0</v>
      </c>
      <c r="AW140" s="84" t="n">
        <f aca="false">AU140-AV140</f>
        <v>4699.8</v>
      </c>
      <c r="AX140" s="133" t="n">
        <f aca="false">$D140*Inputs!$C$13</f>
        <v>4000</v>
      </c>
      <c r="AY140" s="84" t="n">
        <f aca="false">MIN(AV140,AX140)</f>
        <v>0</v>
      </c>
      <c r="AZ140" s="84" t="n">
        <f aca="false">AX140-AY140</f>
        <v>4000</v>
      </c>
      <c r="BA140" s="84" t="n">
        <f aca="false">$G140*AX140</f>
        <v>320</v>
      </c>
      <c r="BB140" s="84" t="n">
        <f aca="false">MIN(AV140-AY140,BA140)</f>
        <v>0</v>
      </c>
      <c r="BC140" s="84" t="n">
        <f aca="false">BA140-BB140</f>
        <v>320</v>
      </c>
      <c r="BD140" s="84" t="n">
        <f aca="false">IF($H140=1,MIN(AV140-AY140-BB140,MAX(0,$F140/(1-$F140)*BB140)),0)</f>
        <v>0</v>
      </c>
      <c r="BE140" s="84" t="n">
        <f aca="false">AV140-AY140-BB140-BD140</f>
        <v>0</v>
      </c>
      <c r="BF140" s="84" t="n">
        <f aca="false">AY140+BB140+(1-$F140)*BE140</f>
        <v>0</v>
      </c>
      <c r="BG140" s="84" t="n">
        <f aca="false">BD140+$F140*BE140</f>
        <v>0</v>
      </c>
      <c r="BH140" s="84" t="n">
        <f aca="false">BB140+(1-$F140)*BE140</f>
        <v>0</v>
      </c>
      <c r="BI140" s="84" t="n">
        <f aca="false">BG140</f>
        <v>0</v>
      </c>
      <c r="BJ140" s="133" t="n">
        <f aca="false">AW140+$D140*Inputs!$D$13-$D140*$E140</f>
        <v>8429.8</v>
      </c>
      <c r="BK140" s="84" t="n">
        <f aca="false">BJ140*(1+$I140)</f>
        <v>10621.548</v>
      </c>
      <c r="BL140" s="133" t="n">
        <f aca="false">BK140*Inputs!$D$14</f>
        <v>0</v>
      </c>
      <c r="BM140" s="84" t="n">
        <f aca="false">BK140-BL140</f>
        <v>10621.548</v>
      </c>
      <c r="BN140" s="133" t="n">
        <f aca="false">AZ140+$D140*Inputs!$D$13</f>
        <v>8000</v>
      </c>
      <c r="BO140" s="84" t="n">
        <f aca="false">MIN(BL140,BN140)</f>
        <v>0</v>
      </c>
      <c r="BP140" s="84" t="n">
        <f aca="false">BN140-BO140</f>
        <v>8000</v>
      </c>
      <c r="BQ140" s="84" t="n">
        <f aca="false">BC140+$G140*(BN140+BC140)</f>
        <v>985.6</v>
      </c>
      <c r="BR140" s="84" t="n">
        <f aca="false">MIN(BL140-BO140,BQ140)</f>
        <v>0</v>
      </c>
      <c r="BS140" s="84" t="n">
        <f aca="false">BQ140-BR140</f>
        <v>985.6</v>
      </c>
      <c r="BT140" s="84" t="n">
        <f aca="false">IF($H140=1,MIN(BL140-BO140-BR140,MAX(0,$F140/(1-$F140)*(BH140+BR140)-BI140)),0)</f>
        <v>0</v>
      </c>
      <c r="BU140" s="84" t="n">
        <f aca="false">BL140-BO140-BR140-BT140</f>
        <v>0</v>
      </c>
      <c r="BV140" s="84" t="n">
        <f aca="false">BO140+BR140+(1-$F140)*BU140</f>
        <v>0</v>
      </c>
      <c r="BW140" s="84" t="n">
        <f aca="false">BT140+$F140*BU140</f>
        <v>0</v>
      </c>
      <c r="BX140" s="84" t="n">
        <f aca="false">BH140+BR140+(1-$F140)*BU140</f>
        <v>0</v>
      </c>
      <c r="BY140" s="84" t="n">
        <f aca="false">BI140+BW140</f>
        <v>0</v>
      </c>
      <c r="BZ140" s="133" t="n">
        <f aca="false">BM140+$D140*Inputs!$E$13-$D140*$E140</f>
        <v>14351.548</v>
      </c>
      <c r="CA140" s="84" t="n">
        <f aca="false">BZ140*(1+$I140)</f>
        <v>18082.95048</v>
      </c>
      <c r="CB140" s="133" t="n">
        <f aca="false">CA140*Inputs!$E$14</f>
        <v>0</v>
      </c>
      <c r="CC140" s="84" t="n">
        <f aca="false">CA140-CB140</f>
        <v>18082.95048</v>
      </c>
      <c r="CD140" s="133" t="n">
        <f aca="false">BP140+$D140*Inputs!$E$13</f>
        <v>12000</v>
      </c>
      <c r="CE140" s="84" t="n">
        <f aca="false">MIN(CB140,CD140)</f>
        <v>0</v>
      </c>
      <c r="CF140" s="84" t="n">
        <f aca="false">CD140-CE140</f>
        <v>12000</v>
      </c>
      <c r="CG140" s="84" t="n">
        <f aca="false">BS140+$G140*(CD140+BS140)</f>
        <v>2024.448</v>
      </c>
      <c r="CH140" s="84" t="n">
        <f aca="false">MIN(CB140-CE140,CG140)</f>
        <v>0</v>
      </c>
      <c r="CI140" s="84" t="n">
        <f aca="false">CG140-CH140</f>
        <v>2024.448</v>
      </c>
      <c r="CJ140" s="84" t="n">
        <f aca="false">IF($H140=1,MIN(CB140-CE140-CH140,MAX(0,$F140/(1-$F140)*(BX140+CH140)-BY140)),0)</f>
        <v>0</v>
      </c>
      <c r="CK140" s="84" t="n">
        <f aca="false">CB140-CE140-CH140-CJ140</f>
        <v>0</v>
      </c>
      <c r="CL140" s="84" t="n">
        <f aca="false">CE140+CH140+(1-$F140)*CK140</f>
        <v>0</v>
      </c>
      <c r="CM140" s="84" t="n">
        <f aca="false">CJ140+$F140*CK140</f>
        <v>0</v>
      </c>
      <c r="CN140" s="84" t="n">
        <f aca="false">BX140+CH140+(1-$F140)*CK140</f>
        <v>0</v>
      </c>
      <c r="CO140" s="84" t="n">
        <f aca="false">BY140+CM140</f>
        <v>0</v>
      </c>
      <c r="CP140" s="133" t="n">
        <f aca="false">CC140+$D140*Inputs!$F$13-$D140*$E140</f>
        <v>21812.95048</v>
      </c>
      <c r="CQ140" s="84" t="n">
        <f aca="false">CP140*(1+$I140)</f>
        <v>27484.3176048</v>
      </c>
      <c r="CR140" s="133" t="n">
        <f aca="false">CQ140*Inputs!$F$14</f>
        <v>0</v>
      </c>
      <c r="CS140" s="84" t="n">
        <f aca="false">CQ140-CR140</f>
        <v>27484.3176048</v>
      </c>
      <c r="CT140" s="133" t="n">
        <f aca="false">CF140+$D140*Inputs!$F$13</f>
        <v>16000</v>
      </c>
      <c r="CU140" s="84" t="n">
        <f aca="false">MIN(CR140,CT140)</f>
        <v>0</v>
      </c>
      <c r="CV140" s="84" t="n">
        <f aca="false">CT140-CU140</f>
        <v>16000</v>
      </c>
      <c r="CW140" s="84" t="n">
        <f aca="false">CI140+$G140*(CT140+CI140)</f>
        <v>3466.40384</v>
      </c>
      <c r="CX140" s="84" t="n">
        <f aca="false">MIN(CR140-CU140,CW140)</f>
        <v>0</v>
      </c>
      <c r="CY140" s="84" t="n">
        <f aca="false">CW140-CX140</f>
        <v>3466.40384</v>
      </c>
      <c r="CZ140" s="84" t="n">
        <f aca="false">IF($H140=1,MIN(CR140-CU140-CX140,MAX(0,$F140/(1-$F140)*(CN140+CX140)-CO140)),0)</f>
        <v>0</v>
      </c>
      <c r="DA140" s="84" t="n">
        <f aca="false">CR140-CU140-CX140-CZ140</f>
        <v>0</v>
      </c>
      <c r="DB140" s="84" t="n">
        <f aca="false">CU140+CX140+(1-$F140)*DA140</f>
        <v>0</v>
      </c>
      <c r="DC140" s="84" t="n">
        <f aca="false">CZ140+$F140*DA140</f>
        <v>0</v>
      </c>
      <c r="DD140" s="84" t="n">
        <f aca="false">CN140+CX140+(1-$F140)*DA140</f>
        <v>0</v>
      </c>
      <c r="DE140" s="84" t="n">
        <f aca="false">CO140+DC140</f>
        <v>0</v>
      </c>
      <c r="DF140" s="133" t="n">
        <f aca="false">CS140+$D140*Inputs!$G$13-$D140*$E140</f>
        <v>31214.3176048</v>
      </c>
      <c r="DG140" s="84" t="n">
        <f aca="false">DF140*(1+$I140)</f>
        <v>39330.040182048</v>
      </c>
      <c r="DH140" s="133" t="n">
        <f aca="false">DG140*Inputs!$G$14</f>
        <v>7866.0080364096</v>
      </c>
      <c r="DI140" s="84" t="n">
        <f aca="false">DG140-DH140</f>
        <v>31464.0321456384</v>
      </c>
      <c r="DJ140" s="133" t="n">
        <f aca="false">CV140+$D140*Inputs!$G$13</f>
        <v>20000</v>
      </c>
      <c r="DK140" s="84" t="n">
        <f aca="false">MIN(DH140,DJ140)</f>
        <v>7866.0080364096</v>
      </c>
      <c r="DL140" s="84" t="n">
        <f aca="false">DJ140-DK140</f>
        <v>12133.9919635904</v>
      </c>
      <c r="DM140" s="84" t="n">
        <f aca="false">CY140+$G140*(DJ140+CY140)</f>
        <v>5343.7161472</v>
      </c>
      <c r="DN140" s="84" t="n">
        <f aca="false">MIN(DH140-DK140,DM140)</f>
        <v>0</v>
      </c>
      <c r="DO140" s="84" t="n">
        <f aca="false">DM140-DN140</f>
        <v>5343.7161472</v>
      </c>
      <c r="DP140" s="84" t="n">
        <f aca="false">IF($H140=1,MIN(DH140-DK140-DN140,MAX(0,$F140/(1-$F140)*(DD140+DN140)-DE140)),0)</f>
        <v>0</v>
      </c>
      <c r="DQ140" s="84" t="n">
        <f aca="false">DH140-DK140-DN140-DP140</f>
        <v>0</v>
      </c>
      <c r="DR140" s="84" t="n">
        <f aca="false">DK140+DN140+(1-$F140)*DQ140</f>
        <v>7866.0080364096</v>
      </c>
      <c r="DS140" s="84" t="n">
        <f aca="false">DP140+$F140*DQ140</f>
        <v>0</v>
      </c>
      <c r="DT140" s="84" t="n">
        <f aca="false">DD140+DN140+(1-$F140)*DQ140</f>
        <v>0</v>
      </c>
      <c r="DU140" s="84" t="n">
        <f aca="false">DE140+DS140</f>
        <v>0</v>
      </c>
      <c r="DV140" s="133" t="n">
        <f aca="false">DI140+$D140*Inputs!$H$13-$D140*$E140</f>
        <v>31194.0321456384</v>
      </c>
      <c r="DW140" s="84" t="n">
        <f aca="false">DV140*(1+$I140)</f>
        <v>39304.4805035044</v>
      </c>
      <c r="DX140" s="133" t="n">
        <f aca="false">DW140*Inputs!$H$14</f>
        <v>7860.89610070088</v>
      </c>
      <c r="DY140" s="84" t="n">
        <f aca="false">DW140-DX140</f>
        <v>31443.5844028035</v>
      </c>
      <c r="DZ140" s="133" t="n">
        <f aca="false">DL140+$D140*Inputs!$H$13</f>
        <v>12133.9919635904</v>
      </c>
      <c r="EA140" s="84" t="n">
        <f aca="false">MIN(DX140,DZ140)</f>
        <v>7860.89610070088</v>
      </c>
      <c r="EB140" s="84" t="n">
        <f aca="false">DZ140-EA140</f>
        <v>4273.09586288952</v>
      </c>
      <c r="EC140" s="84" t="n">
        <f aca="false">DO140+$G140*(DZ140+DO140)</f>
        <v>6741.93279606323</v>
      </c>
      <c r="ED140" s="84" t="n">
        <f aca="false">MIN(DX140-EA140,EC140)</f>
        <v>0</v>
      </c>
      <c r="EE140" s="84" t="n">
        <f aca="false">EC140-ED140</f>
        <v>6741.93279606323</v>
      </c>
      <c r="EF140" s="84" t="n">
        <f aca="false">IF($H140=1,MIN(DX140-EA140-ED140,MAX(0,$F140/(1-$F140)*(DT140+ED140)-DU140)),0)</f>
        <v>0</v>
      </c>
      <c r="EG140" s="84" t="n">
        <f aca="false">DX140-EA140-ED140-EF140</f>
        <v>0</v>
      </c>
      <c r="EH140" s="84" t="n">
        <f aca="false">EA140+ED140+(1-$F140)*EG140</f>
        <v>7860.89610070088</v>
      </c>
      <c r="EI140" s="84" t="n">
        <f aca="false">EF140+$F140*EG140</f>
        <v>0</v>
      </c>
      <c r="EJ140" s="84" t="n">
        <f aca="false">DT140+ED140+(1-$F140)*EG140</f>
        <v>0</v>
      </c>
      <c r="EK140" s="84" t="n">
        <f aca="false">DU140+EI140</f>
        <v>0</v>
      </c>
      <c r="EL140" s="133" t="n">
        <f aca="false">DY140+$D140*Inputs!$I$13-$D140*$E140</f>
        <v>31173.5844028035</v>
      </c>
      <c r="EM140" s="84" t="n">
        <f aca="false">EL140*(1+$I140)</f>
        <v>39278.7163475324</v>
      </c>
      <c r="EN140" s="133" t="n">
        <f aca="false">EM140*Inputs!$I$14</f>
        <v>7855.74326950648</v>
      </c>
      <c r="EO140" s="84" t="n">
        <f aca="false">EM140-EN140</f>
        <v>31422.9730780259</v>
      </c>
      <c r="EP140" s="133" t="n">
        <f aca="false">EB140+$D140*Inputs!$I$13</f>
        <v>4273.09586288952</v>
      </c>
      <c r="EQ140" s="84" t="n">
        <f aca="false">MIN(EN140,EP140)</f>
        <v>4273.09586288952</v>
      </c>
      <c r="ER140" s="84" t="n">
        <f aca="false">EP140-EQ140</f>
        <v>0</v>
      </c>
      <c r="ES140" s="84" t="n">
        <f aca="false">EE140+$G140*(EP140+EE140)</f>
        <v>7623.13508877945</v>
      </c>
      <c r="ET140" s="84" t="n">
        <f aca="false">MIN(EN140-EQ140,ES140)</f>
        <v>3582.64740661696</v>
      </c>
      <c r="EU140" s="84" t="n">
        <f aca="false">ES140-ET140</f>
        <v>4040.48768216249</v>
      </c>
      <c r="EV140" s="84" t="n">
        <f aca="false">IF($H140=1,MIN(EN140-EQ140-ET140,MAX(0,$F140/(1-$F140)*(EJ140+ET140)-EK140)),0)</f>
        <v>0</v>
      </c>
      <c r="EW140" s="84" t="n">
        <f aca="false">EN140-EQ140-ET140-EV140</f>
        <v>0</v>
      </c>
      <c r="EX140" s="84" t="n">
        <f aca="false">EQ140+ET140+(1-$F140)*EW140</f>
        <v>7855.74326950648</v>
      </c>
      <c r="EY140" s="84" t="n">
        <f aca="false">EV140+$F140*EW140</f>
        <v>0</v>
      </c>
      <c r="EZ140" s="84" t="n">
        <f aca="false">EJ140+ET140+(1-$F140)*EW140</f>
        <v>3582.64740661696</v>
      </c>
      <c r="FA140" s="84" t="n">
        <f aca="false">EK140+EY140</f>
        <v>0</v>
      </c>
      <c r="FB140" s="133" t="n">
        <f aca="false">EO140+$D140*Inputs!$J$13-$D140*$E140</f>
        <v>31152.9730780259</v>
      </c>
      <c r="FC140" s="84" t="n">
        <f aca="false">FB140*(1+$I140)</f>
        <v>39252.7460783127</v>
      </c>
      <c r="FD140" s="133" t="n">
        <f aca="false">FC140*Inputs!$J$14</f>
        <v>7850.54921566254</v>
      </c>
      <c r="FE140" s="84" t="n">
        <f aca="false">FC140-FD140</f>
        <v>31402.1968626501</v>
      </c>
      <c r="FF140" s="133" t="n">
        <f aca="false">ER140+$D140*Inputs!$J$13</f>
        <v>0</v>
      </c>
      <c r="FG140" s="84" t="n">
        <f aca="false">MIN(FD140,FF140)</f>
        <v>0</v>
      </c>
      <c r="FH140" s="84" t="n">
        <f aca="false">FF140-FG140</f>
        <v>0</v>
      </c>
      <c r="FI140" s="84" t="n">
        <f aca="false">EU140+$G140*(FF140+EU140)</f>
        <v>4363.72669673549</v>
      </c>
      <c r="FJ140" s="84" t="n">
        <f aca="false">MIN(FD140-FG140,FI140)</f>
        <v>4363.72669673549</v>
      </c>
      <c r="FK140" s="84" t="n">
        <f aca="false">FI140-FJ140</f>
        <v>0</v>
      </c>
      <c r="FL140" s="84" t="n">
        <f aca="false">IF($H140=1,MIN(FD140-FG140-FJ140,MAX(0,$F140/(1-$F140)*(EZ140+FJ140)-FA140)),0)</f>
        <v>1986.59352583811</v>
      </c>
      <c r="FM140" s="84" t="n">
        <f aca="false">FD140-FG140-FJ140-FL140</f>
        <v>1500.22899308893</v>
      </c>
      <c r="FN140" s="84" t="n">
        <f aca="false">FG140+FJ140+(1-$F140)*FM140</f>
        <v>5563.90989120664</v>
      </c>
      <c r="FO140" s="84" t="n">
        <f aca="false">FL140+$F140*FM140</f>
        <v>2286.6393244559</v>
      </c>
      <c r="FP140" s="84" t="n">
        <f aca="false">EZ140+FJ140+(1-$F140)*FM140</f>
        <v>9146.5572978236</v>
      </c>
      <c r="FQ140" s="84" t="n">
        <f aca="false">FA140+FO140</f>
        <v>2286.6393244559</v>
      </c>
      <c r="FR140" s="133" t="n">
        <f aca="false">FE140+$D140*Inputs!$K$13-$D140*$E140</f>
        <v>31132.1968626501</v>
      </c>
      <c r="FS140" s="84" t="n">
        <f aca="false">FR140*(1+$I140)</f>
        <v>39226.5680469392</v>
      </c>
      <c r="FT140" s="133" t="n">
        <f aca="false">FS140*Inputs!$K$14</f>
        <v>7845.31360938784</v>
      </c>
      <c r="FU140" s="84" t="n">
        <f aca="false">FS140-FT140</f>
        <v>31381.2544375513</v>
      </c>
      <c r="FV140" s="133" t="n">
        <f aca="false">FH140+$D140*Inputs!$K$13</f>
        <v>0</v>
      </c>
      <c r="FW140" s="84" t="n">
        <f aca="false">MIN(FT140,FV140)</f>
        <v>0</v>
      </c>
      <c r="FX140" s="84" t="n">
        <f aca="false">FV140-FW140</f>
        <v>0</v>
      </c>
      <c r="FY140" s="84" t="n">
        <f aca="false">FK140+$G140*(FV140+FK140)</f>
        <v>0</v>
      </c>
      <c r="FZ140" s="84" t="n">
        <f aca="false">MIN(FT140-FW140,FY140)</f>
        <v>0</v>
      </c>
      <c r="GA140" s="84" t="n">
        <f aca="false">FY140-FZ140</f>
        <v>0</v>
      </c>
      <c r="GB140" s="84" t="n">
        <f aca="false">IF($H140=1,MIN(FT140-FW140-FZ140,MAX(0,$F140/(1-$F140)*(FP140+FZ140)-FQ140)),0)</f>
        <v>0</v>
      </c>
      <c r="GC140" s="84" t="n">
        <f aca="false">FT140-FW140-FZ140-GB140</f>
        <v>7845.31360938784</v>
      </c>
      <c r="GD140" s="84" t="n">
        <f aca="false">FW140+FZ140+(1-$F140)*GC140</f>
        <v>6276.25088751027</v>
      </c>
      <c r="GE140" s="84" t="n">
        <f aca="false">GB140+$F140*GC140</f>
        <v>1569.06272187757</v>
      </c>
      <c r="GF140" s="84" t="n">
        <f aca="false">FP140+FZ140+(1-$F140)*GC140</f>
        <v>15422.8081853339</v>
      </c>
      <c r="GG140" s="84" t="n">
        <f aca="false">FQ140+GE140</f>
        <v>3855.70204633347</v>
      </c>
      <c r="GH140" s="133" t="n">
        <f aca="false">FU140+$D140*Inputs!$L$13-$D140*$E140</f>
        <v>31111.2544375513</v>
      </c>
      <c r="GI140" s="84" t="n">
        <f aca="false">GH140*(1+$I140)</f>
        <v>39200.1805913147</v>
      </c>
      <c r="GJ140" s="133" t="n">
        <f aca="false">GI140*Inputs!$L$14</f>
        <v>39200.1805913147</v>
      </c>
      <c r="GK140" s="84" t="n">
        <f aca="false">GI140-GJ140</f>
        <v>0</v>
      </c>
      <c r="GL140" s="133" t="n">
        <f aca="false">FX140+$D140*Inputs!$L$13</f>
        <v>0</v>
      </c>
      <c r="GM140" s="84" t="n">
        <f aca="false">MIN(GJ140,GL140)</f>
        <v>0</v>
      </c>
      <c r="GN140" s="84" t="n">
        <f aca="false">GL140-GM140</f>
        <v>0</v>
      </c>
      <c r="GO140" s="84" t="n">
        <f aca="false">GA140+$G140*(GL140+GA140)</f>
        <v>0</v>
      </c>
      <c r="GP140" s="84" t="n">
        <f aca="false">MIN(GJ140-GM140,GO140)</f>
        <v>0</v>
      </c>
      <c r="GQ140" s="84" t="n">
        <f aca="false">GO140-GP140</f>
        <v>0</v>
      </c>
      <c r="GR140" s="84" t="n">
        <f aca="false">IF($H140=1,MIN(GJ140-GM140-GP140,MAX(0,$F140/(1-$F140)*(GF140+GP140)-GG140)),0)</f>
        <v>0</v>
      </c>
      <c r="GS140" s="84" t="n">
        <f aca="false">GJ140-GM140-GP140-GR140</f>
        <v>39200.1805913147</v>
      </c>
      <c r="GT140" s="84" t="n">
        <f aca="false">GM140+GP140+(1-$F140)*GS140</f>
        <v>31360.1444730518</v>
      </c>
      <c r="GU140" s="84" t="n">
        <f aca="false">GR140+$F140*GS140</f>
        <v>7840.03611826294</v>
      </c>
      <c r="GV140" s="84" t="n">
        <f aca="false">GF140+GP140+(1-$F140)*GS140</f>
        <v>46782.9526583856</v>
      </c>
      <c r="GW140" s="84" t="n">
        <f aca="false">GG140+GU140</f>
        <v>11695.7381645964</v>
      </c>
    </row>
    <row r="141" customFormat="false" ht="15" hidden="false" customHeight="false" outlineLevel="0" collapsed="false">
      <c r="A141" s="5" t="s">
        <v>640</v>
      </c>
      <c r="B141" s="5" t="s">
        <v>428</v>
      </c>
      <c r="C141" s="135" t="n">
        <v>27</v>
      </c>
      <c r="D141" s="47" t="n">
        <f aca="false">Inputs!$C$6</f>
        <v>20000</v>
      </c>
      <c r="E141" s="35" t="n">
        <f aca="false">Inputs!$C$19</f>
        <v>0.0135</v>
      </c>
      <c r="F141" s="36" t="n">
        <f aca="false">Inputs!$C$20</f>
        <v>0.2</v>
      </c>
      <c r="G141" s="36" t="n">
        <f aca="false">Inputs!$C$22</f>
        <v>0.08</v>
      </c>
      <c r="H141" s="44" t="n">
        <f aca="false">Inputs!$C$23</f>
        <v>1</v>
      </c>
      <c r="I141" s="132" t="n">
        <f aca="false">Inputs!$C$38+$C141*Inputs!$C$39</f>
        <v>0.27</v>
      </c>
      <c r="J141" s="36" t="n">
        <f aca="false">Inputs!$C$9</f>
        <v>0.15</v>
      </c>
      <c r="K141" s="89" t="n">
        <f aca="false">IRR(W141:AG141,0.1)</f>
        <v>0.225842952094414</v>
      </c>
      <c r="L141" s="45" t="n">
        <f aca="false">W141+NPV($J141,X141:AG141)</f>
        <v>7276.53699323045</v>
      </c>
      <c r="M141" s="45" t="n">
        <f aca="false">SUM(BF141,BV141,CL141,DB141,DR141,EH141,EX141,FN141,GD141,GT141)</f>
        <v>70421.4125172689</v>
      </c>
      <c r="N141" s="43" t="n">
        <f aca="false">IF($D141*SUM(Inputs!$C$13:$L$13)=0,0,M141/($D141*SUM(Inputs!$C$13:$L$13)))</f>
        <v>3.52107062586344</v>
      </c>
      <c r="O141" s="42" t="n">
        <f aca="false">$D141*$E141*COLUMNS(Inputs!$C$13:$L$13)</f>
        <v>2700</v>
      </c>
      <c r="P141" s="45" t="n">
        <f aca="false">SUM(BG141,BW141,CM141,DC141,DS141,EI141,EY141,FO141,GE141,GU141)</f>
        <v>12605.3531293172</v>
      </c>
      <c r="Q141" s="42" t="n">
        <f aca="false">PV($J141,COLUMNS(Inputs!$C$13:$L$13),-$D141*$E141,0,1)</f>
        <v>1558.32765832774</v>
      </c>
      <c r="R141" s="45" t="n">
        <f aca="false">NPV($J141,BG141,BW141,CM141,DC141,DS141,EI141,EY141,FO141,GE141,GU141)</f>
        <v>3380.20251723276</v>
      </c>
      <c r="S141" s="45" t="n">
        <f aca="false">Q141+R141</f>
        <v>4938.53017556049</v>
      </c>
      <c r="T141" s="32" t="n">
        <f aca="false">IF(S141=0,0,Q141/S141)</f>
        <v>0.31554482871027</v>
      </c>
      <c r="U141" s="45" t="n">
        <f aca="false">ROUND(ABS(GK141)+ABS(SUM(AV141,BL141,CB141,CR141,DH141,DX141,EN141,FD141,FT141,GJ141)-M141-P141)+ABS(S141-(AH141+NPV($J141,AI141:AR141))),6)</f>
        <v>0</v>
      </c>
      <c r="W141" s="133" t="n">
        <f aca="false">-$D141*Inputs!$C$13</f>
        <v>-4000</v>
      </c>
      <c r="X141" s="133" t="n">
        <f aca="false">BF141-$D141*Inputs!$D$13</f>
        <v>-4000</v>
      </c>
      <c r="Y141" s="133" t="n">
        <f aca="false">BV141-$D141*Inputs!$E$13</f>
        <v>-4000</v>
      </c>
      <c r="Z141" s="133" t="n">
        <f aca="false">CL141-$D141*Inputs!$F$13</f>
        <v>-4000</v>
      </c>
      <c r="AA141" s="133" t="n">
        <f aca="false">DB141-$D141*Inputs!$G$13</f>
        <v>-4000</v>
      </c>
      <c r="AB141" s="133" t="n">
        <f aca="false">DR141-$D141*Inputs!$H$13</f>
        <v>8084.0784976222</v>
      </c>
      <c r="AC141" s="133" t="n">
        <f aca="false">EH141-$D141*Inputs!$I$13</f>
        <v>8144.84375358416</v>
      </c>
      <c r="AD141" s="133" t="n">
        <f aca="false">EX141-$D141*Inputs!$J$13</f>
        <v>8206.5812536415</v>
      </c>
      <c r="AE141" s="133" t="n">
        <f aca="false">FN141-$D141*Inputs!$K$13</f>
        <v>5728.34454199024</v>
      </c>
      <c r="AF141" s="133" t="n">
        <f aca="false">GD141-$D141*Inputs!$L$13</f>
        <v>6666.42836684717</v>
      </c>
      <c r="AG141" s="84" t="n">
        <f aca="false">GT141</f>
        <v>33591.1361035836</v>
      </c>
      <c r="AH141" s="84" t="n">
        <f aca="false">$D141*$E141</f>
        <v>270</v>
      </c>
      <c r="AI141" s="84" t="n">
        <f aca="false">BG141+$D141*$E141</f>
        <v>270</v>
      </c>
      <c r="AJ141" s="84" t="n">
        <f aca="false">BW141+$D141*$E141</f>
        <v>270</v>
      </c>
      <c r="AK141" s="84" t="n">
        <f aca="false">CM141+$D141*$E141</f>
        <v>270</v>
      </c>
      <c r="AL141" s="84" t="n">
        <f aca="false">DC141+$D141*$E141</f>
        <v>270</v>
      </c>
      <c r="AM141" s="84" t="n">
        <f aca="false">DS141+$D141*$E141</f>
        <v>270</v>
      </c>
      <c r="AN141" s="84" t="n">
        <f aca="false">EI141+$D141*$E141</f>
        <v>270</v>
      </c>
      <c r="AO141" s="84" t="n">
        <f aca="false">EY141+$D141*$E141</f>
        <v>270</v>
      </c>
      <c r="AP141" s="84" t="n">
        <f aca="false">FO141+$D141*$E141</f>
        <v>2810.96201170952</v>
      </c>
      <c r="AQ141" s="84" t="n">
        <f aca="false">GE141+$D141*$E141</f>
        <v>1936.60709171179</v>
      </c>
      <c r="AR141" s="84" t="n">
        <f aca="false">GU141</f>
        <v>8397.78402589591</v>
      </c>
      <c r="AT141" s="133" t="n">
        <f aca="false">$D141*Inputs!$C$13-$D141*$E141</f>
        <v>3730</v>
      </c>
      <c r="AU141" s="84" t="n">
        <f aca="false">AT141*(1+$I141)</f>
        <v>4737.1</v>
      </c>
      <c r="AV141" s="133" t="n">
        <f aca="false">AU141*Inputs!$C$14</f>
        <v>0</v>
      </c>
      <c r="AW141" s="84" t="n">
        <f aca="false">AU141-AV141</f>
        <v>4737.1</v>
      </c>
      <c r="AX141" s="133" t="n">
        <f aca="false">$D141*Inputs!$C$13</f>
        <v>4000</v>
      </c>
      <c r="AY141" s="84" t="n">
        <f aca="false">MIN(AV141,AX141)</f>
        <v>0</v>
      </c>
      <c r="AZ141" s="84" t="n">
        <f aca="false">AX141-AY141</f>
        <v>4000</v>
      </c>
      <c r="BA141" s="84" t="n">
        <f aca="false">$G141*AX141</f>
        <v>320</v>
      </c>
      <c r="BB141" s="84" t="n">
        <f aca="false">MIN(AV141-AY141,BA141)</f>
        <v>0</v>
      </c>
      <c r="BC141" s="84" t="n">
        <f aca="false">BA141-BB141</f>
        <v>320</v>
      </c>
      <c r="BD141" s="84" t="n">
        <f aca="false">IF($H141=1,MIN(AV141-AY141-BB141,MAX(0,$F141/(1-$F141)*BB141)),0)</f>
        <v>0</v>
      </c>
      <c r="BE141" s="84" t="n">
        <f aca="false">AV141-AY141-BB141-BD141</f>
        <v>0</v>
      </c>
      <c r="BF141" s="84" t="n">
        <f aca="false">AY141+BB141+(1-$F141)*BE141</f>
        <v>0</v>
      </c>
      <c r="BG141" s="84" t="n">
        <f aca="false">BD141+$F141*BE141</f>
        <v>0</v>
      </c>
      <c r="BH141" s="84" t="n">
        <f aca="false">BB141+(1-$F141)*BE141</f>
        <v>0</v>
      </c>
      <c r="BI141" s="84" t="n">
        <f aca="false">BG141</f>
        <v>0</v>
      </c>
      <c r="BJ141" s="133" t="n">
        <f aca="false">AW141+$D141*Inputs!$D$13-$D141*$E141</f>
        <v>8467.1</v>
      </c>
      <c r="BK141" s="84" t="n">
        <f aca="false">BJ141*(1+$I141)</f>
        <v>10753.217</v>
      </c>
      <c r="BL141" s="133" t="n">
        <f aca="false">BK141*Inputs!$D$14</f>
        <v>0</v>
      </c>
      <c r="BM141" s="84" t="n">
        <f aca="false">BK141-BL141</f>
        <v>10753.217</v>
      </c>
      <c r="BN141" s="133" t="n">
        <f aca="false">AZ141+$D141*Inputs!$D$13</f>
        <v>8000</v>
      </c>
      <c r="BO141" s="84" t="n">
        <f aca="false">MIN(BL141,BN141)</f>
        <v>0</v>
      </c>
      <c r="BP141" s="84" t="n">
        <f aca="false">BN141-BO141</f>
        <v>8000</v>
      </c>
      <c r="BQ141" s="84" t="n">
        <f aca="false">BC141+$G141*(BN141+BC141)</f>
        <v>985.6</v>
      </c>
      <c r="BR141" s="84" t="n">
        <f aca="false">MIN(BL141-BO141,BQ141)</f>
        <v>0</v>
      </c>
      <c r="BS141" s="84" t="n">
        <f aca="false">BQ141-BR141</f>
        <v>985.6</v>
      </c>
      <c r="BT141" s="84" t="n">
        <f aca="false">IF($H141=1,MIN(BL141-BO141-BR141,MAX(0,$F141/(1-$F141)*(BH141+BR141)-BI141)),0)</f>
        <v>0</v>
      </c>
      <c r="BU141" s="84" t="n">
        <f aca="false">BL141-BO141-BR141-BT141</f>
        <v>0</v>
      </c>
      <c r="BV141" s="84" t="n">
        <f aca="false">BO141+BR141+(1-$F141)*BU141</f>
        <v>0</v>
      </c>
      <c r="BW141" s="84" t="n">
        <f aca="false">BT141+$F141*BU141</f>
        <v>0</v>
      </c>
      <c r="BX141" s="84" t="n">
        <f aca="false">BH141+BR141+(1-$F141)*BU141</f>
        <v>0</v>
      </c>
      <c r="BY141" s="84" t="n">
        <f aca="false">BI141+BW141</f>
        <v>0</v>
      </c>
      <c r="BZ141" s="133" t="n">
        <f aca="false">BM141+$D141*Inputs!$E$13-$D141*$E141</f>
        <v>14483.217</v>
      </c>
      <c r="CA141" s="84" t="n">
        <f aca="false">BZ141*(1+$I141)</f>
        <v>18393.68559</v>
      </c>
      <c r="CB141" s="133" t="n">
        <f aca="false">CA141*Inputs!$E$14</f>
        <v>0</v>
      </c>
      <c r="CC141" s="84" t="n">
        <f aca="false">CA141-CB141</f>
        <v>18393.68559</v>
      </c>
      <c r="CD141" s="133" t="n">
        <f aca="false">BP141+$D141*Inputs!$E$13</f>
        <v>12000</v>
      </c>
      <c r="CE141" s="84" t="n">
        <f aca="false">MIN(CB141,CD141)</f>
        <v>0</v>
      </c>
      <c r="CF141" s="84" t="n">
        <f aca="false">CD141-CE141</f>
        <v>12000</v>
      </c>
      <c r="CG141" s="84" t="n">
        <f aca="false">BS141+$G141*(CD141+BS141)</f>
        <v>2024.448</v>
      </c>
      <c r="CH141" s="84" t="n">
        <f aca="false">MIN(CB141-CE141,CG141)</f>
        <v>0</v>
      </c>
      <c r="CI141" s="84" t="n">
        <f aca="false">CG141-CH141</f>
        <v>2024.448</v>
      </c>
      <c r="CJ141" s="84" t="n">
        <f aca="false">IF($H141=1,MIN(CB141-CE141-CH141,MAX(0,$F141/(1-$F141)*(BX141+CH141)-BY141)),0)</f>
        <v>0</v>
      </c>
      <c r="CK141" s="84" t="n">
        <f aca="false">CB141-CE141-CH141-CJ141</f>
        <v>0</v>
      </c>
      <c r="CL141" s="84" t="n">
        <f aca="false">CE141+CH141+(1-$F141)*CK141</f>
        <v>0</v>
      </c>
      <c r="CM141" s="84" t="n">
        <f aca="false">CJ141+$F141*CK141</f>
        <v>0</v>
      </c>
      <c r="CN141" s="84" t="n">
        <f aca="false">BX141+CH141+(1-$F141)*CK141</f>
        <v>0</v>
      </c>
      <c r="CO141" s="84" t="n">
        <f aca="false">BY141+CM141</f>
        <v>0</v>
      </c>
      <c r="CP141" s="133" t="n">
        <f aca="false">CC141+$D141*Inputs!$F$13-$D141*$E141</f>
        <v>22123.68559</v>
      </c>
      <c r="CQ141" s="84" t="n">
        <f aca="false">CP141*(1+$I141)</f>
        <v>28097.0806993</v>
      </c>
      <c r="CR141" s="133" t="n">
        <f aca="false">CQ141*Inputs!$F$14</f>
        <v>0</v>
      </c>
      <c r="CS141" s="84" t="n">
        <f aca="false">CQ141-CR141</f>
        <v>28097.0806993</v>
      </c>
      <c r="CT141" s="133" t="n">
        <f aca="false">CF141+$D141*Inputs!$F$13</f>
        <v>16000</v>
      </c>
      <c r="CU141" s="84" t="n">
        <f aca="false">MIN(CR141,CT141)</f>
        <v>0</v>
      </c>
      <c r="CV141" s="84" t="n">
        <f aca="false">CT141-CU141</f>
        <v>16000</v>
      </c>
      <c r="CW141" s="84" t="n">
        <f aca="false">CI141+$G141*(CT141+CI141)</f>
        <v>3466.40384</v>
      </c>
      <c r="CX141" s="84" t="n">
        <f aca="false">MIN(CR141-CU141,CW141)</f>
        <v>0</v>
      </c>
      <c r="CY141" s="84" t="n">
        <f aca="false">CW141-CX141</f>
        <v>3466.40384</v>
      </c>
      <c r="CZ141" s="84" t="n">
        <f aca="false">IF($H141=1,MIN(CR141-CU141-CX141,MAX(0,$F141/(1-$F141)*(CN141+CX141)-CO141)),0)</f>
        <v>0</v>
      </c>
      <c r="DA141" s="84" t="n">
        <f aca="false">CR141-CU141-CX141-CZ141</f>
        <v>0</v>
      </c>
      <c r="DB141" s="84" t="n">
        <f aca="false">CU141+CX141+(1-$F141)*DA141</f>
        <v>0</v>
      </c>
      <c r="DC141" s="84" t="n">
        <f aca="false">CZ141+$F141*DA141</f>
        <v>0</v>
      </c>
      <c r="DD141" s="84" t="n">
        <f aca="false">CN141+CX141+(1-$F141)*DA141</f>
        <v>0</v>
      </c>
      <c r="DE141" s="84" t="n">
        <f aca="false">CO141+DC141</f>
        <v>0</v>
      </c>
      <c r="DF141" s="133" t="n">
        <f aca="false">CS141+$D141*Inputs!$G$13-$D141*$E141</f>
        <v>31827.0806993</v>
      </c>
      <c r="DG141" s="84" t="n">
        <f aca="false">DF141*(1+$I141)</f>
        <v>40420.392488111</v>
      </c>
      <c r="DH141" s="133" t="n">
        <f aca="false">DG141*Inputs!$G$14</f>
        <v>8084.0784976222</v>
      </c>
      <c r="DI141" s="84" t="n">
        <f aca="false">DG141-DH141</f>
        <v>32336.3139904888</v>
      </c>
      <c r="DJ141" s="133" t="n">
        <f aca="false">CV141+$D141*Inputs!$G$13</f>
        <v>20000</v>
      </c>
      <c r="DK141" s="84" t="n">
        <f aca="false">MIN(DH141,DJ141)</f>
        <v>8084.0784976222</v>
      </c>
      <c r="DL141" s="84" t="n">
        <f aca="false">DJ141-DK141</f>
        <v>11915.9215023778</v>
      </c>
      <c r="DM141" s="84" t="n">
        <f aca="false">CY141+$G141*(DJ141+CY141)</f>
        <v>5343.7161472</v>
      </c>
      <c r="DN141" s="84" t="n">
        <f aca="false">MIN(DH141-DK141,DM141)</f>
        <v>0</v>
      </c>
      <c r="DO141" s="84" t="n">
        <f aca="false">DM141-DN141</f>
        <v>5343.7161472</v>
      </c>
      <c r="DP141" s="84" t="n">
        <f aca="false">IF($H141=1,MIN(DH141-DK141-DN141,MAX(0,$F141/(1-$F141)*(DD141+DN141)-DE141)),0)</f>
        <v>0</v>
      </c>
      <c r="DQ141" s="84" t="n">
        <f aca="false">DH141-DK141-DN141-DP141</f>
        <v>0</v>
      </c>
      <c r="DR141" s="84" t="n">
        <f aca="false">DK141+DN141+(1-$F141)*DQ141</f>
        <v>8084.0784976222</v>
      </c>
      <c r="DS141" s="84" t="n">
        <f aca="false">DP141+$F141*DQ141</f>
        <v>0</v>
      </c>
      <c r="DT141" s="84" t="n">
        <f aca="false">DD141+DN141+(1-$F141)*DQ141</f>
        <v>0</v>
      </c>
      <c r="DU141" s="84" t="n">
        <f aca="false">DE141+DS141</f>
        <v>0</v>
      </c>
      <c r="DV141" s="133" t="n">
        <f aca="false">DI141+$D141*Inputs!$H$13-$D141*$E141</f>
        <v>32066.3139904888</v>
      </c>
      <c r="DW141" s="84" t="n">
        <f aca="false">DV141*(1+$I141)</f>
        <v>40724.2187679208</v>
      </c>
      <c r="DX141" s="133" t="n">
        <f aca="false">DW141*Inputs!$H$14</f>
        <v>8144.84375358416</v>
      </c>
      <c r="DY141" s="84" t="n">
        <f aca="false">DW141-DX141</f>
        <v>32579.3750143366</v>
      </c>
      <c r="DZ141" s="133" t="n">
        <f aca="false">DL141+$D141*Inputs!$H$13</f>
        <v>11915.9215023778</v>
      </c>
      <c r="EA141" s="84" t="n">
        <f aca="false">MIN(DX141,DZ141)</f>
        <v>8144.84375358416</v>
      </c>
      <c r="EB141" s="84" t="n">
        <f aca="false">DZ141-EA141</f>
        <v>3771.07774879364</v>
      </c>
      <c r="EC141" s="84" t="n">
        <f aca="false">DO141+$G141*(DZ141+DO141)</f>
        <v>6724.48715916622</v>
      </c>
      <c r="ED141" s="84" t="n">
        <f aca="false">MIN(DX141-EA141,EC141)</f>
        <v>0</v>
      </c>
      <c r="EE141" s="84" t="n">
        <f aca="false">EC141-ED141</f>
        <v>6724.48715916622</v>
      </c>
      <c r="EF141" s="84" t="n">
        <f aca="false">IF($H141=1,MIN(DX141-EA141-ED141,MAX(0,$F141/(1-$F141)*(DT141+ED141)-DU141)),0)</f>
        <v>0</v>
      </c>
      <c r="EG141" s="84" t="n">
        <f aca="false">DX141-EA141-ED141-EF141</f>
        <v>0</v>
      </c>
      <c r="EH141" s="84" t="n">
        <f aca="false">EA141+ED141+(1-$F141)*EG141</f>
        <v>8144.84375358416</v>
      </c>
      <c r="EI141" s="84" t="n">
        <f aca="false">EF141+$F141*EG141</f>
        <v>0</v>
      </c>
      <c r="EJ141" s="84" t="n">
        <f aca="false">DT141+ED141+(1-$F141)*EG141</f>
        <v>0</v>
      </c>
      <c r="EK141" s="84" t="n">
        <f aca="false">DU141+EI141</f>
        <v>0</v>
      </c>
      <c r="EL141" s="133" t="n">
        <f aca="false">DY141+$D141*Inputs!$I$13-$D141*$E141</f>
        <v>32309.3750143366</v>
      </c>
      <c r="EM141" s="84" t="n">
        <f aca="false">EL141*(1+$I141)</f>
        <v>41032.9062682075</v>
      </c>
      <c r="EN141" s="133" t="n">
        <f aca="false">EM141*Inputs!$I$14</f>
        <v>8206.5812536415</v>
      </c>
      <c r="EO141" s="84" t="n">
        <f aca="false">EM141-EN141</f>
        <v>32826.325014566</v>
      </c>
      <c r="EP141" s="133" t="n">
        <f aca="false">EB141+$D141*Inputs!$I$13</f>
        <v>3771.07774879364</v>
      </c>
      <c r="EQ141" s="84" t="n">
        <f aca="false">MIN(EN141,EP141)</f>
        <v>3771.07774879364</v>
      </c>
      <c r="ER141" s="84" t="n">
        <f aca="false">EP141-EQ141</f>
        <v>0</v>
      </c>
      <c r="ES141" s="84" t="n">
        <f aca="false">EE141+$G141*(EP141+EE141)</f>
        <v>7564.13235180301</v>
      </c>
      <c r="ET141" s="84" t="n">
        <f aca="false">MIN(EN141-EQ141,ES141)</f>
        <v>4435.50350484786</v>
      </c>
      <c r="EU141" s="84" t="n">
        <f aca="false">ES141-ET141</f>
        <v>3128.62884695516</v>
      </c>
      <c r="EV141" s="84" t="n">
        <f aca="false">IF($H141=1,MIN(EN141-EQ141-ET141,MAX(0,$F141/(1-$F141)*(EJ141+ET141)-EK141)),0)</f>
        <v>0</v>
      </c>
      <c r="EW141" s="84" t="n">
        <f aca="false">EN141-EQ141-ET141-EV141</f>
        <v>0</v>
      </c>
      <c r="EX141" s="84" t="n">
        <f aca="false">EQ141+ET141+(1-$F141)*EW141</f>
        <v>8206.5812536415</v>
      </c>
      <c r="EY141" s="84" t="n">
        <f aca="false">EV141+$F141*EW141</f>
        <v>0</v>
      </c>
      <c r="EZ141" s="84" t="n">
        <f aca="false">EJ141+ET141+(1-$F141)*EW141</f>
        <v>4435.50350484786</v>
      </c>
      <c r="FA141" s="84" t="n">
        <f aca="false">EK141+EY141</f>
        <v>0</v>
      </c>
      <c r="FB141" s="133" t="n">
        <f aca="false">EO141+$D141*Inputs!$J$13-$D141*$E141</f>
        <v>32556.325014566</v>
      </c>
      <c r="FC141" s="84" t="n">
        <f aca="false">FB141*(1+$I141)</f>
        <v>41346.5327684988</v>
      </c>
      <c r="FD141" s="133" t="n">
        <f aca="false">FC141*Inputs!$J$14</f>
        <v>8269.30655369977</v>
      </c>
      <c r="FE141" s="84" t="n">
        <f aca="false">FC141-FD141</f>
        <v>33077.2262147991</v>
      </c>
      <c r="FF141" s="133" t="n">
        <f aca="false">ER141+$D141*Inputs!$J$13</f>
        <v>0</v>
      </c>
      <c r="FG141" s="84" t="n">
        <f aca="false">MIN(FD141,FF141)</f>
        <v>0</v>
      </c>
      <c r="FH141" s="84" t="n">
        <f aca="false">FF141-FG141</f>
        <v>0</v>
      </c>
      <c r="FI141" s="84" t="n">
        <f aca="false">EU141+$G141*(FF141+EU141)</f>
        <v>3378.91915471157</v>
      </c>
      <c r="FJ141" s="84" t="n">
        <f aca="false">MIN(FD141-FG141,FI141)</f>
        <v>3378.91915471157</v>
      </c>
      <c r="FK141" s="84" t="n">
        <f aca="false">FI141-FJ141</f>
        <v>0</v>
      </c>
      <c r="FL141" s="84" t="n">
        <f aca="false">IF($H141=1,MIN(FD141-FG141-FJ141,MAX(0,$F141/(1-$F141)*(EZ141+FJ141)-FA141)),0)</f>
        <v>1953.60566488986</v>
      </c>
      <c r="FM141" s="84" t="n">
        <f aca="false">FD141-FG141-FJ141-FL141</f>
        <v>2936.78173409834</v>
      </c>
      <c r="FN141" s="84" t="n">
        <f aca="false">FG141+FJ141+(1-$F141)*FM141</f>
        <v>5728.34454199024</v>
      </c>
      <c r="FO141" s="84" t="n">
        <f aca="false">FL141+$F141*FM141</f>
        <v>2540.96201170952</v>
      </c>
      <c r="FP141" s="84" t="n">
        <f aca="false">EZ141+FJ141+(1-$F141)*FM141</f>
        <v>10163.8480468381</v>
      </c>
      <c r="FQ141" s="84" t="n">
        <f aca="false">FA141+FO141</f>
        <v>2540.96201170952</v>
      </c>
      <c r="FR141" s="133" t="n">
        <f aca="false">FE141+$D141*Inputs!$K$13-$D141*$E141</f>
        <v>32807.2262147991</v>
      </c>
      <c r="FS141" s="84" t="n">
        <f aca="false">FR141*(1+$I141)</f>
        <v>41665.1772927948</v>
      </c>
      <c r="FT141" s="133" t="n">
        <f aca="false">FS141*Inputs!$K$14</f>
        <v>8333.03545855896</v>
      </c>
      <c r="FU141" s="84" t="n">
        <f aca="false">FS141-FT141</f>
        <v>33332.1418342359</v>
      </c>
      <c r="FV141" s="133" t="n">
        <f aca="false">FH141+$D141*Inputs!$K$13</f>
        <v>0</v>
      </c>
      <c r="FW141" s="84" t="n">
        <f aca="false">MIN(FT141,FV141)</f>
        <v>0</v>
      </c>
      <c r="FX141" s="84" t="n">
        <f aca="false">FV141-FW141</f>
        <v>0</v>
      </c>
      <c r="FY141" s="84" t="n">
        <f aca="false">FK141+$G141*(FV141+FK141)</f>
        <v>0</v>
      </c>
      <c r="FZ141" s="84" t="n">
        <f aca="false">MIN(FT141-FW141,FY141)</f>
        <v>0</v>
      </c>
      <c r="GA141" s="84" t="n">
        <f aca="false">FY141-FZ141</f>
        <v>0</v>
      </c>
      <c r="GB141" s="84" t="n">
        <f aca="false">IF($H141=1,MIN(FT141-FW141-FZ141,MAX(0,$F141/(1-$F141)*(FP141+FZ141)-FQ141)),0)</f>
        <v>0</v>
      </c>
      <c r="GC141" s="84" t="n">
        <f aca="false">FT141-FW141-FZ141-GB141</f>
        <v>8333.03545855896</v>
      </c>
      <c r="GD141" s="84" t="n">
        <f aca="false">FW141+FZ141+(1-$F141)*GC141</f>
        <v>6666.42836684717</v>
      </c>
      <c r="GE141" s="84" t="n">
        <f aca="false">GB141+$F141*GC141</f>
        <v>1666.60709171179</v>
      </c>
      <c r="GF141" s="84" t="n">
        <f aca="false">FP141+FZ141+(1-$F141)*GC141</f>
        <v>16830.2764136853</v>
      </c>
      <c r="GG141" s="84" t="n">
        <f aca="false">FQ141+GE141</f>
        <v>4207.56910342132</v>
      </c>
      <c r="GH141" s="133" t="n">
        <f aca="false">FU141+$D141*Inputs!$L$13-$D141*$E141</f>
        <v>33062.1418342359</v>
      </c>
      <c r="GI141" s="84" t="n">
        <f aca="false">GH141*(1+$I141)</f>
        <v>41988.9201294795</v>
      </c>
      <c r="GJ141" s="133" t="n">
        <f aca="false">GI141*Inputs!$L$14</f>
        <v>41988.9201294795</v>
      </c>
      <c r="GK141" s="84" t="n">
        <f aca="false">GI141-GJ141</f>
        <v>0</v>
      </c>
      <c r="GL141" s="133" t="n">
        <f aca="false">FX141+$D141*Inputs!$L$13</f>
        <v>0</v>
      </c>
      <c r="GM141" s="84" t="n">
        <f aca="false">MIN(GJ141,GL141)</f>
        <v>0</v>
      </c>
      <c r="GN141" s="84" t="n">
        <f aca="false">GL141-GM141</f>
        <v>0</v>
      </c>
      <c r="GO141" s="84" t="n">
        <f aca="false">GA141+$G141*(GL141+GA141)</f>
        <v>0</v>
      </c>
      <c r="GP141" s="84" t="n">
        <f aca="false">MIN(GJ141-GM141,GO141)</f>
        <v>0</v>
      </c>
      <c r="GQ141" s="84" t="n">
        <f aca="false">GO141-GP141</f>
        <v>0</v>
      </c>
      <c r="GR141" s="84" t="n">
        <f aca="false">IF($H141=1,MIN(GJ141-GM141-GP141,MAX(0,$F141/(1-$F141)*(GF141+GP141)-GG141)),0)</f>
        <v>0</v>
      </c>
      <c r="GS141" s="84" t="n">
        <f aca="false">GJ141-GM141-GP141-GR141</f>
        <v>41988.9201294795</v>
      </c>
      <c r="GT141" s="84" t="n">
        <f aca="false">GM141+GP141+(1-$F141)*GS141</f>
        <v>33591.1361035836</v>
      </c>
      <c r="GU141" s="84" t="n">
        <f aca="false">GR141+$F141*GS141</f>
        <v>8397.78402589591</v>
      </c>
      <c r="GV141" s="84" t="n">
        <f aca="false">GF141+GP141+(1-$F141)*GS141</f>
        <v>50421.4125172689</v>
      </c>
      <c r="GW141" s="84" t="n">
        <f aca="false">GG141+GU141</f>
        <v>12605.3531293172</v>
      </c>
    </row>
    <row r="142" customFormat="false" ht="15" hidden="false" customHeight="false" outlineLevel="0" collapsed="false">
      <c r="A142" s="5" t="s">
        <v>640</v>
      </c>
      <c r="B142" s="5" t="s">
        <v>428</v>
      </c>
      <c r="C142" s="135" t="n">
        <v>28</v>
      </c>
      <c r="D142" s="47" t="n">
        <f aca="false">Inputs!$C$6</f>
        <v>20000</v>
      </c>
      <c r="E142" s="35" t="n">
        <f aca="false">Inputs!$C$19</f>
        <v>0.0135</v>
      </c>
      <c r="F142" s="36" t="n">
        <f aca="false">Inputs!$C$20</f>
        <v>0.2</v>
      </c>
      <c r="G142" s="36" t="n">
        <f aca="false">Inputs!$C$22</f>
        <v>0.08</v>
      </c>
      <c r="H142" s="44" t="n">
        <f aca="false">Inputs!$C$23</f>
        <v>1</v>
      </c>
      <c r="I142" s="132" t="n">
        <f aca="false">Inputs!$C$38+$C142*Inputs!$C$39</f>
        <v>0.28</v>
      </c>
      <c r="J142" s="36" t="n">
        <f aca="false">Inputs!$C$9</f>
        <v>0.15</v>
      </c>
      <c r="K142" s="89" t="n">
        <f aca="false">IRR(W142:AG142,0.1)</f>
        <v>0.235417612566237</v>
      </c>
      <c r="L142" s="45" t="n">
        <f aca="false">W142+NPV($J142,X142:AG142)</f>
        <v>8411.37695353815</v>
      </c>
      <c r="M142" s="45" t="n">
        <f aca="false">SUM(BF142,BV142,CL142,DB142,DR142,EH142,EX142,FN142,GD142,GT142)</f>
        <v>74259.5193734131</v>
      </c>
      <c r="N142" s="43" t="n">
        <f aca="false">IF($D142*SUM(Inputs!$C$13:$L$13)=0,0,M142/($D142*SUM(Inputs!$C$13:$L$13)))</f>
        <v>3.71297596867065</v>
      </c>
      <c r="O142" s="42" t="n">
        <f aca="false">$D142*$E142*COLUMNS(Inputs!$C$13:$L$13)</f>
        <v>2700</v>
      </c>
      <c r="P142" s="45" t="n">
        <f aca="false">SUM(BG142,BW142,CM142,DC142,DS142,EI142,EY142,FO142,GE142,GU142)</f>
        <v>13564.8798433533</v>
      </c>
      <c r="Q142" s="42" t="n">
        <f aca="false">PV($J142,COLUMNS(Inputs!$C$13:$L$13),-$D142*$E142,0,1)</f>
        <v>1558.32765832774</v>
      </c>
      <c r="R142" s="45" t="n">
        <f aca="false">NPV($J142,BG142,BW142,CM142,DC142,DS142,EI142,EY142,FO142,GE142,GU142)</f>
        <v>3642.22334534977</v>
      </c>
      <c r="S142" s="45" t="n">
        <f aca="false">Q142+R142</f>
        <v>5200.55100367751</v>
      </c>
      <c r="T142" s="32" t="n">
        <f aca="false">IF(S142=0,0,Q142/S142)</f>
        <v>0.299646644600886</v>
      </c>
      <c r="U142" s="45" t="n">
        <f aca="false">ROUND(ABS(GK142)+ABS(SUM(AV142,BL142,CB142,CR142,DH142,DX142,EN142,FD142,FT142,GJ142)-M142-P142)+ABS(S142-(AH142+NPV($J142,AI142:AR142))),6)</f>
        <v>0</v>
      </c>
      <c r="W142" s="133" t="n">
        <f aca="false">-$D142*Inputs!$C$13</f>
        <v>-4000</v>
      </c>
      <c r="X142" s="133" t="n">
        <f aca="false">BF142-$D142*Inputs!$D$13</f>
        <v>-4000</v>
      </c>
      <c r="Y142" s="133" t="n">
        <f aca="false">BV142-$D142*Inputs!$E$13</f>
        <v>-4000</v>
      </c>
      <c r="Z142" s="133" t="n">
        <f aca="false">CL142-$D142*Inputs!$F$13</f>
        <v>-4000</v>
      </c>
      <c r="AA142" s="133" t="n">
        <f aca="false">DB142-$D142*Inputs!$G$13</f>
        <v>-4000</v>
      </c>
      <c r="AB142" s="133" t="n">
        <f aca="false">DR142-$D142*Inputs!$H$13</f>
        <v>8307.3667760128</v>
      </c>
      <c r="AC142" s="133" t="n">
        <f aca="false">EH142-$D142*Inputs!$I$13</f>
        <v>8437.62357863711</v>
      </c>
      <c r="AD142" s="133" t="n">
        <f aca="false">EX142-$D142*Inputs!$J$13</f>
        <v>8571.0065445244</v>
      </c>
      <c r="AE142" s="133" t="n">
        <f aca="false">FN142-$D142*Inputs!$K$13</f>
        <v>5902.87318143953</v>
      </c>
      <c r="AF142" s="133" t="n">
        <f aca="false">GD142-$D142*Inputs!$L$13</f>
        <v>7077.96230274497</v>
      </c>
      <c r="AG142" s="84" t="n">
        <f aca="false">GT142</f>
        <v>35962.6869900543</v>
      </c>
      <c r="AH142" s="84" t="n">
        <f aca="false">$D142*$E142</f>
        <v>270</v>
      </c>
      <c r="AI142" s="84" t="n">
        <f aca="false">BG142+$D142*$E142</f>
        <v>270</v>
      </c>
      <c r="AJ142" s="84" t="n">
        <f aca="false">BW142+$D142*$E142</f>
        <v>270</v>
      </c>
      <c r="AK142" s="84" t="n">
        <f aca="false">CM142+$D142*$E142</f>
        <v>270</v>
      </c>
      <c r="AL142" s="84" t="n">
        <f aca="false">DC142+$D142*$E142</f>
        <v>270</v>
      </c>
      <c r="AM142" s="84" t="n">
        <f aca="false">DS142+$D142*$E142</f>
        <v>270</v>
      </c>
      <c r="AN142" s="84" t="n">
        <f aca="false">EI142+$D142*$E142</f>
        <v>270</v>
      </c>
      <c r="AO142" s="84" t="n">
        <f aca="false">EY142+$D142*$E142</f>
        <v>270</v>
      </c>
      <c r="AP142" s="84" t="n">
        <f aca="false">FO142+$D142*$E142</f>
        <v>3074.71752015346</v>
      </c>
      <c r="AQ142" s="84" t="n">
        <f aca="false">GE142+$D142*$E142</f>
        <v>2039.49057568624</v>
      </c>
      <c r="AR142" s="84" t="n">
        <f aca="false">GU142</f>
        <v>8990.67174751357</v>
      </c>
      <c r="AT142" s="133" t="n">
        <f aca="false">$D142*Inputs!$C$13-$D142*$E142</f>
        <v>3730</v>
      </c>
      <c r="AU142" s="84" t="n">
        <f aca="false">AT142*(1+$I142)</f>
        <v>4774.4</v>
      </c>
      <c r="AV142" s="133" t="n">
        <f aca="false">AU142*Inputs!$C$14</f>
        <v>0</v>
      </c>
      <c r="AW142" s="84" t="n">
        <f aca="false">AU142-AV142</f>
        <v>4774.4</v>
      </c>
      <c r="AX142" s="133" t="n">
        <f aca="false">$D142*Inputs!$C$13</f>
        <v>4000</v>
      </c>
      <c r="AY142" s="84" t="n">
        <f aca="false">MIN(AV142,AX142)</f>
        <v>0</v>
      </c>
      <c r="AZ142" s="84" t="n">
        <f aca="false">AX142-AY142</f>
        <v>4000</v>
      </c>
      <c r="BA142" s="84" t="n">
        <f aca="false">$G142*AX142</f>
        <v>320</v>
      </c>
      <c r="BB142" s="84" t="n">
        <f aca="false">MIN(AV142-AY142,BA142)</f>
        <v>0</v>
      </c>
      <c r="BC142" s="84" t="n">
        <f aca="false">BA142-BB142</f>
        <v>320</v>
      </c>
      <c r="BD142" s="84" t="n">
        <f aca="false">IF($H142=1,MIN(AV142-AY142-BB142,MAX(0,$F142/(1-$F142)*BB142)),0)</f>
        <v>0</v>
      </c>
      <c r="BE142" s="84" t="n">
        <f aca="false">AV142-AY142-BB142-BD142</f>
        <v>0</v>
      </c>
      <c r="BF142" s="84" t="n">
        <f aca="false">AY142+BB142+(1-$F142)*BE142</f>
        <v>0</v>
      </c>
      <c r="BG142" s="84" t="n">
        <f aca="false">BD142+$F142*BE142</f>
        <v>0</v>
      </c>
      <c r="BH142" s="84" t="n">
        <f aca="false">BB142+(1-$F142)*BE142</f>
        <v>0</v>
      </c>
      <c r="BI142" s="84" t="n">
        <f aca="false">BG142</f>
        <v>0</v>
      </c>
      <c r="BJ142" s="133" t="n">
        <f aca="false">AW142+$D142*Inputs!$D$13-$D142*$E142</f>
        <v>8504.4</v>
      </c>
      <c r="BK142" s="84" t="n">
        <f aca="false">BJ142*(1+$I142)</f>
        <v>10885.632</v>
      </c>
      <c r="BL142" s="133" t="n">
        <f aca="false">BK142*Inputs!$D$14</f>
        <v>0</v>
      </c>
      <c r="BM142" s="84" t="n">
        <f aca="false">BK142-BL142</f>
        <v>10885.632</v>
      </c>
      <c r="BN142" s="133" t="n">
        <f aca="false">AZ142+$D142*Inputs!$D$13</f>
        <v>8000</v>
      </c>
      <c r="BO142" s="84" t="n">
        <f aca="false">MIN(BL142,BN142)</f>
        <v>0</v>
      </c>
      <c r="BP142" s="84" t="n">
        <f aca="false">BN142-BO142</f>
        <v>8000</v>
      </c>
      <c r="BQ142" s="84" t="n">
        <f aca="false">BC142+$G142*(BN142+BC142)</f>
        <v>985.6</v>
      </c>
      <c r="BR142" s="84" t="n">
        <f aca="false">MIN(BL142-BO142,BQ142)</f>
        <v>0</v>
      </c>
      <c r="BS142" s="84" t="n">
        <f aca="false">BQ142-BR142</f>
        <v>985.6</v>
      </c>
      <c r="BT142" s="84" t="n">
        <f aca="false">IF($H142=1,MIN(BL142-BO142-BR142,MAX(0,$F142/(1-$F142)*(BH142+BR142)-BI142)),0)</f>
        <v>0</v>
      </c>
      <c r="BU142" s="84" t="n">
        <f aca="false">BL142-BO142-BR142-BT142</f>
        <v>0</v>
      </c>
      <c r="BV142" s="84" t="n">
        <f aca="false">BO142+BR142+(1-$F142)*BU142</f>
        <v>0</v>
      </c>
      <c r="BW142" s="84" t="n">
        <f aca="false">BT142+$F142*BU142</f>
        <v>0</v>
      </c>
      <c r="BX142" s="84" t="n">
        <f aca="false">BH142+BR142+(1-$F142)*BU142</f>
        <v>0</v>
      </c>
      <c r="BY142" s="84" t="n">
        <f aca="false">BI142+BW142</f>
        <v>0</v>
      </c>
      <c r="BZ142" s="133" t="n">
        <f aca="false">BM142+$D142*Inputs!$E$13-$D142*$E142</f>
        <v>14615.632</v>
      </c>
      <c r="CA142" s="84" t="n">
        <f aca="false">BZ142*(1+$I142)</f>
        <v>18708.00896</v>
      </c>
      <c r="CB142" s="133" t="n">
        <f aca="false">CA142*Inputs!$E$14</f>
        <v>0</v>
      </c>
      <c r="CC142" s="84" t="n">
        <f aca="false">CA142-CB142</f>
        <v>18708.00896</v>
      </c>
      <c r="CD142" s="133" t="n">
        <f aca="false">BP142+$D142*Inputs!$E$13</f>
        <v>12000</v>
      </c>
      <c r="CE142" s="84" t="n">
        <f aca="false">MIN(CB142,CD142)</f>
        <v>0</v>
      </c>
      <c r="CF142" s="84" t="n">
        <f aca="false">CD142-CE142</f>
        <v>12000</v>
      </c>
      <c r="CG142" s="84" t="n">
        <f aca="false">BS142+$G142*(CD142+BS142)</f>
        <v>2024.448</v>
      </c>
      <c r="CH142" s="84" t="n">
        <f aca="false">MIN(CB142-CE142,CG142)</f>
        <v>0</v>
      </c>
      <c r="CI142" s="84" t="n">
        <f aca="false">CG142-CH142</f>
        <v>2024.448</v>
      </c>
      <c r="CJ142" s="84" t="n">
        <f aca="false">IF($H142=1,MIN(CB142-CE142-CH142,MAX(0,$F142/(1-$F142)*(BX142+CH142)-BY142)),0)</f>
        <v>0</v>
      </c>
      <c r="CK142" s="84" t="n">
        <f aca="false">CB142-CE142-CH142-CJ142</f>
        <v>0</v>
      </c>
      <c r="CL142" s="84" t="n">
        <f aca="false">CE142+CH142+(1-$F142)*CK142</f>
        <v>0</v>
      </c>
      <c r="CM142" s="84" t="n">
        <f aca="false">CJ142+$F142*CK142</f>
        <v>0</v>
      </c>
      <c r="CN142" s="84" t="n">
        <f aca="false">BX142+CH142+(1-$F142)*CK142</f>
        <v>0</v>
      </c>
      <c r="CO142" s="84" t="n">
        <f aca="false">BY142+CM142</f>
        <v>0</v>
      </c>
      <c r="CP142" s="133" t="n">
        <f aca="false">CC142+$D142*Inputs!$F$13-$D142*$E142</f>
        <v>22438.00896</v>
      </c>
      <c r="CQ142" s="84" t="n">
        <f aca="false">CP142*(1+$I142)</f>
        <v>28720.6514688</v>
      </c>
      <c r="CR142" s="133" t="n">
        <f aca="false">CQ142*Inputs!$F$14</f>
        <v>0</v>
      </c>
      <c r="CS142" s="84" t="n">
        <f aca="false">CQ142-CR142</f>
        <v>28720.6514688</v>
      </c>
      <c r="CT142" s="133" t="n">
        <f aca="false">CF142+$D142*Inputs!$F$13</f>
        <v>16000</v>
      </c>
      <c r="CU142" s="84" t="n">
        <f aca="false">MIN(CR142,CT142)</f>
        <v>0</v>
      </c>
      <c r="CV142" s="84" t="n">
        <f aca="false">CT142-CU142</f>
        <v>16000</v>
      </c>
      <c r="CW142" s="84" t="n">
        <f aca="false">CI142+$G142*(CT142+CI142)</f>
        <v>3466.40384</v>
      </c>
      <c r="CX142" s="84" t="n">
        <f aca="false">MIN(CR142-CU142,CW142)</f>
        <v>0</v>
      </c>
      <c r="CY142" s="84" t="n">
        <f aca="false">CW142-CX142</f>
        <v>3466.40384</v>
      </c>
      <c r="CZ142" s="84" t="n">
        <f aca="false">IF($H142=1,MIN(CR142-CU142-CX142,MAX(0,$F142/(1-$F142)*(CN142+CX142)-CO142)),0)</f>
        <v>0</v>
      </c>
      <c r="DA142" s="84" t="n">
        <f aca="false">CR142-CU142-CX142-CZ142</f>
        <v>0</v>
      </c>
      <c r="DB142" s="84" t="n">
        <f aca="false">CU142+CX142+(1-$F142)*DA142</f>
        <v>0</v>
      </c>
      <c r="DC142" s="84" t="n">
        <f aca="false">CZ142+$F142*DA142</f>
        <v>0</v>
      </c>
      <c r="DD142" s="84" t="n">
        <f aca="false">CN142+CX142+(1-$F142)*DA142</f>
        <v>0</v>
      </c>
      <c r="DE142" s="84" t="n">
        <f aca="false">CO142+DC142</f>
        <v>0</v>
      </c>
      <c r="DF142" s="133" t="n">
        <f aca="false">CS142+$D142*Inputs!$G$13-$D142*$E142</f>
        <v>32450.6514688</v>
      </c>
      <c r="DG142" s="84" t="n">
        <f aca="false">DF142*(1+$I142)</f>
        <v>41536.833880064</v>
      </c>
      <c r="DH142" s="133" t="n">
        <f aca="false">DG142*Inputs!$G$14</f>
        <v>8307.3667760128</v>
      </c>
      <c r="DI142" s="84" t="n">
        <f aca="false">DG142-DH142</f>
        <v>33229.4671040512</v>
      </c>
      <c r="DJ142" s="133" t="n">
        <f aca="false">CV142+$D142*Inputs!$G$13</f>
        <v>20000</v>
      </c>
      <c r="DK142" s="84" t="n">
        <f aca="false">MIN(DH142,DJ142)</f>
        <v>8307.3667760128</v>
      </c>
      <c r="DL142" s="84" t="n">
        <f aca="false">DJ142-DK142</f>
        <v>11692.6332239872</v>
      </c>
      <c r="DM142" s="84" t="n">
        <f aca="false">CY142+$G142*(DJ142+CY142)</f>
        <v>5343.7161472</v>
      </c>
      <c r="DN142" s="84" t="n">
        <f aca="false">MIN(DH142-DK142,DM142)</f>
        <v>0</v>
      </c>
      <c r="DO142" s="84" t="n">
        <f aca="false">DM142-DN142</f>
        <v>5343.7161472</v>
      </c>
      <c r="DP142" s="84" t="n">
        <f aca="false">IF($H142=1,MIN(DH142-DK142-DN142,MAX(0,$F142/(1-$F142)*(DD142+DN142)-DE142)),0)</f>
        <v>0</v>
      </c>
      <c r="DQ142" s="84" t="n">
        <f aca="false">DH142-DK142-DN142-DP142</f>
        <v>0</v>
      </c>
      <c r="DR142" s="84" t="n">
        <f aca="false">DK142+DN142+(1-$F142)*DQ142</f>
        <v>8307.3667760128</v>
      </c>
      <c r="DS142" s="84" t="n">
        <f aca="false">DP142+$F142*DQ142</f>
        <v>0</v>
      </c>
      <c r="DT142" s="84" t="n">
        <f aca="false">DD142+DN142+(1-$F142)*DQ142</f>
        <v>0</v>
      </c>
      <c r="DU142" s="84" t="n">
        <f aca="false">DE142+DS142</f>
        <v>0</v>
      </c>
      <c r="DV142" s="133" t="n">
        <f aca="false">DI142+$D142*Inputs!$H$13-$D142*$E142</f>
        <v>32959.4671040512</v>
      </c>
      <c r="DW142" s="84" t="n">
        <f aca="false">DV142*(1+$I142)</f>
        <v>42188.1178931855</v>
      </c>
      <c r="DX142" s="133" t="n">
        <f aca="false">DW142*Inputs!$H$14</f>
        <v>8437.62357863711</v>
      </c>
      <c r="DY142" s="84" t="n">
        <f aca="false">DW142-DX142</f>
        <v>33750.4943145484</v>
      </c>
      <c r="DZ142" s="133" t="n">
        <f aca="false">DL142+$D142*Inputs!$H$13</f>
        <v>11692.6332239872</v>
      </c>
      <c r="EA142" s="84" t="n">
        <f aca="false">MIN(DX142,DZ142)</f>
        <v>8437.62357863711</v>
      </c>
      <c r="EB142" s="84" t="n">
        <f aca="false">DZ142-EA142</f>
        <v>3255.00964535009</v>
      </c>
      <c r="EC142" s="84" t="n">
        <f aca="false">DO142+$G142*(DZ142+DO142)</f>
        <v>6706.62409689498</v>
      </c>
      <c r="ED142" s="84" t="n">
        <f aca="false">MIN(DX142-EA142,EC142)</f>
        <v>0</v>
      </c>
      <c r="EE142" s="84" t="n">
        <f aca="false">EC142-ED142</f>
        <v>6706.62409689498</v>
      </c>
      <c r="EF142" s="84" t="n">
        <f aca="false">IF($H142=1,MIN(DX142-EA142-ED142,MAX(0,$F142/(1-$F142)*(DT142+ED142)-DU142)),0)</f>
        <v>0</v>
      </c>
      <c r="EG142" s="84" t="n">
        <f aca="false">DX142-EA142-ED142-EF142</f>
        <v>0</v>
      </c>
      <c r="EH142" s="84" t="n">
        <f aca="false">EA142+ED142+(1-$F142)*EG142</f>
        <v>8437.62357863711</v>
      </c>
      <c r="EI142" s="84" t="n">
        <f aca="false">EF142+$F142*EG142</f>
        <v>0</v>
      </c>
      <c r="EJ142" s="84" t="n">
        <f aca="false">DT142+ED142+(1-$F142)*EG142</f>
        <v>0</v>
      </c>
      <c r="EK142" s="84" t="n">
        <f aca="false">DU142+EI142</f>
        <v>0</v>
      </c>
      <c r="EL142" s="133" t="n">
        <f aca="false">DY142+$D142*Inputs!$I$13-$D142*$E142</f>
        <v>33480.4943145484</v>
      </c>
      <c r="EM142" s="84" t="n">
        <f aca="false">EL142*(1+$I142)</f>
        <v>42855.032722622</v>
      </c>
      <c r="EN142" s="133" t="n">
        <f aca="false">EM142*Inputs!$I$14</f>
        <v>8571.0065445244</v>
      </c>
      <c r="EO142" s="84" t="n">
        <f aca="false">EM142-EN142</f>
        <v>34284.0261780976</v>
      </c>
      <c r="EP142" s="133" t="n">
        <f aca="false">EB142+$D142*Inputs!$I$13</f>
        <v>3255.00964535009</v>
      </c>
      <c r="EQ142" s="84" t="n">
        <f aca="false">MIN(EN142,EP142)</f>
        <v>3255.00964535009</v>
      </c>
      <c r="ER142" s="84" t="n">
        <f aca="false">EP142-EQ142</f>
        <v>0</v>
      </c>
      <c r="ES142" s="84" t="n">
        <f aca="false">EE142+$G142*(EP142+EE142)</f>
        <v>7503.55479627458</v>
      </c>
      <c r="ET142" s="84" t="n">
        <f aca="false">MIN(EN142-EQ142,ES142)</f>
        <v>5315.99689917431</v>
      </c>
      <c r="EU142" s="84" t="n">
        <f aca="false">ES142-ET142</f>
        <v>2187.55789710027</v>
      </c>
      <c r="EV142" s="84" t="n">
        <f aca="false">IF($H142=1,MIN(EN142-EQ142-ET142,MAX(0,$F142/(1-$F142)*(EJ142+ET142)-EK142)),0)</f>
        <v>0</v>
      </c>
      <c r="EW142" s="84" t="n">
        <f aca="false">EN142-EQ142-ET142-EV142</f>
        <v>0</v>
      </c>
      <c r="EX142" s="84" t="n">
        <f aca="false">EQ142+ET142+(1-$F142)*EW142</f>
        <v>8571.0065445244</v>
      </c>
      <c r="EY142" s="84" t="n">
        <f aca="false">EV142+$F142*EW142</f>
        <v>0</v>
      </c>
      <c r="EZ142" s="84" t="n">
        <f aca="false">EJ142+ET142+(1-$F142)*EW142</f>
        <v>5315.99689917431</v>
      </c>
      <c r="FA142" s="84" t="n">
        <f aca="false">EK142+EY142</f>
        <v>0</v>
      </c>
      <c r="FB142" s="133" t="n">
        <f aca="false">EO142+$D142*Inputs!$J$13-$D142*$E142</f>
        <v>34014.0261780976</v>
      </c>
      <c r="FC142" s="84" t="n">
        <f aca="false">FB142*(1+$I142)</f>
        <v>43537.9535079649</v>
      </c>
      <c r="FD142" s="133" t="n">
        <f aca="false">FC142*Inputs!$J$14</f>
        <v>8707.59070159298</v>
      </c>
      <c r="FE142" s="84" t="n">
        <f aca="false">FC142-FD142</f>
        <v>34830.3628063719</v>
      </c>
      <c r="FF142" s="133" t="n">
        <f aca="false">ER142+$D142*Inputs!$J$13</f>
        <v>0</v>
      </c>
      <c r="FG142" s="84" t="n">
        <f aca="false">MIN(FD142,FF142)</f>
        <v>0</v>
      </c>
      <c r="FH142" s="84" t="n">
        <f aca="false">FF142-FG142</f>
        <v>0</v>
      </c>
      <c r="FI142" s="84" t="n">
        <f aca="false">EU142+$G142*(FF142+EU142)</f>
        <v>2362.5625288683</v>
      </c>
      <c r="FJ142" s="84" t="n">
        <f aca="false">MIN(FD142-FG142,FI142)</f>
        <v>2362.5625288683</v>
      </c>
      <c r="FK142" s="84" t="n">
        <f aca="false">FI142-FJ142</f>
        <v>0</v>
      </c>
      <c r="FL142" s="84" t="n">
        <f aca="false">IF($H142=1,MIN(FD142-FG142-FJ142,MAX(0,$F142/(1-$F142)*(EZ142+FJ142)-FA142)),0)</f>
        <v>1919.63985701065</v>
      </c>
      <c r="FM142" s="84" t="n">
        <f aca="false">FD142-FG142-FJ142-FL142</f>
        <v>4425.38831571404</v>
      </c>
      <c r="FN142" s="84" t="n">
        <f aca="false">FG142+FJ142+(1-$F142)*FM142</f>
        <v>5902.87318143953</v>
      </c>
      <c r="FO142" s="84" t="n">
        <f aca="false">FL142+$F142*FM142</f>
        <v>2804.71752015346</v>
      </c>
      <c r="FP142" s="84" t="n">
        <f aca="false">EZ142+FJ142+(1-$F142)*FM142</f>
        <v>11218.8700806138</v>
      </c>
      <c r="FQ142" s="84" t="n">
        <f aca="false">FA142+FO142</f>
        <v>2804.71752015346</v>
      </c>
      <c r="FR142" s="133" t="n">
        <f aca="false">FE142+$D142*Inputs!$K$13-$D142*$E142</f>
        <v>34560.3628063719</v>
      </c>
      <c r="FS142" s="84" t="n">
        <f aca="false">FR142*(1+$I142)</f>
        <v>44237.2643921561</v>
      </c>
      <c r="FT142" s="133" t="n">
        <f aca="false">FS142*Inputs!$K$14</f>
        <v>8847.45287843122</v>
      </c>
      <c r="FU142" s="84" t="n">
        <f aca="false">FS142-FT142</f>
        <v>35389.8115137249</v>
      </c>
      <c r="FV142" s="133" t="n">
        <f aca="false">FH142+$D142*Inputs!$K$13</f>
        <v>0</v>
      </c>
      <c r="FW142" s="84" t="n">
        <f aca="false">MIN(FT142,FV142)</f>
        <v>0</v>
      </c>
      <c r="FX142" s="84" t="n">
        <f aca="false">FV142-FW142</f>
        <v>0</v>
      </c>
      <c r="FY142" s="84" t="n">
        <f aca="false">FK142+$G142*(FV142+FK142)</f>
        <v>0</v>
      </c>
      <c r="FZ142" s="84" t="n">
        <f aca="false">MIN(FT142-FW142,FY142)</f>
        <v>0</v>
      </c>
      <c r="GA142" s="84" t="n">
        <f aca="false">FY142-FZ142</f>
        <v>0</v>
      </c>
      <c r="GB142" s="84" t="n">
        <f aca="false">IF($H142=1,MIN(FT142-FW142-FZ142,MAX(0,$F142/(1-$F142)*(FP142+FZ142)-FQ142)),0)</f>
        <v>0</v>
      </c>
      <c r="GC142" s="84" t="n">
        <f aca="false">FT142-FW142-FZ142-GB142</f>
        <v>8847.45287843122</v>
      </c>
      <c r="GD142" s="84" t="n">
        <f aca="false">FW142+FZ142+(1-$F142)*GC142</f>
        <v>7077.96230274497</v>
      </c>
      <c r="GE142" s="84" t="n">
        <f aca="false">GB142+$F142*GC142</f>
        <v>1769.49057568624</v>
      </c>
      <c r="GF142" s="84" t="n">
        <f aca="false">FP142+FZ142+(1-$F142)*GC142</f>
        <v>18296.8323833588</v>
      </c>
      <c r="GG142" s="84" t="n">
        <f aca="false">FQ142+GE142</f>
        <v>4574.2080958397</v>
      </c>
      <c r="GH142" s="133" t="n">
        <f aca="false">FU142+$D142*Inputs!$L$13-$D142*$E142</f>
        <v>35119.8115137249</v>
      </c>
      <c r="GI142" s="84" t="n">
        <f aca="false">GH142*(1+$I142)</f>
        <v>44953.3587375678</v>
      </c>
      <c r="GJ142" s="133" t="n">
        <f aca="false">GI142*Inputs!$L$14</f>
        <v>44953.3587375678</v>
      </c>
      <c r="GK142" s="84" t="n">
        <f aca="false">GI142-GJ142</f>
        <v>0</v>
      </c>
      <c r="GL142" s="133" t="n">
        <f aca="false">FX142+$D142*Inputs!$L$13</f>
        <v>0</v>
      </c>
      <c r="GM142" s="84" t="n">
        <f aca="false">MIN(GJ142,GL142)</f>
        <v>0</v>
      </c>
      <c r="GN142" s="84" t="n">
        <f aca="false">GL142-GM142</f>
        <v>0</v>
      </c>
      <c r="GO142" s="84" t="n">
        <f aca="false">GA142+$G142*(GL142+GA142)</f>
        <v>0</v>
      </c>
      <c r="GP142" s="84" t="n">
        <f aca="false">MIN(GJ142-GM142,GO142)</f>
        <v>0</v>
      </c>
      <c r="GQ142" s="84" t="n">
        <f aca="false">GO142-GP142</f>
        <v>0</v>
      </c>
      <c r="GR142" s="84" t="n">
        <f aca="false">IF($H142=1,MIN(GJ142-GM142-GP142,MAX(0,$F142/(1-$F142)*(GF142+GP142)-GG142)),0)</f>
        <v>0</v>
      </c>
      <c r="GS142" s="84" t="n">
        <f aca="false">GJ142-GM142-GP142-GR142</f>
        <v>44953.3587375678</v>
      </c>
      <c r="GT142" s="84" t="n">
        <f aca="false">GM142+GP142+(1-$F142)*GS142</f>
        <v>35962.6869900543</v>
      </c>
      <c r="GU142" s="84" t="n">
        <f aca="false">GR142+$F142*GS142</f>
        <v>8990.67174751357</v>
      </c>
      <c r="GV142" s="84" t="n">
        <f aca="false">GF142+GP142+(1-$F142)*GS142</f>
        <v>54259.5193734131</v>
      </c>
      <c r="GW142" s="84" t="n">
        <f aca="false">GG142+GU142</f>
        <v>13564.8798433533</v>
      </c>
    </row>
    <row r="143" customFormat="false" ht="15" hidden="false" customHeight="false" outlineLevel="0" collapsed="false">
      <c r="A143" s="5" t="s">
        <v>640</v>
      </c>
      <c r="B143" s="5" t="s">
        <v>428</v>
      </c>
      <c r="C143" s="135" t="n">
        <v>29</v>
      </c>
      <c r="D143" s="47" t="n">
        <f aca="false">Inputs!$C$6</f>
        <v>20000</v>
      </c>
      <c r="E143" s="35" t="n">
        <f aca="false">Inputs!$C$19</f>
        <v>0.0135</v>
      </c>
      <c r="F143" s="36" t="n">
        <f aca="false">Inputs!$C$20</f>
        <v>0.2</v>
      </c>
      <c r="G143" s="36" t="n">
        <f aca="false">Inputs!$C$22</f>
        <v>0.08</v>
      </c>
      <c r="H143" s="44" t="n">
        <f aca="false">Inputs!$C$23</f>
        <v>1</v>
      </c>
      <c r="I143" s="132" t="n">
        <f aca="false">Inputs!$C$38+$C143*Inputs!$C$39</f>
        <v>0.29</v>
      </c>
      <c r="J143" s="36" t="n">
        <f aca="false">Inputs!$C$9</f>
        <v>0.15</v>
      </c>
      <c r="K143" s="89" t="n">
        <f aca="false">IRR(W143:AG143,0.1)</f>
        <v>0.245008162639939</v>
      </c>
      <c r="L143" s="45" t="n">
        <f aca="false">W143+NPV($J143,X143:AG143)</f>
        <v>9604.55761667471</v>
      </c>
      <c r="M143" s="45" t="n">
        <f aca="false">SUM(BF143,BV143,CL143,DB143,DR143,EH143,EX143,FN143,GD143,GT143)</f>
        <v>78307.4056940926</v>
      </c>
      <c r="N143" s="43" t="n">
        <f aca="false">IF($D143*SUM(Inputs!$C$13:$L$13)=0,0,M143/($D143*SUM(Inputs!$C$13:$L$13)))</f>
        <v>3.91537028470463</v>
      </c>
      <c r="O143" s="42" t="n">
        <f aca="false">$D143*$E143*COLUMNS(Inputs!$C$13:$L$13)</f>
        <v>2700</v>
      </c>
      <c r="P143" s="45" t="n">
        <f aca="false">SUM(BG143,BW143,CM143,DC143,DS143,EI143,EY143,FO143,GE143,GU143)</f>
        <v>14576.8514235231</v>
      </c>
      <c r="Q143" s="42" t="n">
        <f aca="false">PV($J143,COLUMNS(Inputs!$C$13:$L$13),-$D143*$E143,0,1)</f>
        <v>1558.32765832774</v>
      </c>
      <c r="R143" s="45" t="n">
        <f aca="false">NPV($J143,BG143,BW143,CM143,DC143,DS143,EI143,EY143,FO143,GE143,GU143)</f>
        <v>3918.19211280528</v>
      </c>
      <c r="S143" s="45" t="n">
        <f aca="false">Q143+R143</f>
        <v>5476.51977113302</v>
      </c>
      <c r="T143" s="32" t="n">
        <f aca="false">IF(S143=0,0,Q143/S143)</f>
        <v>0.284547070667352</v>
      </c>
      <c r="U143" s="45" t="n">
        <f aca="false">ROUND(ABS(GK143)+ABS(SUM(AV143,BL143,CB143,CR143,DH143,DX143,EN143,FD143,FT143,GJ143)-M143-P143)+ABS(S143-(AH143+NPV($J143,AI143:AR143))),6)</f>
        <v>0</v>
      </c>
      <c r="W143" s="133" t="n">
        <f aca="false">-$D143*Inputs!$C$13</f>
        <v>-4000</v>
      </c>
      <c r="X143" s="133" t="n">
        <f aca="false">BF143-$D143*Inputs!$D$13</f>
        <v>-4000</v>
      </c>
      <c r="Y143" s="133" t="n">
        <f aca="false">BV143-$D143*Inputs!$E$13</f>
        <v>-4000</v>
      </c>
      <c r="Z143" s="133" t="n">
        <f aca="false">CL143-$D143*Inputs!$F$13</f>
        <v>-4000</v>
      </c>
      <c r="AA143" s="133" t="n">
        <f aca="false">DB143-$D143*Inputs!$G$13</f>
        <v>-4000</v>
      </c>
      <c r="AB143" s="133" t="n">
        <f aca="false">DR143-$D143*Inputs!$H$13</f>
        <v>8535.9729392754</v>
      </c>
      <c r="AC143" s="133" t="n">
        <f aca="false">EH143-$D143*Inputs!$I$13</f>
        <v>8739.46407333221</v>
      </c>
      <c r="AD143" s="133" t="n">
        <f aca="false">EX143-$D143*Inputs!$J$13</f>
        <v>8949.46692367885</v>
      </c>
      <c r="AE143" s="133" t="n">
        <f aca="false">FN143-$D143*Inputs!$K$13</f>
        <v>6087.97110493196</v>
      </c>
      <c r="AF143" s="133" t="n">
        <f aca="false">GD143-$D143*Inputs!$L$13</f>
        <v>7511.87835273931</v>
      </c>
      <c r="AG143" s="84" t="n">
        <f aca="false">GT143</f>
        <v>38482.6523001348</v>
      </c>
      <c r="AH143" s="84" t="n">
        <f aca="false">$D143*$E143</f>
        <v>270</v>
      </c>
      <c r="AI143" s="84" t="n">
        <f aca="false">BG143+$D143*$E143</f>
        <v>270</v>
      </c>
      <c r="AJ143" s="84" t="n">
        <f aca="false">BW143+$D143*$E143</f>
        <v>270</v>
      </c>
      <c r="AK143" s="84" t="n">
        <f aca="false">CM143+$D143*$E143</f>
        <v>270</v>
      </c>
      <c r="AL143" s="84" t="n">
        <f aca="false">DC143+$D143*$E143</f>
        <v>270</v>
      </c>
      <c r="AM143" s="84" t="n">
        <f aca="false">DS143+$D143*$E143</f>
        <v>270</v>
      </c>
      <c r="AN143" s="84" t="n">
        <f aca="false">EI143+$D143*$E143</f>
        <v>270</v>
      </c>
      <c r="AO143" s="84" t="n">
        <f aca="false">EY143+$D143*$E143</f>
        <v>270</v>
      </c>
      <c r="AP143" s="84" t="n">
        <f aca="false">FO143+$D143*$E143</f>
        <v>3348.21876030461</v>
      </c>
      <c r="AQ143" s="84" t="n">
        <f aca="false">GE143+$D143*$E143</f>
        <v>2147.96958818483</v>
      </c>
      <c r="AR143" s="84" t="n">
        <f aca="false">GU143</f>
        <v>9620.66307503371</v>
      </c>
      <c r="AT143" s="133" t="n">
        <f aca="false">$D143*Inputs!$C$13-$D143*$E143</f>
        <v>3730</v>
      </c>
      <c r="AU143" s="84" t="n">
        <f aca="false">AT143*(1+$I143)</f>
        <v>4811.7</v>
      </c>
      <c r="AV143" s="133" t="n">
        <f aca="false">AU143*Inputs!$C$14</f>
        <v>0</v>
      </c>
      <c r="AW143" s="84" t="n">
        <f aca="false">AU143-AV143</f>
        <v>4811.7</v>
      </c>
      <c r="AX143" s="133" t="n">
        <f aca="false">$D143*Inputs!$C$13</f>
        <v>4000</v>
      </c>
      <c r="AY143" s="84" t="n">
        <f aca="false">MIN(AV143,AX143)</f>
        <v>0</v>
      </c>
      <c r="AZ143" s="84" t="n">
        <f aca="false">AX143-AY143</f>
        <v>4000</v>
      </c>
      <c r="BA143" s="84" t="n">
        <f aca="false">$G143*AX143</f>
        <v>320</v>
      </c>
      <c r="BB143" s="84" t="n">
        <f aca="false">MIN(AV143-AY143,BA143)</f>
        <v>0</v>
      </c>
      <c r="BC143" s="84" t="n">
        <f aca="false">BA143-BB143</f>
        <v>320</v>
      </c>
      <c r="BD143" s="84" t="n">
        <f aca="false">IF($H143=1,MIN(AV143-AY143-BB143,MAX(0,$F143/(1-$F143)*BB143)),0)</f>
        <v>0</v>
      </c>
      <c r="BE143" s="84" t="n">
        <f aca="false">AV143-AY143-BB143-BD143</f>
        <v>0</v>
      </c>
      <c r="BF143" s="84" t="n">
        <f aca="false">AY143+BB143+(1-$F143)*BE143</f>
        <v>0</v>
      </c>
      <c r="BG143" s="84" t="n">
        <f aca="false">BD143+$F143*BE143</f>
        <v>0</v>
      </c>
      <c r="BH143" s="84" t="n">
        <f aca="false">BB143+(1-$F143)*BE143</f>
        <v>0</v>
      </c>
      <c r="BI143" s="84" t="n">
        <f aca="false">BG143</f>
        <v>0</v>
      </c>
      <c r="BJ143" s="133" t="n">
        <f aca="false">AW143+$D143*Inputs!$D$13-$D143*$E143</f>
        <v>8541.7</v>
      </c>
      <c r="BK143" s="84" t="n">
        <f aca="false">BJ143*(1+$I143)</f>
        <v>11018.793</v>
      </c>
      <c r="BL143" s="133" t="n">
        <f aca="false">BK143*Inputs!$D$14</f>
        <v>0</v>
      </c>
      <c r="BM143" s="84" t="n">
        <f aca="false">BK143-BL143</f>
        <v>11018.793</v>
      </c>
      <c r="BN143" s="133" t="n">
        <f aca="false">AZ143+$D143*Inputs!$D$13</f>
        <v>8000</v>
      </c>
      <c r="BO143" s="84" t="n">
        <f aca="false">MIN(BL143,BN143)</f>
        <v>0</v>
      </c>
      <c r="BP143" s="84" t="n">
        <f aca="false">BN143-BO143</f>
        <v>8000</v>
      </c>
      <c r="BQ143" s="84" t="n">
        <f aca="false">BC143+$G143*(BN143+BC143)</f>
        <v>985.6</v>
      </c>
      <c r="BR143" s="84" t="n">
        <f aca="false">MIN(BL143-BO143,BQ143)</f>
        <v>0</v>
      </c>
      <c r="BS143" s="84" t="n">
        <f aca="false">BQ143-BR143</f>
        <v>985.6</v>
      </c>
      <c r="BT143" s="84" t="n">
        <f aca="false">IF($H143=1,MIN(BL143-BO143-BR143,MAX(0,$F143/(1-$F143)*(BH143+BR143)-BI143)),0)</f>
        <v>0</v>
      </c>
      <c r="BU143" s="84" t="n">
        <f aca="false">BL143-BO143-BR143-BT143</f>
        <v>0</v>
      </c>
      <c r="BV143" s="84" t="n">
        <f aca="false">BO143+BR143+(1-$F143)*BU143</f>
        <v>0</v>
      </c>
      <c r="BW143" s="84" t="n">
        <f aca="false">BT143+$F143*BU143</f>
        <v>0</v>
      </c>
      <c r="BX143" s="84" t="n">
        <f aca="false">BH143+BR143+(1-$F143)*BU143</f>
        <v>0</v>
      </c>
      <c r="BY143" s="84" t="n">
        <f aca="false">BI143+BW143</f>
        <v>0</v>
      </c>
      <c r="BZ143" s="133" t="n">
        <f aca="false">BM143+$D143*Inputs!$E$13-$D143*$E143</f>
        <v>14748.793</v>
      </c>
      <c r="CA143" s="84" t="n">
        <f aca="false">BZ143*(1+$I143)</f>
        <v>19025.94297</v>
      </c>
      <c r="CB143" s="133" t="n">
        <f aca="false">CA143*Inputs!$E$14</f>
        <v>0</v>
      </c>
      <c r="CC143" s="84" t="n">
        <f aca="false">CA143-CB143</f>
        <v>19025.94297</v>
      </c>
      <c r="CD143" s="133" t="n">
        <f aca="false">BP143+$D143*Inputs!$E$13</f>
        <v>12000</v>
      </c>
      <c r="CE143" s="84" t="n">
        <f aca="false">MIN(CB143,CD143)</f>
        <v>0</v>
      </c>
      <c r="CF143" s="84" t="n">
        <f aca="false">CD143-CE143</f>
        <v>12000</v>
      </c>
      <c r="CG143" s="84" t="n">
        <f aca="false">BS143+$G143*(CD143+BS143)</f>
        <v>2024.448</v>
      </c>
      <c r="CH143" s="84" t="n">
        <f aca="false">MIN(CB143-CE143,CG143)</f>
        <v>0</v>
      </c>
      <c r="CI143" s="84" t="n">
        <f aca="false">CG143-CH143</f>
        <v>2024.448</v>
      </c>
      <c r="CJ143" s="84" t="n">
        <f aca="false">IF($H143=1,MIN(CB143-CE143-CH143,MAX(0,$F143/(1-$F143)*(BX143+CH143)-BY143)),0)</f>
        <v>0</v>
      </c>
      <c r="CK143" s="84" t="n">
        <f aca="false">CB143-CE143-CH143-CJ143</f>
        <v>0</v>
      </c>
      <c r="CL143" s="84" t="n">
        <f aca="false">CE143+CH143+(1-$F143)*CK143</f>
        <v>0</v>
      </c>
      <c r="CM143" s="84" t="n">
        <f aca="false">CJ143+$F143*CK143</f>
        <v>0</v>
      </c>
      <c r="CN143" s="84" t="n">
        <f aca="false">BX143+CH143+(1-$F143)*CK143</f>
        <v>0</v>
      </c>
      <c r="CO143" s="84" t="n">
        <f aca="false">BY143+CM143</f>
        <v>0</v>
      </c>
      <c r="CP143" s="133" t="n">
        <f aca="false">CC143+$D143*Inputs!$F$13-$D143*$E143</f>
        <v>22755.94297</v>
      </c>
      <c r="CQ143" s="84" t="n">
        <f aca="false">CP143*(1+$I143)</f>
        <v>29355.1664313</v>
      </c>
      <c r="CR143" s="133" t="n">
        <f aca="false">CQ143*Inputs!$F$14</f>
        <v>0</v>
      </c>
      <c r="CS143" s="84" t="n">
        <f aca="false">CQ143-CR143</f>
        <v>29355.1664313</v>
      </c>
      <c r="CT143" s="133" t="n">
        <f aca="false">CF143+$D143*Inputs!$F$13</f>
        <v>16000</v>
      </c>
      <c r="CU143" s="84" t="n">
        <f aca="false">MIN(CR143,CT143)</f>
        <v>0</v>
      </c>
      <c r="CV143" s="84" t="n">
        <f aca="false">CT143-CU143</f>
        <v>16000</v>
      </c>
      <c r="CW143" s="84" t="n">
        <f aca="false">CI143+$G143*(CT143+CI143)</f>
        <v>3466.40384</v>
      </c>
      <c r="CX143" s="84" t="n">
        <f aca="false">MIN(CR143-CU143,CW143)</f>
        <v>0</v>
      </c>
      <c r="CY143" s="84" t="n">
        <f aca="false">CW143-CX143</f>
        <v>3466.40384</v>
      </c>
      <c r="CZ143" s="84" t="n">
        <f aca="false">IF($H143=1,MIN(CR143-CU143-CX143,MAX(0,$F143/(1-$F143)*(CN143+CX143)-CO143)),0)</f>
        <v>0</v>
      </c>
      <c r="DA143" s="84" t="n">
        <f aca="false">CR143-CU143-CX143-CZ143</f>
        <v>0</v>
      </c>
      <c r="DB143" s="84" t="n">
        <f aca="false">CU143+CX143+(1-$F143)*DA143</f>
        <v>0</v>
      </c>
      <c r="DC143" s="84" t="n">
        <f aca="false">CZ143+$F143*DA143</f>
        <v>0</v>
      </c>
      <c r="DD143" s="84" t="n">
        <f aca="false">CN143+CX143+(1-$F143)*DA143</f>
        <v>0</v>
      </c>
      <c r="DE143" s="84" t="n">
        <f aca="false">CO143+DC143</f>
        <v>0</v>
      </c>
      <c r="DF143" s="133" t="n">
        <f aca="false">CS143+$D143*Inputs!$G$13-$D143*$E143</f>
        <v>33085.1664313</v>
      </c>
      <c r="DG143" s="84" t="n">
        <f aca="false">DF143*(1+$I143)</f>
        <v>42679.864696377</v>
      </c>
      <c r="DH143" s="133" t="n">
        <f aca="false">DG143*Inputs!$G$14</f>
        <v>8535.9729392754</v>
      </c>
      <c r="DI143" s="84" t="n">
        <f aca="false">DG143-DH143</f>
        <v>34143.8917571016</v>
      </c>
      <c r="DJ143" s="133" t="n">
        <f aca="false">CV143+$D143*Inputs!$G$13</f>
        <v>20000</v>
      </c>
      <c r="DK143" s="84" t="n">
        <f aca="false">MIN(DH143,DJ143)</f>
        <v>8535.9729392754</v>
      </c>
      <c r="DL143" s="84" t="n">
        <f aca="false">DJ143-DK143</f>
        <v>11464.0270607246</v>
      </c>
      <c r="DM143" s="84" t="n">
        <f aca="false">CY143+$G143*(DJ143+CY143)</f>
        <v>5343.7161472</v>
      </c>
      <c r="DN143" s="84" t="n">
        <f aca="false">MIN(DH143-DK143,DM143)</f>
        <v>0</v>
      </c>
      <c r="DO143" s="84" t="n">
        <f aca="false">DM143-DN143</f>
        <v>5343.7161472</v>
      </c>
      <c r="DP143" s="84" t="n">
        <f aca="false">IF($H143=1,MIN(DH143-DK143-DN143,MAX(0,$F143/(1-$F143)*(DD143+DN143)-DE143)),0)</f>
        <v>0</v>
      </c>
      <c r="DQ143" s="84" t="n">
        <f aca="false">DH143-DK143-DN143-DP143</f>
        <v>0</v>
      </c>
      <c r="DR143" s="84" t="n">
        <f aca="false">DK143+DN143+(1-$F143)*DQ143</f>
        <v>8535.9729392754</v>
      </c>
      <c r="DS143" s="84" t="n">
        <f aca="false">DP143+$F143*DQ143</f>
        <v>0</v>
      </c>
      <c r="DT143" s="84" t="n">
        <f aca="false">DD143+DN143+(1-$F143)*DQ143</f>
        <v>0</v>
      </c>
      <c r="DU143" s="84" t="n">
        <f aca="false">DE143+DS143</f>
        <v>0</v>
      </c>
      <c r="DV143" s="133" t="n">
        <f aca="false">DI143+$D143*Inputs!$H$13-$D143*$E143</f>
        <v>33873.8917571016</v>
      </c>
      <c r="DW143" s="84" t="n">
        <f aca="false">DV143*(1+$I143)</f>
        <v>43697.3203666611</v>
      </c>
      <c r="DX143" s="133" t="n">
        <f aca="false">DW143*Inputs!$H$14</f>
        <v>8739.46407333221</v>
      </c>
      <c r="DY143" s="84" t="n">
        <f aca="false">DW143-DX143</f>
        <v>34957.8562933289</v>
      </c>
      <c r="DZ143" s="133" t="n">
        <f aca="false">DL143+$D143*Inputs!$H$13</f>
        <v>11464.0270607246</v>
      </c>
      <c r="EA143" s="84" t="n">
        <f aca="false">MIN(DX143,DZ143)</f>
        <v>8739.46407333221</v>
      </c>
      <c r="EB143" s="84" t="n">
        <f aca="false">DZ143-EA143</f>
        <v>2724.56298739238</v>
      </c>
      <c r="EC143" s="84" t="n">
        <f aca="false">DO143+$G143*(DZ143+DO143)</f>
        <v>6688.33560383397</v>
      </c>
      <c r="ED143" s="84" t="n">
        <f aca="false">MIN(DX143-EA143,EC143)</f>
        <v>0</v>
      </c>
      <c r="EE143" s="84" t="n">
        <f aca="false">EC143-ED143</f>
        <v>6688.33560383397</v>
      </c>
      <c r="EF143" s="84" t="n">
        <f aca="false">IF($H143=1,MIN(DX143-EA143-ED143,MAX(0,$F143/(1-$F143)*(DT143+ED143)-DU143)),0)</f>
        <v>0</v>
      </c>
      <c r="EG143" s="84" t="n">
        <f aca="false">DX143-EA143-ED143-EF143</f>
        <v>0</v>
      </c>
      <c r="EH143" s="84" t="n">
        <f aca="false">EA143+ED143+(1-$F143)*EG143</f>
        <v>8739.46407333221</v>
      </c>
      <c r="EI143" s="84" t="n">
        <f aca="false">EF143+$F143*EG143</f>
        <v>0</v>
      </c>
      <c r="EJ143" s="84" t="n">
        <f aca="false">DT143+ED143+(1-$F143)*EG143</f>
        <v>0</v>
      </c>
      <c r="EK143" s="84" t="n">
        <f aca="false">DU143+EI143</f>
        <v>0</v>
      </c>
      <c r="EL143" s="133" t="n">
        <f aca="false">DY143+$D143*Inputs!$I$13-$D143*$E143</f>
        <v>34687.8562933289</v>
      </c>
      <c r="EM143" s="84" t="n">
        <f aca="false">EL143*(1+$I143)</f>
        <v>44747.3346183942</v>
      </c>
      <c r="EN143" s="133" t="n">
        <f aca="false">EM143*Inputs!$I$14</f>
        <v>8949.46692367885</v>
      </c>
      <c r="EO143" s="84" t="n">
        <f aca="false">EM143-EN143</f>
        <v>35797.8676947154</v>
      </c>
      <c r="EP143" s="133" t="n">
        <f aca="false">EB143+$D143*Inputs!$I$13</f>
        <v>2724.56298739238</v>
      </c>
      <c r="EQ143" s="84" t="n">
        <f aca="false">MIN(EN143,EP143)</f>
        <v>2724.56298739238</v>
      </c>
      <c r="ER143" s="84" t="n">
        <f aca="false">EP143-EQ143</f>
        <v>0</v>
      </c>
      <c r="ES143" s="84" t="n">
        <f aca="false">EE143+$G143*(EP143+EE143)</f>
        <v>7441.36749113208</v>
      </c>
      <c r="ET143" s="84" t="n">
        <f aca="false">MIN(EN143-EQ143,ES143)</f>
        <v>6224.90393628646</v>
      </c>
      <c r="EU143" s="84" t="n">
        <f aca="false">ES143-ET143</f>
        <v>1216.46355484562</v>
      </c>
      <c r="EV143" s="84" t="n">
        <f aca="false">IF($H143=1,MIN(EN143-EQ143-ET143,MAX(0,$F143/(1-$F143)*(EJ143+ET143)-EK143)),0)</f>
        <v>0</v>
      </c>
      <c r="EW143" s="84" t="n">
        <f aca="false">EN143-EQ143-ET143-EV143</f>
        <v>0</v>
      </c>
      <c r="EX143" s="84" t="n">
        <f aca="false">EQ143+ET143+(1-$F143)*EW143</f>
        <v>8949.46692367885</v>
      </c>
      <c r="EY143" s="84" t="n">
        <f aca="false">EV143+$F143*EW143</f>
        <v>0</v>
      </c>
      <c r="EZ143" s="84" t="n">
        <f aca="false">EJ143+ET143+(1-$F143)*EW143</f>
        <v>6224.90393628646</v>
      </c>
      <c r="FA143" s="84" t="n">
        <f aca="false">EK143+EY143</f>
        <v>0</v>
      </c>
      <c r="FB143" s="133" t="n">
        <f aca="false">EO143+$D143*Inputs!$J$13-$D143*$E143</f>
        <v>35527.8676947154</v>
      </c>
      <c r="FC143" s="84" t="n">
        <f aca="false">FB143*(1+$I143)</f>
        <v>45830.9493261828</v>
      </c>
      <c r="FD143" s="133" t="n">
        <f aca="false">FC143*Inputs!$J$14</f>
        <v>9166.18986523657</v>
      </c>
      <c r="FE143" s="84" t="n">
        <f aca="false">FC143-FD143</f>
        <v>36664.7594609463</v>
      </c>
      <c r="FF143" s="133" t="n">
        <f aca="false">ER143+$D143*Inputs!$J$13</f>
        <v>0</v>
      </c>
      <c r="FG143" s="84" t="n">
        <f aca="false">MIN(FD143,FF143)</f>
        <v>0</v>
      </c>
      <c r="FH143" s="84" t="n">
        <f aca="false">FF143-FG143</f>
        <v>0</v>
      </c>
      <c r="FI143" s="84" t="n">
        <f aca="false">EU143+$G143*(FF143+EU143)</f>
        <v>1313.78063923326</v>
      </c>
      <c r="FJ143" s="84" t="n">
        <f aca="false">MIN(FD143-FG143,FI143)</f>
        <v>1313.78063923326</v>
      </c>
      <c r="FK143" s="84" t="n">
        <f aca="false">FI143-FJ143</f>
        <v>0</v>
      </c>
      <c r="FL143" s="84" t="n">
        <f aca="false">IF($H143=1,MIN(FD143-FG143-FJ143,MAX(0,$F143/(1-$F143)*(EZ143+FJ143)-FA143)),0)</f>
        <v>1884.67114387993</v>
      </c>
      <c r="FM143" s="84" t="n">
        <f aca="false">FD143-FG143-FJ143-FL143</f>
        <v>5967.73808212337</v>
      </c>
      <c r="FN143" s="84" t="n">
        <f aca="false">FG143+FJ143+(1-$F143)*FM143</f>
        <v>6087.97110493196</v>
      </c>
      <c r="FO143" s="84" t="n">
        <f aca="false">FL143+$F143*FM143</f>
        <v>3078.21876030461</v>
      </c>
      <c r="FP143" s="84" t="n">
        <f aca="false">EZ143+FJ143+(1-$F143)*FM143</f>
        <v>12312.8750412184</v>
      </c>
      <c r="FQ143" s="84" t="n">
        <f aca="false">FA143+FO143</f>
        <v>3078.21876030461</v>
      </c>
      <c r="FR143" s="133" t="n">
        <f aca="false">FE143+$D143*Inputs!$K$13-$D143*$E143</f>
        <v>36394.7594609463</v>
      </c>
      <c r="FS143" s="84" t="n">
        <f aca="false">FR143*(1+$I143)</f>
        <v>46949.2397046207</v>
      </c>
      <c r="FT143" s="133" t="n">
        <f aca="false">FS143*Inputs!$K$14</f>
        <v>9389.84794092414</v>
      </c>
      <c r="FU143" s="84" t="n">
        <f aca="false">FS143-FT143</f>
        <v>37559.3917636966</v>
      </c>
      <c r="FV143" s="133" t="n">
        <f aca="false">FH143+$D143*Inputs!$K$13</f>
        <v>0</v>
      </c>
      <c r="FW143" s="84" t="n">
        <f aca="false">MIN(FT143,FV143)</f>
        <v>0</v>
      </c>
      <c r="FX143" s="84" t="n">
        <f aca="false">FV143-FW143</f>
        <v>0</v>
      </c>
      <c r="FY143" s="84" t="n">
        <f aca="false">FK143+$G143*(FV143+FK143)</f>
        <v>0</v>
      </c>
      <c r="FZ143" s="84" t="n">
        <f aca="false">MIN(FT143-FW143,FY143)</f>
        <v>0</v>
      </c>
      <c r="GA143" s="84" t="n">
        <f aca="false">FY143-FZ143</f>
        <v>0</v>
      </c>
      <c r="GB143" s="84" t="n">
        <f aca="false">IF($H143=1,MIN(FT143-FW143-FZ143,MAX(0,$F143/(1-$F143)*(FP143+FZ143)-FQ143)),0)</f>
        <v>0</v>
      </c>
      <c r="GC143" s="84" t="n">
        <f aca="false">FT143-FW143-FZ143-GB143</f>
        <v>9389.84794092414</v>
      </c>
      <c r="GD143" s="84" t="n">
        <f aca="false">FW143+FZ143+(1-$F143)*GC143</f>
        <v>7511.87835273931</v>
      </c>
      <c r="GE143" s="84" t="n">
        <f aca="false">GB143+$F143*GC143</f>
        <v>1877.96958818483</v>
      </c>
      <c r="GF143" s="84" t="n">
        <f aca="false">FP143+FZ143+(1-$F143)*GC143</f>
        <v>19824.7533939577</v>
      </c>
      <c r="GG143" s="84" t="n">
        <f aca="false">FQ143+GE143</f>
        <v>4956.18834848943</v>
      </c>
      <c r="GH143" s="133" t="n">
        <f aca="false">FU143+$D143*Inputs!$L$13-$D143*$E143</f>
        <v>37289.3917636966</v>
      </c>
      <c r="GI143" s="84" t="n">
        <f aca="false">GH143*(1+$I143)</f>
        <v>48103.3153751685</v>
      </c>
      <c r="GJ143" s="133" t="n">
        <f aca="false">GI143*Inputs!$L$14</f>
        <v>48103.3153751685</v>
      </c>
      <c r="GK143" s="84" t="n">
        <f aca="false">GI143-GJ143</f>
        <v>0</v>
      </c>
      <c r="GL143" s="133" t="n">
        <f aca="false">FX143+$D143*Inputs!$L$13</f>
        <v>0</v>
      </c>
      <c r="GM143" s="84" t="n">
        <f aca="false">MIN(GJ143,GL143)</f>
        <v>0</v>
      </c>
      <c r="GN143" s="84" t="n">
        <f aca="false">GL143-GM143</f>
        <v>0</v>
      </c>
      <c r="GO143" s="84" t="n">
        <f aca="false">GA143+$G143*(GL143+GA143)</f>
        <v>0</v>
      </c>
      <c r="GP143" s="84" t="n">
        <f aca="false">MIN(GJ143-GM143,GO143)</f>
        <v>0</v>
      </c>
      <c r="GQ143" s="84" t="n">
        <f aca="false">GO143-GP143</f>
        <v>0</v>
      </c>
      <c r="GR143" s="84" t="n">
        <f aca="false">IF($H143=1,MIN(GJ143-GM143-GP143,MAX(0,$F143/(1-$F143)*(GF143+GP143)-GG143)),0)</f>
        <v>0</v>
      </c>
      <c r="GS143" s="84" t="n">
        <f aca="false">GJ143-GM143-GP143-GR143</f>
        <v>48103.3153751685</v>
      </c>
      <c r="GT143" s="84" t="n">
        <f aca="false">GM143+GP143+(1-$F143)*GS143</f>
        <v>38482.6523001348</v>
      </c>
      <c r="GU143" s="84" t="n">
        <f aca="false">GR143+$F143*GS143</f>
        <v>9620.66307503371</v>
      </c>
      <c r="GV143" s="84" t="n">
        <f aca="false">GF143+GP143+(1-$F143)*GS143</f>
        <v>58307.4056940926</v>
      </c>
      <c r="GW143" s="84" t="n">
        <f aca="false">GG143+GU143</f>
        <v>14576.8514235231</v>
      </c>
    </row>
    <row r="144" customFormat="false" ht="15" hidden="false" customHeight="false" outlineLevel="0" collapsed="false">
      <c r="A144" s="5" t="s">
        <v>640</v>
      </c>
      <c r="B144" s="5" t="s">
        <v>428</v>
      </c>
      <c r="C144" s="135" t="n">
        <v>30</v>
      </c>
      <c r="D144" s="47" t="n">
        <f aca="false">Inputs!$C$6</f>
        <v>20000</v>
      </c>
      <c r="E144" s="35" t="n">
        <f aca="false">Inputs!$C$19</f>
        <v>0.0135</v>
      </c>
      <c r="F144" s="36" t="n">
        <f aca="false">Inputs!$C$20</f>
        <v>0.2</v>
      </c>
      <c r="G144" s="36" t="n">
        <f aca="false">Inputs!$C$22</f>
        <v>0.08</v>
      </c>
      <c r="H144" s="44" t="n">
        <f aca="false">Inputs!$C$23</f>
        <v>1</v>
      </c>
      <c r="I144" s="132" t="n">
        <f aca="false">Inputs!$C$38+$C144*Inputs!$C$39</f>
        <v>0.3</v>
      </c>
      <c r="J144" s="36" t="n">
        <f aca="false">Inputs!$C$9</f>
        <v>0.15</v>
      </c>
      <c r="K144" s="89" t="n">
        <f aca="false">IRR(W144:AG144,0.1)</f>
        <v>0.254613624431826</v>
      </c>
      <c r="L144" s="45" t="n">
        <f aca="false">W144+NPV($J144,X144:AG144)</f>
        <v>10858.9048487754</v>
      </c>
      <c r="M144" s="45" t="n">
        <f aca="false">SUM(BF144,BV144,CL144,DB144,DR144,EH144,EX144,FN144,GD144,GT144)</f>
        <v>82575.6677445992</v>
      </c>
      <c r="N144" s="43" t="n">
        <f aca="false">IF($D144*SUM(Inputs!$C$13:$L$13)=0,0,M144/($D144*SUM(Inputs!$C$13:$L$13)))</f>
        <v>4.12878338722996</v>
      </c>
      <c r="O144" s="42" t="n">
        <f aca="false">$D144*$E144*COLUMNS(Inputs!$C$13:$L$13)</f>
        <v>2700</v>
      </c>
      <c r="P144" s="45" t="n">
        <f aca="false">SUM(BG144,BW144,CM144,DC144,DS144,EI144,EY144,FO144,GE144,GU144)</f>
        <v>15643.9169361498</v>
      </c>
      <c r="Q144" s="42" t="n">
        <f aca="false">PV($J144,COLUMNS(Inputs!$C$13:$L$13),-$D144*$E144,0,1)</f>
        <v>1558.32765832774</v>
      </c>
      <c r="R144" s="45" t="n">
        <f aca="false">NPV($J144,BG144,BW144,CM144,DC144,DS144,EI144,EY144,FO144,GE144,GU144)</f>
        <v>4208.79918958176</v>
      </c>
      <c r="S144" s="45" t="n">
        <f aca="false">Q144+R144</f>
        <v>5767.12684790949</v>
      </c>
      <c r="T144" s="32" t="n">
        <f aca="false">IF(S144=0,0,Q144/S144)</f>
        <v>0.270208667057949</v>
      </c>
      <c r="U144" s="45" t="n">
        <f aca="false">ROUND(ABS(GK144)+ABS(SUM(AV144,BL144,CB144,CR144,DH144,DX144,EN144,FD144,FT144,GJ144)-M144-P144)+ABS(S144-(AH144+NPV($J144,AI144:AR144))),6)</f>
        <v>0</v>
      </c>
      <c r="W144" s="133" t="n">
        <f aca="false">-$D144*Inputs!$C$13</f>
        <v>-4000</v>
      </c>
      <c r="X144" s="133" t="n">
        <f aca="false">BF144-$D144*Inputs!$D$13</f>
        <v>-4000</v>
      </c>
      <c r="Y144" s="133" t="n">
        <f aca="false">BV144-$D144*Inputs!$E$13</f>
        <v>-4000</v>
      </c>
      <c r="Z144" s="133" t="n">
        <f aca="false">CL144-$D144*Inputs!$F$13</f>
        <v>-4000</v>
      </c>
      <c r="AA144" s="133" t="n">
        <f aca="false">DB144-$D144*Inputs!$G$13</f>
        <v>-4000</v>
      </c>
      <c r="AB144" s="133" t="n">
        <f aca="false">DR144-$D144*Inputs!$H$13</f>
        <v>8769.99838</v>
      </c>
      <c r="AC144" s="133" t="n">
        <f aca="false">EH144-$D144*Inputs!$I$13</f>
        <v>9050.5983152</v>
      </c>
      <c r="AD144" s="133" t="n">
        <f aca="false">EX144-$D144*Inputs!$J$13</f>
        <v>9342.422247808</v>
      </c>
      <c r="AE144" s="133" t="n">
        <f aca="false">FN144-$D144*Inputs!$K$13</f>
        <v>6284.13152157466</v>
      </c>
      <c r="AF144" s="133" t="n">
        <f aca="false">GD144-$D144*Inputs!$L$13</f>
        <v>7969.24472258331</v>
      </c>
      <c r="AG144" s="84" t="n">
        <f aca="false">GT144</f>
        <v>41159.2725574332</v>
      </c>
      <c r="AH144" s="84" t="n">
        <f aca="false">$D144*$E144</f>
        <v>270</v>
      </c>
      <c r="AI144" s="84" t="n">
        <f aca="false">BG144+$D144*$E144</f>
        <v>270</v>
      </c>
      <c r="AJ144" s="84" t="n">
        <f aca="false">BW144+$D144*$E144</f>
        <v>270</v>
      </c>
      <c r="AK144" s="84" t="n">
        <f aca="false">CM144+$D144*$E144</f>
        <v>270</v>
      </c>
      <c r="AL144" s="84" t="n">
        <f aca="false">DC144+$D144*$E144</f>
        <v>270</v>
      </c>
      <c r="AM144" s="84" t="n">
        <f aca="false">DS144+$D144*$E144</f>
        <v>270</v>
      </c>
      <c r="AN144" s="84" t="n">
        <f aca="false">EI144+$D144*$E144</f>
        <v>270</v>
      </c>
      <c r="AO144" s="84" t="n">
        <f aca="false">EY144+$D144*$E144</f>
        <v>270</v>
      </c>
      <c r="AP144" s="84" t="n">
        <f aca="false">FO144+$D144*$E144</f>
        <v>3631.78761614567</v>
      </c>
      <c r="AQ144" s="84" t="n">
        <f aca="false">GE144+$D144*$E144</f>
        <v>2262.31118064583</v>
      </c>
      <c r="AR144" s="84" t="n">
        <f aca="false">GU144</f>
        <v>10289.8181393583</v>
      </c>
      <c r="AT144" s="133" t="n">
        <f aca="false">$D144*Inputs!$C$13-$D144*$E144</f>
        <v>3730</v>
      </c>
      <c r="AU144" s="84" t="n">
        <f aca="false">AT144*(1+$I144)</f>
        <v>4849</v>
      </c>
      <c r="AV144" s="133" t="n">
        <f aca="false">AU144*Inputs!$C$14</f>
        <v>0</v>
      </c>
      <c r="AW144" s="84" t="n">
        <f aca="false">AU144-AV144</f>
        <v>4849</v>
      </c>
      <c r="AX144" s="133" t="n">
        <f aca="false">$D144*Inputs!$C$13</f>
        <v>4000</v>
      </c>
      <c r="AY144" s="84" t="n">
        <f aca="false">MIN(AV144,AX144)</f>
        <v>0</v>
      </c>
      <c r="AZ144" s="84" t="n">
        <f aca="false">AX144-AY144</f>
        <v>4000</v>
      </c>
      <c r="BA144" s="84" t="n">
        <f aca="false">$G144*AX144</f>
        <v>320</v>
      </c>
      <c r="BB144" s="84" t="n">
        <f aca="false">MIN(AV144-AY144,BA144)</f>
        <v>0</v>
      </c>
      <c r="BC144" s="84" t="n">
        <f aca="false">BA144-BB144</f>
        <v>320</v>
      </c>
      <c r="BD144" s="84" t="n">
        <f aca="false">IF($H144=1,MIN(AV144-AY144-BB144,MAX(0,$F144/(1-$F144)*BB144)),0)</f>
        <v>0</v>
      </c>
      <c r="BE144" s="84" t="n">
        <f aca="false">AV144-AY144-BB144-BD144</f>
        <v>0</v>
      </c>
      <c r="BF144" s="84" t="n">
        <f aca="false">AY144+BB144+(1-$F144)*BE144</f>
        <v>0</v>
      </c>
      <c r="BG144" s="84" t="n">
        <f aca="false">BD144+$F144*BE144</f>
        <v>0</v>
      </c>
      <c r="BH144" s="84" t="n">
        <f aca="false">BB144+(1-$F144)*BE144</f>
        <v>0</v>
      </c>
      <c r="BI144" s="84" t="n">
        <f aca="false">BG144</f>
        <v>0</v>
      </c>
      <c r="BJ144" s="133" t="n">
        <f aca="false">AW144+$D144*Inputs!$D$13-$D144*$E144</f>
        <v>8579</v>
      </c>
      <c r="BK144" s="84" t="n">
        <f aca="false">BJ144*(1+$I144)</f>
        <v>11152.7</v>
      </c>
      <c r="BL144" s="133" t="n">
        <f aca="false">BK144*Inputs!$D$14</f>
        <v>0</v>
      </c>
      <c r="BM144" s="84" t="n">
        <f aca="false">BK144-BL144</f>
        <v>11152.7</v>
      </c>
      <c r="BN144" s="133" t="n">
        <f aca="false">AZ144+$D144*Inputs!$D$13</f>
        <v>8000</v>
      </c>
      <c r="BO144" s="84" t="n">
        <f aca="false">MIN(BL144,BN144)</f>
        <v>0</v>
      </c>
      <c r="BP144" s="84" t="n">
        <f aca="false">BN144-BO144</f>
        <v>8000</v>
      </c>
      <c r="BQ144" s="84" t="n">
        <f aca="false">BC144+$G144*(BN144+BC144)</f>
        <v>985.6</v>
      </c>
      <c r="BR144" s="84" t="n">
        <f aca="false">MIN(BL144-BO144,BQ144)</f>
        <v>0</v>
      </c>
      <c r="BS144" s="84" t="n">
        <f aca="false">BQ144-BR144</f>
        <v>985.6</v>
      </c>
      <c r="BT144" s="84" t="n">
        <f aca="false">IF($H144=1,MIN(BL144-BO144-BR144,MAX(0,$F144/(1-$F144)*(BH144+BR144)-BI144)),0)</f>
        <v>0</v>
      </c>
      <c r="BU144" s="84" t="n">
        <f aca="false">BL144-BO144-BR144-BT144</f>
        <v>0</v>
      </c>
      <c r="BV144" s="84" t="n">
        <f aca="false">BO144+BR144+(1-$F144)*BU144</f>
        <v>0</v>
      </c>
      <c r="BW144" s="84" t="n">
        <f aca="false">BT144+$F144*BU144</f>
        <v>0</v>
      </c>
      <c r="BX144" s="84" t="n">
        <f aca="false">BH144+BR144+(1-$F144)*BU144</f>
        <v>0</v>
      </c>
      <c r="BY144" s="84" t="n">
        <f aca="false">BI144+BW144</f>
        <v>0</v>
      </c>
      <c r="BZ144" s="133" t="n">
        <f aca="false">BM144+$D144*Inputs!$E$13-$D144*$E144</f>
        <v>14882.7</v>
      </c>
      <c r="CA144" s="84" t="n">
        <f aca="false">BZ144*(1+$I144)</f>
        <v>19347.51</v>
      </c>
      <c r="CB144" s="133" t="n">
        <f aca="false">CA144*Inputs!$E$14</f>
        <v>0</v>
      </c>
      <c r="CC144" s="84" t="n">
        <f aca="false">CA144-CB144</f>
        <v>19347.51</v>
      </c>
      <c r="CD144" s="133" t="n">
        <f aca="false">BP144+$D144*Inputs!$E$13</f>
        <v>12000</v>
      </c>
      <c r="CE144" s="84" t="n">
        <f aca="false">MIN(CB144,CD144)</f>
        <v>0</v>
      </c>
      <c r="CF144" s="84" t="n">
        <f aca="false">CD144-CE144</f>
        <v>12000</v>
      </c>
      <c r="CG144" s="84" t="n">
        <f aca="false">BS144+$G144*(CD144+BS144)</f>
        <v>2024.448</v>
      </c>
      <c r="CH144" s="84" t="n">
        <f aca="false">MIN(CB144-CE144,CG144)</f>
        <v>0</v>
      </c>
      <c r="CI144" s="84" t="n">
        <f aca="false">CG144-CH144</f>
        <v>2024.448</v>
      </c>
      <c r="CJ144" s="84" t="n">
        <f aca="false">IF($H144=1,MIN(CB144-CE144-CH144,MAX(0,$F144/(1-$F144)*(BX144+CH144)-BY144)),0)</f>
        <v>0</v>
      </c>
      <c r="CK144" s="84" t="n">
        <f aca="false">CB144-CE144-CH144-CJ144</f>
        <v>0</v>
      </c>
      <c r="CL144" s="84" t="n">
        <f aca="false">CE144+CH144+(1-$F144)*CK144</f>
        <v>0</v>
      </c>
      <c r="CM144" s="84" t="n">
        <f aca="false">CJ144+$F144*CK144</f>
        <v>0</v>
      </c>
      <c r="CN144" s="84" t="n">
        <f aca="false">BX144+CH144+(1-$F144)*CK144</f>
        <v>0</v>
      </c>
      <c r="CO144" s="84" t="n">
        <f aca="false">BY144+CM144</f>
        <v>0</v>
      </c>
      <c r="CP144" s="133" t="n">
        <f aca="false">CC144+$D144*Inputs!$F$13-$D144*$E144</f>
        <v>23077.51</v>
      </c>
      <c r="CQ144" s="84" t="n">
        <f aca="false">CP144*(1+$I144)</f>
        <v>30000.763</v>
      </c>
      <c r="CR144" s="133" t="n">
        <f aca="false">CQ144*Inputs!$F$14</f>
        <v>0</v>
      </c>
      <c r="CS144" s="84" t="n">
        <f aca="false">CQ144-CR144</f>
        <v>30000.763</v>
      </c>
      <c r="CT144" s="133" t="n">
        <f aca="false">CF144+$D144*Inputs!$F$13</f>
        <v>16000</v>
      </c>
      <c r="CU144" s="84" t="n">
        <f aca="false">MIN(CR144,CT144)</f>
        <v>0</v>
      </c>
      <c r="CV144" s="84" t="n">
        <f aca="false">CT144-CU144</f>
        <v>16000</v>
      </c>
      <c r="CW144" s="84" t="n">
        <f aca="false">CI144+$G144*(CT144+CI144)</f>
        <v>3466.40384</v>
      </c>
      <c r="CX144" s="84" t="n">
        <f aca="false">MIN(CR144-CU144,CW144)</f>
        <v>0</v>
      </c>
      <c r="CY144" s="84" t="n">
        <f aca="false">CW144-CX144</f>
        <v>3466.40384</v>
      </c>
      <c r="CZ144" s="84" t="n">
        <f aca="false">IF($H144=1,MIN(CR144-CU144-CX144,MAX(0,$F144/(1-$F144)*(CN144+CX144)-CO144)),0)</f>
        <v>0</v>
      </c>
      <c r="DA144" s="84" t="n">
        <f aca="false">CR144-CU144-CX144-CZ144</f>
        <v>0</v>
      </c>
      <c r="DB144" s="84" t="n">
        <f aca="false">CU144+CX144+(1-$F144)*DA144</f>
        <v>0</v>
      </c>
      <c r="DC144" s="84" t="n">
        <f aca="false">CZ144+$F144*DA144</f>
        <v>0</v>
      </c>
      <c r="DD144" s="84" t="n">
        <f aca="false">CN144+CX144+(1-$F144)*DA144</f>
        <v>0</v>
      </c>
      <c r="DE144" s="84" t="n">
        <f aca="false">CO144+DC144</f>
        <v>0</v>
      </c>
      <c r="DF144" s="133" t="n">
        <f aca="false">CS144+$D144*Inputs!$G$13-$D144*$E144</f>
        <v>33730.763</v>
      </c>
      <c r="DG144" s="84" t="n">
        <f aca="false">DF144*(1+$I144)</f>
        <v>43849.9919</v>
      </c>
      <c r="DH144" s="133" t="n">
        <f aca="false">DG144*Inputs!$G$14</f>
        <v>8769.99838</v>
      </c>
      <c r="DI144" s="84" t="n">
        <f aca="false">DG144-DH144</f>
        <v>35079.99352</v>
      </c>
      <c r="DJ144" s="133" t="n">
        <f aca="false">CV144+$D144*Inputs!$G$13</f>
        <v>20000</v>
      </c>
      <c r="DK144" s="84" t="n">
        <f aca="false">MIN(DH144,DJ144)</f>
        <v>8769.99838</v>
      </c>
      <c r="DL144" s="84" t="n">
        <f aca="false">DJ144-DK144</f>
        <v>11230.00162</v>
      </c>
      <c r="DM144" s="84" t="n">
        <f aca="false">CY144+$G144*(DJ144+CY144)</f>
        <v>5343.7161472</v>
      </c>
      <c r="DN144" s="84" t="n">
        <f aca="false">MIN(DH144-DK144,DM144)</f>
        <v>0</v>
      </c>
      <c r="DO144" s="84" t="n">
        <f aca="false">DM144-DN144</f>
        <v>5343.7161472</v>
      </c>
      <c r="DP144" s="84" t="n">
        <f aca="false">IF($H144=1,MIN(DH144-DK144-DN144,MAX(0,$F144/(1-$F144)*(DD144+DN144)-DE144)),0)</f>
        <v>0</v>
      </c>
      <c r="DQ144" s="84" t="n">
        <f aca="false">DH144-DK144-DN144-DP144</f>
        <v>0</v>
      </c>
      <c r="DR144" s="84" t="n">
        <f aca="false">DK144+DN144+(1-$F144)*DQ144</f>
        <v>8769.99838</v>
      </c>
      <c r="DS144" s="84" t="n">
        <f aca="false">DP144+$F144*DQ144</f>
        <v>0</v>
      </c>
      <c r="DT144" s="84" t="n">
        <f aca="false">DD144+DN144+(1-$F144)*DQ144</f>
        <v>0</v>
      </c>
      <c r="DU144" s="84" t="n">
        <f aca="false">DE144+DS144</f>
        <v>0</v>
      </c>
      <c r="DV144" s="133" t="n">
        <f aca="false">DI144+$D144*Inputs!$H$13-$D144*$E144</f>
        <v>34809.99352</v>
      </c>
      <c r="DW144" s="84" t="n">
        <f aca="false">DV144*(1+$I144)</f>
        <v>45252.991576</v>
      </c>
      <c r="DX144" s="133" t="n">
        <f aca="false">DW144*Inputs!$H$14</f>
        <v>9050.5983152</v>
      </c>
      <c r="DY144" s="84" t="n">
        <f aca="false">DW144-DX144</f>
        <v>36202.3932608</v>
      </c>
      <c r="DZ144" s="133" t="n">
        <f aca="false">DL144+$D144*Inputs!$H$13</f>
        <v>11230.00162</v>
      </c>
      <c r="EA144" s="84" t="n">
        <f aca="false">MIN(DX144,DZ144)</f>
        <v>9050.5983152</v>
      </c>
      <c r="EB144" s="84" t="n">
        <f aca="false">DZ144-EA144</f>
        <v>2179.40330479999</v>
      </c>
      <c r="EC144" s="84" t="n">
        <f aca="false">DO144+$G144*(DZ144+DO144)</f>
        <v>6669.613568576</v>
      </c>
      <c r="ED144" s="84" t="n">
        <f aca="false">MIN(DX144-EA144,EC144)</f>
        <v>0</v>
      </c>
      <c r="EE144" s="84" t="n">
        <f aca="false">EC144-ED144</f>
        <v>6669.613568576</v>
      </c>
      <c r="EF144" s="84" t="n">
        <f aca="false">IF($H144=1,MIN(DX144-EA144-ED144,MAX(0,$F144/(1-$F144)*(DT144+ED144)-DU144)),0)</f>
        <v>0</v>
      </c>
      <c r="EG144" s="84" t="n">
        <f aca="false">DX144-EA144-ED144-EF144</f>
        <v>0</v>
      </c>
      <c r="EH144" s="84" t="n">
        <f aca="false">EA144+ED144+(1-$F144)*EG144</f>
        <v>9050.5983152</v>
      </c>
      <c r="EI144" s="84" t="n">
        <f aca="false">EF144+$F144*EG144</f>
        <v>0</v>
      </c>
      <c r="EJ144" s="84" t="n">
        <f aca="false">DT144+ED144+(1-$F144)*EG144</f>
        <v>0</v>
      </c>
      <c r="EK144" s="84" t="n">
        <f aca="false">DU144+EI144</f>
        <v>0</v>
      </c>
      <c r="EL144" s="133" t="n">
        <f aca="false">DY144+$D144*Inputs!$I$13-$D144*$E144</f>
        <v>35932.3932608</v>
      </c>
      <c r="EM144" s="84" t="n">
        <f aca="false">EL144*(1+$I144)</f>
        <v>46712.11123904</v>
      </c>
      <c r="EN144" s="133" t="n">
        <f aca="false">EM144*Inputs!$I$14</f>
        <v>9342.422247808</v>
      </c>
      <c r="EO144" s="84" t="n">
        <f aca="false">EM144-EN144</f>
        <v>37369.688991232</v>
      </c>
      <c r="EP144" s="133" t="n">
        <f aca="false">EB144+$D144*Inputs!$I$13</f>
        <v>2179.40330479999</v>
      </c>
      <c r="EQ144" s="84" t="n">
        <f aca="false">MIN(EN144,EP144)</f>
        <v>2179.40330479999</v>
      </c>
      <c r="ER144" s="84" t="n">
        <f aca="false">EP144-EQ144</f>
        <v>0</v>
      </c>
      <c r="ES144" s="84" t="n">
        <f aca="false">EE144+$G144*(EP144+EE144)</f>
        <v>7377.53491844608</v>
      </c>
      <c r="ET144" s="84" t="n">
        <f aca="false">MIN(EN144-EQ144,ES144)</f>
        <v>7163.01894300801</v>
      </c>
      <c r="EU144" s="84" t="n">
        <f aca="false">ES144-ET144</f>
        <v>214.515975438071</v>
      </c>
      <c r="EV144" s="84" t="n">
        <f aca="false">IF($H144=1,MIN(EN144-EQ144-ET144,MAX(0,$F144/(1-$F144)*(EJ144+ET144)-EK144)),0)</f>
        <v>0</v>
      </c>
      <c r="EW144" s="84" t="n">
        <f aca="false">EN144-EQ144-ET144-EV144</f>
        <v>0</v>
      </c>
      <c r="EX144" s="84" t="n">
        <f aca="false">EQ144+ET144+(1-$F144)*EW144</f>
        <v>9342.422247808</v>
      </c>
      <c r="EY144" s="84" t="n">
        <f aca="false">EV144+$F144*EW144</f>
        <v>0</v>
      </c>
      <c r="EZ144" s="84" t="n">
        <f aca="false">EJ144+ET144+(1-$F144)*EW144</f>
        <v>7163.01894300801</v>
      </c>
      <c r="FA144" s="84" t="n">
        <f aca="false">EK144+EY144</f>
        <v>0</v>
      </c>
      <c r="FB144" s="133" t="n">
        <f aca="false">EO144+$D144*Inputs!$J$13-$D144*$E144</f>
        <v>37099.688991232</v>
      </c>
      <c r="FC144" s="84" t="n">
        <f aca="false">FB144*(1+$I144)</f>
        <v>48229.5956886016</v>
      </c>
      <c r="FD144" s="133" t="n">
        <f aca="false">FC144*Inputs!$J$14</f>
        <v>9645.91913772032</v>
      </c>
      <c r="FE144" s="84" t="n">
        <f aca="false">FC144-FD144</f>
        <v>38583.6765508813</v>
      </c>
      <c r="FF144" s="133" t="n">
        <f aca="false">ER144+$D144*Inputs!$J$13</f>
        <v>0</v>
      </c>
      <c r="FG144" s="84" t="n">
        <f aca="false">MIN(FD144,FF144)</f>
        <v>0</v>
      </c>
      <c r="FH144" s="84" t="n">
        <f aca="false">FF144-FG144</f>
        <v>0</v>
      </c>
      <c r="FI144" s="84" t="n">
        <f aca="false">EU144+$G144*(FF144+EU144)</f>
        <v>231.677253473117</v>
      </c>
      <c r="FJ144" s="84" t="n">
        <f aca="false">MIN(FD144-FG144,FI144)</f>
        <v>231.677253473117</v>
      </c>
      <c r="FK144" s="84" t="n">
        <f aca="false">FI144-FJ144</f>
        <v>0</v>
      </c>
      <c r="FL144" s="84" t="n">
        <f aca="false">IF($H144=1,MIN(FD144-FG144-FJ144,MAX(0,$F144/(1-$F144)*(EZ144+FJ144)-FA144)),0)</f>
        <v>1848.67404912028</v>
      </c>
      <c r="FM144" s="84" t="n">
        <f aca="false">FD144-FG144-FJ144-FL144</f>
        <v>7565.56783512692</v>
      </c>
      <c r="FN144" s="84" t="n">
        <f aca="false">FG144+FJ144+(1-$F144)*FM144</f>
        <v>6284.13152157466</v>
      </c>
      <c r="FO144" s="84" t="n">
        <f aca="false">FL144+$F144*FM144</f>
        <v>3361.78761614567</v>
      </c>
      <c r="FP144" s="84" t="n">
        <f aca="false">EZ144+FJ144+(1-$F144)*FM144</f>
        <v>13447.1504645827</v>
      </c>
      <c r="FQ144" s="84" t="n">
        <f aca="false">FA144+FO144</f>
        <v>3361.78761614567</v>
      </c>
      <c r="FR144" s="133" t="n">
        <f aca="false">FE144+$D144*Inputs!$K$13-$D144*$E144</f>
        <v>38313.6765508813</v>
      </c>
      <c r="FS144" s="84" t="n">
        <f aca="false">FR144*(1+$I144)</f>
        <v>49807.7795161457</v>
      </c>
      <c r="FT144" s="133" t="n">
        <f aca="false">FS144*Inputs!$K$14</f>
        <v>9961.55590322914</v>
      </c>
      <c r="FU144" s="84" t="n">
        <f aca="false">FS144-FT144</f>
        <v>39846.2236129165</v>
      </c>
      <c r="FV144" s="133" t="n">
        <f aca="false">FH144+$D144*Inputs!$K$13</f>
        <v>0</v>
      </c>
      <c r="FW144" s="84" t="n">
        <f aca="false">MIN(FT144,FV144)</f>
        <v>0</v>
      </c>
      <c r="FX144" s="84" t="n">
        <f aca="false">FV144-FW144</f>
        <v>0</v>
      </c>
      <c r="FY144" s="84" t="n">
        <f aca="false">FK144+$G144*(FV144+FK144)</f>
        <v>0</v>
      </c>
      <c r="FZ144" s="84" t="n">
        <f aca="false">MIN(FT144-FW144,FY144)</f>
        <v>0</v>
      </c>
      <c r="GA144" s="84" t="n">
        <f aca="false">FY144-FZ144</f>
        <v>0</v>
      </c>
      <c r="GB144" s="84" t="n">
        <f aca="false">IF($H144=1,MIN(FT144-FW144-FZ144,MAX(0,$F144/(1-$F144)*(FP144+FZ144)-FQ144)),0)</f>
        <v>0</v>
      </c>
      <c r="GC144" s="84" t="n">
        <f aca="false">FT144-FW144-FZ144-GB144</f>
        <v>9961.55590322914</v>
      </c>
      <c r="GD144" s="84" t="n">
        <f aca="false">FW144+FZ144+(1-$F144)*GC144</f>
        <v>7969.24472258331</v>
      </c>
      <c r="GE144" s="84" t="n">
        <f aca="false">GB144+$F144*GC144</f>
        <v>1992.31118064583</v>
      </c>
      <c r="GF144" s="84" t="n">
        <f aca="false">FP144+FZ144+(1-$F144)*GC144</f>
        <v>21416.395187166</v>
      </c>
      <c r="GG144" s="84" t="n">
        <f aca="false">FQ144+GE144</f>
        <v>5354.09879679149</v>
      </c>
      <c r="GH144" s="133" t="n">
        <f aca="false">FU144+$D144*Inputs!$L$13-$D144*$E144</f>
        <v>39576.2236129165</v>
      </c>
      <c r="GI144" s="84" t="n">
        <f aca="false">GH144*(1+$I144)</f>
        <v>51449.0906967915</v>
      </c>
      <c r="GJ144" s="133" t="n">
        <f aca="false">GI144*Inputs!$L$14</f>
        <v>51449.0906967915</v>
      </c>
      <c r="GK144" s="84" t="n">
        <f aca="false">GI144-GJ144</f>
        <v>0</v>
      </c>
      <c r="GL144" s="133" t="n">
        <f aca="false">FX144+$D144*Inputs!$L$13</f>
        <v>0</v>
      </c>
      <c r="GM144" s="84" t="n">
        <f aca="false">MIN(GJ144,GL144)</f>
        <v>0</v>
      </c>
      <c r="GN144" s="84" t="n">
        <f aca="false">GL144-GM144</f>
        <v>0</v>
      </c>
      <c r="GO144" s="84" t="n">
        <f aca="false">GA144+$G144*(GL144+GA144)</f>
        <v>0</v>
      </c>
      <c r="GP144" s="84" t="n">
        <f aca="false">MIN(GJ144-GM144,GO144)</f>
        <v>0</v>
      </c>
      <c r="GQ144" s="84" t="n">
        <f aca="false">GO144-GP144</f>
        <v>0</v>
      </c>
      <c r="GR144" s="84" t="n">
        <f aca="false">IF($H144=1,MIN(GJ144-GM144-GP144,MAX(0,$F144/(1-$F144)*(GF144+GP144)-GG144)),0)</f>
        <v>0</v>
      </c>
      <c r="GS144" s="84" t="n">
        <f aca="false">GJ144-GM144-GP144-GR144</f>
        <v>51449.0906967915</v>
      </c>
      <c r="GT144" s="84" t="n">
        <f aca="false">GM144+GP144+(1-$F144)*GS144</f>
        <v>41159.2725574332</v>
      </c>
      <c r="GU144" s="84" t="n">
        <f aca="false">GR144+$F144*GS144</f>
        <v>10289.8181393583</v>
      </c>
      <c r="GV144" s="84" t="n">
        <f aca="false">GF144+GP144+(1-$F144)*GS144</f>
        <v>62575.6677445992</v>
      </c>
      <c r="GW144" s="84" t="n">
        <f aca="false">GG144+GU144</f>
        <v>15643.9169361498</v>
      </c>
    </row>
    <row r="145" customFormat="false" ht="15" hidden="false" customHeight="false" outlineLevel="0" collapsed="false">
      <c r="A145" s="5" t="s">
        <v>641</v>
      </c>
      <c r="B145" s="5" t="s">
        <v>429</v>
      </c>
      <c r="C145" s="135" t="n">
        <v>0</v>
      </c>
      <c r="D145" s="47" t="n">
        <f aca="false">Inputs!$C$6</f>
        <v>20000</v>
      </c>
      <c r="E145" s="35" t="n">
        <f aca="false">Inputs!$C$19</f>
        <v>0.0135</v>
      </c>
      <c r="F145" s="36" t="n">
        <f aca="false">Inputs!$C$21</f>
        <v>0.15</v>
      </c>
      <c r="G145" s="30" t="n">
        <v>0</v>
      </c>
      <c r="H145" s="27" t="n">
        <v>0</v>
      </c>
      <c r="I145" s="132" t="n">
        <f aca="false">Inputs!$C$38+$C145*Inputs!$C$39</f>
        <v>0</v>
      </c>
      <c r="J145" s="36" t="n">
        <f aca="false">Inputs!$C$9</f>
        <v>0.15</v>
      </c>
      <c r="K145" s="89" t="n">
        <f aca="false">IRR(W145:AG145,0.1)</f>
        <v>-0.025625197842692</v>
      </c>
      <c r="L145" s="45" t="n">
        <f aca="false">W145+NPV($J145,X145:AG145)</f>
        <v>-9181.36217543512</v>
      </c>
      <c r="M145" s="45" t="n">
        <f aca="false">SUM(BF145,BV145,CL145,DB145,DR145,EH145,EX145,FN145,GD145,GT145)</f>
        <v>17300</v>
      </c>
      <c r="N145" s="43" t="n">
        <f aca="false">IF($D145*SUM(Inputs!$C$13:$L$13)=0,0,M145/($D145*SUM(Inputs!$C$13:$L$13)))</f>
        <v>0.865</v>
      </c>
      <c r="O145" s="42" t="n">
        <f aca="false">$D145*$E145*COLUMNS(Inputs!$C$13:$L$13)</f>
        <v>2700</v>
      </c>
      <c r="P145" s="45" t="n">
        <f aca="false">SUM(BG145,BW145,CM145,DC145,DS145,EI145,EY145,FO145,GE145,GU145)</f>
        <v>0</v>
      </c>
      <c r="Q145" s="42" t="n">
        <f aca="false">PV($J145,COLUMNS(Inputs!$C$13:$L$13),-$D145*$E145,0,1)</f>
        <v>1558.32765832774</v>
      </c>
      <c r="R145" s="45" t="n">
        <f aca="false">NPV($J145,BG145,BW145,CM145,DC145,DS145,EI145,EY145,FO145,GE145,GU145)</f>
        <v>0</v>
      </c>
      <c r="S145" s="45" t="n">
        <f aca="false">Q145+R145</f>
        <v>1558.32765832774</v>
      </c>
      <c r="T145" s="32" t="n">
        <f aca="false">IF(S145=0,0,Q145/S145)</f>
        <v>1</v>
      </c>
      <c r="U145" s="45" t="n">
        <f aca="false">ROUND(ABS(GK145)+ABS(SUM(AV145,BL145,CB145,CR145,DH145,DX145,EN145,FD145,FT145,GJ145)-M145-P145)+ABS(S145-(AH145+NPV($J145,AI145:AR145))),6)</f>
        <v>0</v>
      </c>
      <c r="W145" s="133" t="n">
        <f aca="false">-$D145*Inputs!$C$13</f>
        <v>-4000</v>
      </c>
      <c r="X145" s="133" t="n">
        <f aca="false">BF145-$D145*Inputs!$D$13</f>
        <v>-4000</v>
      </c>
      <c r="Y145" s="133" t="n">
        <f aca="false">BV145-$D145*Inputs!$E$13</f>
        <v>-4000</v>
      </c>
      <c r="Z145" s="133" t="n">
        <f aca="false">CL145-$D145*Inputs!$F$13</f>
        <v>-4000</v>
      </c>
      <c r="AA145" s="133" t="n">
        <f aca="false">DB145-$D145*Inputs!$G$13</f>
        <v>-4000</v>
      </c>
      <c r="AB145" s="133" t="n">
        <f aca="false">DR145-$D145*Inputs!$H$13</f>
        <v>3730</v>
      </c>
      <c r="AC145" s="133" t="n">
        <f aca="false">EH145-$D145*Inputs!$I$13</f>
        <v>2930</v>
      </c>
      <c r="AD145" s="133" t="n">
        <f aca="false">EX145-$D145*Inputs!$J$13</f>
        <v>2290</v>
      </c>
      <c r="AE145" s="133" t="n">
        <f aca="false">FN145-$D145*Inputs!$K$13</f>
        <v>1778</v>
      </c>
      <c r="AF145" s="133" t="n">
        <f aca="false">GD145-$D145*Inputs!$L$13</f>
        <v>1368.4</v>
      </c>
      <c r="AG145" s="84" t="n">
        <f aca="false">GT145</f>
        <v>5203.6</v>
      </c>
      <c r="AH145" s="84" t="n">
        <f aca="false">$D145*$E145</f>
        <v>270</v>
      </c>
      <c r="AI145" s="84" t="n">
        <f aca="false">BG145+$D145*$E145</f>
        <v>270</v>
      </c>
      <c r="AJ145" s="84" t="n">
        <f aca="false">BW145+$D145*$E145</f>
        <v>270</v>
      </c>
      <c r="AK145" s="84" t="n">
        <f aca="false">CM145+$D145*$E145</f>
        <v>270</v>
      </c>
      <c r="AL145" s="84" t="n">
        <f aca="false">DC145+$D145*$E145</f>
        <v>270</v>
      </c>
      <c r="AM145" s="84" t="n">
        <f aca="false">DS145+$D145*$E145</f>
        <v>270</v>
      </c>
      <c r="AN145" s="84" t="n">
        <f aca="false">EI145+$D145*$E145</f>
        <v>270</v>
      </c>
      <c r="AO145" s="84" t="n">
        <f aca="false">EY145+$D145*$E145</f>
        <v>270</v>
      </c>
      <c r="AP145" s="84" t="n">
        <f aca="false">FO145+$D145*$E145</f>
        <v>270</v>
      </c>
      <c r="AQ145" s="84" t="n">
        <f aca="false">GE145+$D145*$E145</f>
        <v>270</v>
      </c>
      <c r="AR145" s="84" t="n">
        <f aca="false">GU145</f>
        <v>0</v>
      </c>
      <c r="AT145" s="133" t="n">
        <f aca="false">$D145*Inputs!$C$13-$D145*$E145</f>
        <v>3730</v>
      </c>
      <c r="AU145" s="84" t="n">
        <f aca="false">AT145*(1+$I145)</f>
        <v>3730</v>
      </c>
      <c r="AV145" s="133" t="n">
        <f aca="false">AU145*Inputs!$C$14</f>
        <v>0</v>
      </c>
      <c r="AW145" s="84" t="n">
        <f aca="false">AU145-AV145</f>
        <v>3730</v>
      </c>
      <c r="AX145" s="133" t="n">
        <f aca="false">$D145*Inputs!$C$13</f>
        <v>4000</v>
      </c>
      <c r="AY145" s="84" t="n">
        <f aca="false">MIN(AV145,AX145)</f>
        <v>0</v>
      </c>
      <c r="AZ145" s="84" t="n">
        <f aca="false">AX145-AY145</f>
        <v>4000</v>
      </c>
      <c r="BA145" s="84" t="n">
        <f aca="false">$G145*AX145</f>
        <v>0</v>
      </c>
      <c r="BB145" s="84" t="n">
        <f aca="false">MIN(AV145-AY145,BA145)</f>
        <v>0</v>
      </c>
      <c r="BC145" s="84" t="n">
        <f aca="false">BA145-BB145</f>
        <v>0</v>
      </c>
      <c r="BD145" s="84" t="n">
        <f aca="false">IF($H145=1,MIN(AV145-AY145-BB145,MAX(0,$F145/(1-$F145)*BB145)),0)</f>
        <v>0</v>
      </c>
      <c r="BE145" s="84" t="n">
        <f aca="false">AV145-AY145-BB145-BD145</f>
        <v>0</v>
      </c>
      <c r="BF145" s="84" t="n">
        <f aca="false">AY145+BB145+(1-$F145)*BE145</f>
        <v>0</v>
      </c>
      <c r="BG145" s="84" t="n">
        <f aca="false">BD145+$F145*BE145</f>
        <v>0</v>
      </c>
      <c r="BH145" s="84" t="n">
        <f aca="false">BB145+(1-$F145)*BE145</f>
        <v>0</v>
      </c>
      <c r="BI145" s="84" t="n">
        <f aca="false">BG145</f>
        <v>0</v>
      </c>
      <c r="BJ145" s="133" t="n">
        <f aca="false">AW145+$D145*Inputs!$D$13-$D145*$E145</f>
        <v>7460</v>
      </c>
      <c r="BK145" s="84" t="n">
        <f aca="false">BJ145*(1+$I145)</f>
        <v>7460</v>
      </c>
      <c r="BL145" s="133" t="n">
        <f aca="false">BK145*Inputs!$D$14</f>
        <v>0</v>
      </c>
      <c r="BM145" s="84" t="n">
        <f aca="false">BK145-BL145</f>
        <v>7460</v>
      </c>
      <c r="BN145" s="133" t="n">
        <f aca="false">AZ145+$D145*Inputs!$D$13</f>
        <v>8000</v>
      </c>
      <c r="BO145" s="84" t="n">
        <f aca="false">MIN(BL145,BN145)</f>
        <v>0</v>
      </c>
      <c r="BP145" s="84" t="n">
        <f aca="false">BN145-BO145</f>
        <v>8000</v>
      </c>
      <c r="BQ145" s="84" t="n">
        <f aca="false">BC145+$G145*(BN145+BC145)</f>
        <v>0</v>
      </c>
      <c r="BR145" s="84" t="n">
        <f aca="false">MIN(BL145-BO145,BQ145)</f>
        <v>0</v>
      </c>
      <c r="BS145" s="84" t="n">
        <f aca="false">BQ145-BR145</f>
        <v>0</v>
      </c>
      <c r="BT145" s="84" t="n">
        <f aca="false">IF($H145=1,MIN(BL145-BO145-BR145,MAX(0,$F145/(1-$F145)*(BH145+BR145)-BI145)),0)</f>
        <v>0</v>
      </c>
      <c r="BU145" s="84" t="n">
        <f aca="false">BL145-BO145-BR145-BT145</f>
        <v>0</v>
      </c>
      <c r="BV145" s="84" t="n">
        <f aca="false">BO145+BR145+(1-$F145)*BU145</f>
        <v>0</v>
      </c>
      <c r="BW145" s="84" t="n">
        <f aca="false">BT145+$F145*BU145</f>
        <v>0</v>
      </c>
      <c r="BX145" s="84" t="n">
        <f aca="false">BH145+BR145+(1-$F145)*BU145</f>
        <v>0</v>
      </c>
      <c r="BY145" s="84" t="n">
        <f aca="false">BI145+BW145</f>
        <v>0</v>
      </c>
      <c r="BZ145" s="133" t="n">
        <f aca="false">BM145+$D145*Inputs!$E$13-$D145*$E145</f>
        <v>11190</v>
      </c>
      <c r="CA145" s="84" t="n">
        <f aca="false">BZ145*(1+$I145)</f>
        <v>11190</v>
      </c>
      <c r="CB145" s="133" t="n">
        <f aca="false">CA145*Inputs!$E$14</f>
        <v>0</v>
      </c>
      <c r="CC145" s="84" t="n">
        <f aca="false">CA145-CB145</f>
        <v>11190</v>
      </c>
      <c r="CD145" s="133" t="n">
        <f aca="false">BP145+$D145*Inputs!$E$13</f>
        <v>12000</v>
      </c>
      <c r="CE145" s="84" t="n">
        <f aca="false">MIN(CB145,CD145)</f>
        <v>0</v>
      </c>
      <c r="CF145" s="84" t="n">
        <f aca="false">CD145-CE145</f>
        <v>12000</v>
      </c>
      <c r="CG145" s="84" t="n">
        <f aca="false">BS145+$G145*(CD145+BS145)</f>
        <v>0</v>
      </c>
      <c r="CH145" s="84" t="n">
        <f aca="false">MIN(CB145-CE145,CG145)</f>
        <v>0</v>
      </c>
      <c r="CI145" s="84" t="n">
        <f aca="false">CG145-CH145</f>
        <v>0</v>
      </c>
      <c r="CJ145" s="84" t="n">
        <f aca="false">IF($H145=1,MIN(CB145-CE145-CH145,MAX(0,$F145/(1-$F145)*(BX145+CH145)-BY145)),0)</f>
        <v>0</v>
      </c>
      <c r="CK145" s="84" t="n">
        <f aca="false">CB145-CE145-CH145-CJ145</f>
        <v>0</v>
      </c>
      <c r="CL145" s="84" t="n">
        <f aca="false">CE145+CH145+(1-$F145)*CK145</f>
        <v>0</v>
      </c>
      <c r="CM145" s="84" t="n">
        <f aca="false">CJ145+$F145*CK145</f>
        <v>0</v>
      </c>
      <c r="CN145" s="84" t="n">
        <f aca="false">BX145+CH145+(1-$F145)*CK145</f>
        <v>0</v>
      </c>
      <c r="CO145" s="84" t="n">
        <f aca="false">BY145+CM145</f>
        <v>0</v>
      </c>
      <c r="CP145" s="133" t="n">
        <f aca="false">CC145+$D145*Inputs!$F$13-$D145*$E145</f>
        <v>14920</v>
      </c>
      <c r="CQ145" s="84" t="n">
        <f aca="false">CP145*(1+$I145)</f>
        <v>14920</v>
      </c>
      <c r="CR145" s="133" t="n">
        <f aca="false">CQ145*Inputs!$F$14</f>
        <v>0</v>
      </c>
      <c r="CS145" s="84" t="n">
        <f aca="false">CQ145-CR145</f>
        <v>14920</v>
      </c>
      <c r="CT145" s="133" t="n">
        <f aca="false">CF145+$D145*Inputs!$F$13</f>
        <v>16000</v>
      </c>
      <c r="CU145" s="84" t="n">
        <f aca="false">MIN(CR145,CT145)</f>
        <v>0</v>
      </c>
      <c r="CV145" s="84" t="n">
        <f aca="false">CT145-CU145</f>
        <v>16000</v>
      </c>
      <c r="CW145" s="84" t="n">
        <f aca="false">CI145+$G145*(CT145+CI145)</f>
        <v>0</v>
      </c>
      <c r="CX145" s="84" t="n">
        <f aca="false">MIN(CR145-CU145,CW145)</f>
        <v>0</v>
      </c>
      <c r="CY145" s="84" t="n">
        <f aca="false">CW145-CX145</f>
        <v>0</v>
      </c>
      <c r="CZ145" s="84" t="n">
        <f aca="false">IF($H145=1,MIN(CR145-CU145-CX145,MAX(0,$F145/(1-$F145)*(CN145+CX145)-CO145)),0)</f>
        <v>0</v>
      </c>
      <c r="DA145" s="84" t="n">
        <f aca="false">CR145-CU145-CX145-CZ145</f>
        <v>0</v>
      </c>
      <c r="DB145" s="84" t="n">
        <f aca="false">CU145+CX145+(1-$F145)*DA145</f>
        <v>0</v>
      </c>
      <c r="DC145" s="84" t="n">
        <f aca="false">CZ145+$F145*DA145</f>
        <v>0</v>
      </c>
      <c r="DD145" s="84" t="n">
        <f aca="false">CN145+CX145+(1-$F145)*DA145</f>
        <v>0</v>
      </c>
      <c r="DE145" s="84" t="n">
        <f aca="false">CO145+DC145</f>
        <v>0</v>
      </c>
      <c r="DF145" s="133" t="n">
        <f aca="false">CS145+$D145*Inputs!$G$13-$D145*$E145</f>
        <v>18650</v>
      </c>
      <c r="DG145" s="84" t="n">
        <f aca="false">DF145*(1+$I145)</f>
        <v>18650</v>
      </c>
      <c r="DH145" s="133" t="n">
        <f aca="false">DG145*Inputs!$G$14</f>
        <v>3730</v>
      </c>
      <c r="DI145" s="84" t="n">
        <f aca="false">DG145-DH145</f>
        <v>14920</v>
      </c>
      <c r="DJ145" s="133" t="n">
        <f aca="false">CV145+$D145*Inputs!$G$13</f>
        <v>20000</v>
      </c>
      <c r="DK145" s="84" t="n">
        <f aca="false">MIN(DH145,DJ145)</f>
        <v>3730</v>
      </c>
      <c r="DL145" s="84" t="n">
        <f aca="false">DJ145-DK145</f>
        <v>16270</v>
      </c>
      <c r="DM145" s="84" t="n">
        <f aca="false">CY145+$G145*(DJ145+CY145)</f>
        <v>0</v>
      </c>
      <c r="DN145" s="84" t="n">
        <f aca="false">MIN(DH145-DK145,DM145)</f>
        <v>0</v>
      </c>
      <c r="DO145" s="84" t="n">
        <f aca="false">DM145-DN145</f>
        <v>0</v>
      </c>
      <c r="DP145" s="84" t="n">
        <f aca="false">IF($H145=1,MIN(DH145-DK145-DN145,MAX(0,$F145/(1-$F145)*(DD145+DN145)-DE145)),0)</f>
        <v>0</v>
      </c>
      <c r="DQ145" s="84" t="n">
        <f aca="false">DH145-DK145-DN145-DP145</f>
        <v>0</v>
      </c>
      <c r="DR145" s="84" t="n">
        <f aca="false">DK145+DN145+(1-$F145)*DQ145</f>
        <v>3730</v>
      </c>
      <c r="DS145" s="84" t="n">
        <f aca="false">DP145+$F145*DQ145</f>
        <v>0</v>
      </c>
      <c r="DT145" s="84" t="n">
        <f aca="false">DD145+DN145+(1-$F145)*DQ145</f>
        <v>0</v>
      </c>
      <c r="DU145" s="84" t="n">
        <f aca="false">DE145+DS145</f>
        <v>0</v>
      </c>
      <c r="DV145" s="133" t="n">
        <f aca="false">DI145+$D145*Inputs!$H$13-$D145*$E145</f>
        <v>14650</v>
      </c>
      <c r="DW145" s="84" t="n">
        <f aca="false">DV145*(1+$I145)</f>
        <v>14650</v>
      </c>
      <c r="DX145" s="133" t="n">
        <f aca="false">DW145*Inputs!$H$14</f>
        <v>2930</v>
      </c>
      <c r="DY145" s="84" t="n">
        <f aca="false">DW145-DX145</f>
        <v>11720</v>
      </c>
      <c r="DZ145" s="133" t="n">
        <f aca="false">DL145+$D145*Inputs!$H$13</f>
        <v>16270</v>
      </c>
      <c r="EA145" s="84" t="n">
        <f aca="false">MIN(DX145,DZ145)</f>
        <v>2930</v>
      </c>
      <c r="EB145" s="84" t="n">
        <f aca="false">DZ145-EA145</f>
        <v>13340</v>
      </c>
      <c r="EC145" s="84" t="n">
        <f aca="false">DO145+$G145*(DZ145+DO145)</f>
        <v>0</v>
      </c>
      <c r="ED145" s="84" t="n">
        <f aca="false">MIN(DX145-EA145,EC145)</f>
        <v>0</v>
      </c>
      <c r="EE145" s="84" t="n">
        <f aca="false">EC145-ED145</f>
        <v>0</v>
      </c>
      <c r="EF145" s="84" t="n">
        <f aca="false">IF($H145=1,MIN(DX145-EA145-ED145,MAX(0,$F145/(1-$F145)*(DT145+ED145)-DU145)),0)</f>
        <v>0</v>
      </c>
      <c r="EG145" s="84" t="n">
        <f aca="false">DX145-EA145-ED145-EF145</f>
        <v>0</v>
      </c>
      <c r="EH145" s="84" t="n">
        <f aca="false">EA145+ED145+(1-$F145)*EG145</f>
        <v>2930</v>
      </c>
      <c r="EI145" s="84" t="n">
        <f aca="false">EF145+$F145*EG145</f>
        <v>0</v>
      </c>
      <c r="EJ145" s="84" t="n">
        <f aca="false">DT145+ED145+(1-$F145)*EG145</f>
        <v>0</v>
      </c>
      <c r="EK145" s="84" t="n">
        <f aca="false">DU145+EI145</f>
        <v>0</v>
      </c>
      <c r="EL145" s="133" t="n">
        <f aca="false">DY145+$D145*Inputs!$I$13-$D145*$E145</f>
        <v>11450</v>
      </c>
      <c r="EM145" s="84" t="n">
        <f aca="false">EL145*(1+$I145)</f>
        <v>11450</v>
      </c>
      <c r="EN145" s="133" t="n">
        <f aca="false">EM145*Inputs!$I$14</f>
        <v>2290</v>
      </c>
      <c r="EO145" s="84" t="n">
        <f aca="false">EM145-EN145</f>
        <v>9160</v>
      </c>
      <c r="EP145" s="133" t="n">
        <f aca="false">EB145+$D145*Inputs!$I$13</f>
        <v>13340</v>
      </c>
      <c r="EQ145" s="84" t="n">
        <f aca="false">MIN(EN145,EP145)</f>
        <v>2290</v>
      </c>
      <c r="ER145" s="84" t="n">
        <f aca="false">EP145-EQ145</f>
        <v>11050</v>
      </c>
      <c r="ES145" s="84" t="n">
        <f aca="false">EE145+$G145*(EP145+EE145)</f>
        <v>0</v>
      </c>
      <c r="ET145" s="84" t="n">
        <f aca="false">MIN(EN145-EQ145,ES145)</f>
        <v>0</v>
      </c>
      <c r="EU145" s="84" t="n">
        <f aca="false">ES145-ET145</f>
        <v>0</v>
      </c>
      <c r="EV145" s="84" t="n">
        <f aca="false">IF($H145=1,MIN(EN145-EQ145-ET145,MAX(0,$F145/(1-$F145)*(EJ145+ET145)-EK145)),0)</f>
        <v>0</v>
      </c>
      <c r="EW145" s="84" t="n">
        <f aca="false">EN145-EQ145-ET145-EV145</f>
        <v>0</v>
      </c>
      <c r="EX145" s="84" t="n">
        <f aca="false">EQ145+ET145+(1-$F145)*EW145</f>
        <v>2290</v>
      </c>
      <c r="EY145" s="84" t="n">
        <f aca="false">EV145+$F145*EW145</f>
        <v>0</v>
      </c>
      <c r="EZ145" s="84" t="n">
        <f aca="false">EJ145+ET145+(1-$F145)*EW145</f>
        <v>0</v>
      </c>
      <c r="FA145" s="84" t="n">
        <f aca="false">EK145+EY145</f>
        <v>0</v>
      </c>
      <c r="FB145" s="133" t="n">
        <f aca="false">EO145+$D145*Inputs!$J$13-$D145*$E145</f>
        <v>8890</v>
      </c>
      <c r="FC145" s="84" t="n">
        <f aca="false">FB145*(1+$I145)</f>
        <v>8890</v>
      </c>
      <c r="FD145" s="133" t="n">
        <f aca="false">FC145*Inputs!$J$14</f>
        <v>1778</v>
      </c>
      <c r="FE145" s="84" t="n">
        <f aca="false">FC145-FD145</f>
        <v>7112</v>
      </c>
      <c r="FF145" s="133" t="n">
        <f aca="false">ER145+$D145*Inputs!$J$13</f>
        <v>11050</v>
      </c>
      <c r="FG145" s="84" t="n">
        <f aca="false">MIN(FD145,FF145)</f>
        <v>1778</v>
      </c>
      <c r="FH145" s="84" t="n">
        <f aca="false">FF145-FG145</f>
        <v>9272</v>
      </c>
      <c r="FI145" s="84" t="n">
        <f aca="false">EU145+$G145*(FF145+EU145)</f>
        <v>0</v>
      </c>
      <c r="FJ145" s="84" t="n">
        <f aca="false">MIN(FD145-FG145,FI145)</f>
        <v>0</v>
      </c>
      <c r="FK145" s="84" t="n">
        <f aca="false">FI145-FJ145</f>
        <v>0</v>
      </c>
      <c r="FL145" s="84" t="n">
        <f aca="false">IF($H145=1,MIN(FD145-FG145-FJ145,MAX(0,$F145/(1-$F145)*(EZ145+FJ145)-FA145)),0)</f>
        <v>0</v>
      </c>
      <c r="FM145" s="84" t="n">
        <f aca="false">FD145-FG145-FJ145-FL145</f>
        <v>0</v>
      </c>
      <c r="FN145" s="84" t="n">
        <f aca="false">FG145+FJ145+(1-$F145)*FM145</f>
        <v>1778</v>
      </c>
      <c r="FO145" s="84" t="n">
        <f aca="false">FL145+$F145*FM145</f>
        <v>0</v>
      </c>
      <c r="FP145" s="84" t="n">
        <f aca="false">EZ145+FJ145+(1-$F145)*FM145</f>
        <v>0</v>
      </c>
      <c r="FQ145" s="84" t="n">
        <f aca="false">FA145+FO145</f>
        <v>0</v>
      </c>
      <c r="FR145" s="133" t="n">
        <f aca="false">FE145+$D145*Inputs!$K$13-$D145*$E145</f>
        <v>6842</v>
      </c>
      <c r="FS145" s="84" t="n">
        <f aca="false">FR145*(1+$I145)</f>
        <v>6842</v>
      </c>
      <c r="FT145" s="133" t="n">
        <f aca="false">FS145*Inputs!$K$14</f>
        <v>1368.4</v>
      </c>
      <c r="FU145" s="84" t="n">
        <f aca="false">FS145-FT145</f>
        <v>5473.6</v>
      </c>
      <c r="FV145" s="133" t="n">
        <f aca="false">FH145+$D145*Inputs!$K$13</f>
        <v>9272</v>
      </c>
      <c r="FW145" s="84" t="n">
        <f aca="false">MIN(FT145,FV145)</f>
        <v>1368.4</v>
      </c>
      <c r="FX145" s="84" t="n">
        <f aca="false">FV145-FW145</f>
        <v>7903.6</v>
      </c>
      <c r="FY145" s="84" t="n">
        <f aca="false">FK145+$G145*(FV145+FK145)</f>
        <v>0</v>
      </c>
      <c r="FZ145" s="84" t="n">
        <f aca="false">MIN(FT145-FW145,FY145)</f>
        <v>0</v>
      </c>
      <c r="GA145" s="84" t="n">
        <f aca="false">FY145-FZ145</f>
        <v>0</v>
      </c>
      <c r="GB145" s="84" t="n">
        <f aca="false">IF($H145=1,MIN(FT145-FW145-FZ145,MAX(0,$F145/(1-$F145)*(FP145+FZ145)-FQ145)),0)</f>
        <v>0</v>
      </c>
      <c r="GC145" s="84" t="n">
        <f aca="false">FT145-FW145-FZ145-GB145</f>
        <v>0</v>
      </c>
      <c r="GD145" s="84" t="n">
        <f aca="false">FW145+FZ145+(1-$F145)*GC145</f>
        <v>1368.4</v>
      </c>
      <c r="GE145" s="84" t="n">
        <f aca="false">GB145+$F145*GC145</f>
        <v>0</v>
      </c>
      <c r="GF145" s="84" t="n">
        <f aca="false">FP145+FZ145+(1-$F145)*GC145</f>
        <v>0</v>
      </c>
      <c r="GG145" s="84" t="n">
        <f aca="false">FQ145+GE145</f>
        <v>0</v>
      </c>
      <c r="GH145" s="133" t="n">
        <f aca="false">FU145+$D145*Inputs!$L$13-$D145*$E145</f>
        <v>5203.6</v>
      </c>
      <c r="GI145" s="84" t="n">
        <f aca="false">GH145*(1+$I145)</f>
        <v>5203.6</v>
      </c>
      <c r="GJ145" s="133" t="n">
        <f aca="false">GI145*Inputs!$L$14</f>
        <v>5203.6</v>
      </c>
      <c r="GK145" s="84" t="n">
        <f aca="false">GI145-GJ145</f>
        <v>0</v>
      </c>
      <c r="GL145" s="133" t="n">
        <f aca="false">FX145+$D145*Inputs!$L$13</f>
        <v>7903.6</v>
      </c>
      <c r="GM145" s="84" t="n">
        <f aca="false">MIN(GJ145,GL145)</f>
        <v>5203.6</v>
      </c>
      <c r="GN145" s="84" t="n">
        <f aca="false">GL145-GM145</f>
        <v>2700</v>
      </c>
      <c r="GO145" s="84" t="n">
        <f aca="false">GA145+$G145*(GL145+GA145)</f>
        <v>0</v>
      </c>
      <c r="GP145" s="84" t="n">
        <f aca="false">MIN(GJ145-GM145,GO145)</f>
        <v>0</v>
      </c>
      <c r="GQ145" s="84" t="n">
        <f aca="false">GO145-GP145</f>
        <v>0</v>
      </c>
      <c r="GR145" s="84" t="n">
        <f aca="false">IF($H145=1,MIN(GJ145-GM145-GP145,MAX(0,$F145/(1-$F145)*(GF145+GP145)-GG145)),0)</f>
        <v>0</v>
      </c>
      <c r="GS145" s="84" t="n">
        <f aca="false">GJ145-GM145-GP145-GR145</f>
        <v>0</v>
      </c>
      <c r="GT145" s="84" t="n">
        <f aca="false">GM145+GP145+(1-$F145)*GS145</f>
        <v>5203.6</v>
      </c>
      <c r="GU145" s="84" t="n">
        <f aca="false">GR145+$F145*GS145</f>
        <v>0</v>
      </c>
      <c r="GV145" s="84" t="n">
        <f aca="false">GF145+GP145+(1-$F145)*GS145</f>
        <v>0</v>
      </c>
      <c r="GW145" s="84" t="n">
        <f aca="false">GG145+GU145</f>
        <v>0</v>
      </c>
    </row>
    <row r="146" customFormat="false" ht="15" hidden="false" customHeight="false" outlineLevel="0" collapsed="false">
      <c r="A146" s="5" t="s">
        <v>641</v>
      </c>
      <c r="B146" s="5" t="s">
        <v>429</v>
      </c>
      <c r="C146" s="135" t="n">
        <v>1</v>
      </c>
      <c r="D146" s="47" t="n">
        <f aca="false">Inputs!$C$6</f>
        <v>20000</v>
      </c>
      <c r="E146" s="35" t="n">
        <f aca="false">Inputs!$C$19</f>
        <v>0.0135</v>
      </c>
      <c r="F146" s="36" t="n">
        <f aca="false">Inputs!$C$21</f>
        <v>0.15</v>
      </c>
      <c r="G146" s="30" t="n">
        <v>0</v>
      </c>
      <c r="H146" s="27" t="n">
        <v>0</v>
      </c>
      <c r="I146" s="132" t="n">
        <f aca="false">Inputs!$C$38+$C146*Inputs!$C$39</f>
        <v>0.01</v>
      </c>
      <c r="J146" s="36" t="n">
        <f aca="false">Inputs!$C$9</f>
        <v>0.15</v>
      </c>
      <c r="K146" s="89" t="n">
        <f aca="false">IRR(W146:AG146,0.1)</f>
        <v>-0.0150982104544355</v>
      </c>
      <c r="L146" s="45" t="n">
        <f aca="false">W146+NPV($J146,X146:AG146)</f>
        <v>-8839.82096536762</v>
      </c>
      <c r="M146" s="45" t="n">
        <f aca="false">SUM(BF146,BV146,CL146,DB146,DR146,EH146,EX146,FN146,GD146,GT146)</f>
        <v>18360.4510249299</v>
      </c>
      <c r="N146" s="43" t="n">
        <f aca="false">IF($D146*SUM(Inputs!$C$13:$L$13)=0,0,M146/($D146*SUM(Inputs!$C$13:$L$13)))</f>
        <v>0.918022551246495</v>
      </c>
      <c r="O146" s="42" t="n">
        <f aca="false">$D146*$E146*COLUMNS(Inputs!$C$13:$L$13)</f>
        <v>2700</v>
      </c>
      <c r="P146" s="45" t="n">
        <f aca="false">SUM(BG146,BW146,CM146,DC146,DS146,EI146,EY146,FO146,GE146,GU146)</f>
        <v>0</v>
      </c>
      <c r="Q146" s="42" t="n">
        <f aca="false">PV($J146,COLUMNS(Inputs!$C$13:$L$13),-$D146*$E146,0,1)</f>
        <v>1558.32765832774</v>
      </c>
      <c r="R146" s="45" t="n">
        <f aca="false">NPV($J146,BG146,BW146,CM146,DC146,DS146,EI146,EY146,FO146,GE146,GU146)</f>
        <v>0</v>
      </c>
      <c r="S146" s="45" t="n">
        <f aca="false">Q146+R146</f>
        <v>1558.32765832774</v>
      </c>
      <c r="T146" s="32" t="n">
        <f aca="false">IF(S146=0,0,Q146/S146)</f>
        <v>1</v>
      </c>
      <c r="U146" s="45" t="n">
        <f aca="false">ROUND(ABS(GK146)+ABS(SUM(AV146,BL146,CB146,CR146,DH146,DX146,EN146,FD146,FT146,GJ146)-M146-P146)+ABS(S146-(AH146+NPV($J146,AI146:AR146))),6)</f>
        <v>0</v>
      </c>
      <c r="W146" s="133" t="n">
        <f aca="false">-$D146*Inputs!$C$13</f>
        <v>-4000</v>
      </c>
      <c r="X146" s="133" t="n">
        <f aca="false">BF146-$D146*Inputs!$D$13</f>
        <v>-4000</v>
      </c>
      <c r="Y146" s="133" t="n">
        <f aca="false">BV146-$D146*Inputs!$E$13</f>
        <v>-4000</v>
      </c>
      <c r="Z146" s="133" t="n">
        <f aca="false">CL146-$D146*Inputs!$F$13</f>
        <v>-4000</v>
      </c>
      <c r="AA146" s="133" t="n">
        <f aca="false">DB146-$D146*Inputs!$G$13</f>
        <v>-4000</v>
      </c>
      <c r="AB146" s="133" t="n">
        <f aca="false">DR146-$D146*Inputs!$H$13</f>
        <v>3843.4032348346</v>
      </c>
      <c r="AC146" s="133" t="n">
        <f aca="false">EH146-$D146*Inputs!$I$13</f>
        <v>3050.92981374636</v>
      </c>
      <c r="AD146" s="133" t="n">
        <f aca="false">EX146-$D146*Inputs!$J$13</f>
        <v>2410.61128950706</v>
      </c>
      <c r="AE146" s="133" t="n">
        <f aca="false">FN146-$D146*Inputs!$K$13</f>
        <v>1893.2339219217</v>
      </c>
      <c r="AF146" s="133" t="n">
        <f aca="false">GD146-$D146*Inputs!$L$13</f>
        <v>1475.19300891274</v>
      </c>
      <c r="AG146" s="84" t="n">
        <f aca="false">GT146</f>
        <v>5687.07975600745</v>
      </c>
      <c r="AH146" s="84" t="n">
        <f aca="false">$D146*$E146</f>
        <v>270</v>
      </c>
      <c r="AI146" s="84" t="n">
        <f aca="false">BG146+$D146*$E146</f>
        <v>270</v>
      </c>
      <c r="AJ146" s="84" t="n">
        <f aca="false">BW146+$D146*$E146</f>
        <v>270</v>
      </c>
      <c r="AK146" s="84" t="n">
        <f aca="false">CM146+$D146*$E146</f>
        <v>270</v>
      </c>
      <c r="AL146" s="84" t="n">
        <f aca="false">DC146+$D146*$E146</f>
        <v>270</v>
      </c>
      <c r="AM146" s="84" t="n">
        <f aca="false">DS146+$D146*$E146</f>
        <v>270</v>
      </c>
      <c r="AN146" s="84" t="n">
        <f aca="false">EI146+$D146*$E146</f>
        <v>270</v>
      </c>
      <c r="AO146" s="84" t="n">
        <f aca="false">EY146+$D146*$E146</f>
        <v>270</v>
      </c>
      <c r="AP146" s="84" t="n">
        <f aca="false">FO146+$D146*$E146</f>
        <v>270</v>
      </c>
      <c r="AQ146" s="84" t="n">
        <f aca="false">GE146+$D146*$E146</f>
        <v>270</v>
      </c>
      <c r="AR146" s="84" t="n">
        <f aca="false">GU146</f>
        <v>0</v>
      </c>
      <c r="AT146" s="133" t="n">
        <f aca="false">$D146*Inputs!$C$13-$D146*$E146</f>
        <v>3730</v>
      </c>
      <c r="AU146" s="84" t="n">
        <f aca="false">AT146*(1+$I146)</f>
        <v>3767.3</v>
      </c>
      <c r="AV146" s="133" t="n">
        <f aca="false">AU146*Inputs!$C$14</f>
        <v>0</v>
      </c>
      <c r="AW146" s="84" t="n">
        <f aca="false">AU146-AV146</f>
        <v>3767.3</v>
      </c>
      <c r="AX146" s="133" t="n">
        <f aca="false">$D146*Inputs!$C$13</f>
        <v>4000</v>
      </c>
      <c r="AY146" s="84" t="n">
        <f aca="false">MIN(AV146,AX146)</f>
        <v>0</v>
      </c>
      <c r="AZ146" s="84" t="n">
        <f aca="false">AX146-AY146</f>
        <v>4000</v>
      </c>
      <c r="BA146" s="84" t="n">
        <f aca="false">$G146*AX146</f>
        <v>0</v>
      </c>
      <c r="BB146" s="84" t="n">
        <f aca="false">MIN(AV146-AY146,BA146)</f>
        <v>0</v>
      </c>
      <c r="BC146" s="84" t="n">
        <f aca="false">BA146-BB146</f>
        <v>0</v>
      </c>
      <c r="BD146" s="84" t="n">
        <f aca="false">IF($H146=1,MIN(AV146-AY146-BB146,MAX(0,$F146/(1-$F146)*BB146)),0)</f>
        <v>0</v>
      </c>
      <c r="BE146" s="84" t="n">
        <f aca="false">AV146-AY146-BB146-BD146</f>
        <v>0</v>
      </c>
      <c r="BF146" s="84" t="n">
        <f aca="false">AY146+BB146+(1-$F146)*BE146</f>
        <v>0</v>
      </c>
      <c r="BG146" s="84" t="n">
        <f aca="false">BD146+$F146*BE146</f>
        <v>0</v>
      </c>
      <c r="BH146" s="84" t="n">
        <f aca="false">BB146+(1-$F146)*BE146</f>
        <v>0</v>
      </c>
      <c r="BI146" s="84" t="n">
        <f aca="false">BG146</f>
        <v>0</v>
      </c>
      <c r="BJ146" s="133" t="n">
        <f aca="false">AW146+$D146*Inputs!$D$13-$D146*$E146</f>
        <v>7497.3</v>
      </c>
      <c r="BK146" s="84" t="n">
        <f aca="false">BJ146*(1+$I146)</f>
        <v>7572.273</v>
      </c>
      <c r="BL146" s="133" t="n">
        <f aca="false">BK146*Inputs!$D$14</f>
        <v>0</v>
      </c>
      <c r="BM146" s="84" t="n">
        <f aca="false">BK146-BL146</f>
        <v>7572.273</v>
      </c>
      <c r="BN146" s="133" t="n">
        <f aca="false">AZ146+$D146*Inputs!$D$13</f>
        <v>8000</v>
      </c>
      <c r="BO146" s="84" t="n">
        <f aca="false">MIN(BL146,BN146)</f>
        <v>0</v>
      </c>
      <c r="BP146" s="84" t="n">
        <f aca="false">BN146-BO146</f>
        <v>8000</v>
      </c>
      <c r="BQ146" s="84" t="n">
        <f aca="false">BC146+$G146*(BN146+BC146)</f>
        <v>0</v>
      </c>
      <c r="BR146" s="84" t="n">
        <f aca="false">MIN(BL146-BO146,BQ146)</f>
        <v>0</v>
      </c>
      <c r="BS146" s="84" t="n">
        <f aca="false">BQ146-BR146</f>
        <v>0</v>
      </c>
      <c r="BT146" s="84" t="n">
        <f aca="false">IF($H146=1,MIN(BL146-BO146-BR146,MAX(0,$F146/(1-$F146)*(BH146+BR146)-BI146)),0)</f>
        <v>0</v>
      </c>
      <c r="BU146" s="84" t="n">
        <f aca="false">BL146-BO146-BR146-BT146</f>
        <v>0</v>
      </c>
      <c r="BV146" s="84" t="n">
        <f aca="false">BO146+BR146+(1-$F146)*BU146</f>
        <v>0</v>
      </c>
      <c r="BW146" s="84" t="n">
        <f aca="false">BT146+$F146*BU146</f>
        <v>0</v>
      </c>
      <c r="BX146" s="84" t="n">
        <f aca="false">BH146+BR146+(1-$F146)*BU146</f>
        <v>0</v>
      </c>
      <c r="BY146" s="84" t="n">
        <f aca="false">BI146+BW146</f>
        <v>0</v>
      </c>
      <c r="BZ146" s="133" t="n">
        <f aca="false">BM146+$D146*Inputs!$E$13-$D146*$E146</f>
        <v>11302.273</v>
      </c>
      <c r="CA146" s="84" t="n">
        <f aca="false">BZ146*(1+$I146)</f>
        <v>11415.29573</v>
      </c>
      <c r="CB146" s="133" t="n">
        <f aca="false">CA146*Inputs!$E$14</f>
        <v>0</v>
      </c>
      <c r="CC146" s="84" t="n">
        <f aca="false">CA146-CB146</f>
        <v>11415.29573</v>
      </c>
      <c r="CD146" s="133" t="n">
        <f aca="false">BP146+$D146*Inputs!$E$13</f>
        <v>12000</v>
      </c>
      <c r="CE146" s="84" t="n">
        <f aca="false">MIN(CB146,CD146)</f>
        <v>0</v>
      </c>
      <c r="CF146" s="84" t="n">
        <f aca="false">CD146-CE146</f>
        <v>12000</v>
      </c>
      <c r="CG146" s="84" t="n">
        <f aca="false">BS146+$G146*(CD146+BS146)</f>
        <v>0</v>
      </c>
      <c r="CH146" s="84" t="n">
        <f aca="false">MIN(CB146-CE146,CG146)</f>
        <v>0</v>
      </c>
      <c r="CI146" s="84" t="n">
        <f aca="false">CG146-CH146</f>
        <v>0</v>
      </c>
      <c r="CJ146" s="84" t="n">
        <f aca="false">IF($H146=1,MIN(CB146-CE146-CH146,MAX(0,$F146/(1-$F146)*(BX146+CH146)-BY146)),0)</f>
        <v>0</v>
      </c>
      <c r="CK146" s="84" t="n">
        <f aca="false">CB146-CE146-CH146-CJ146</f>
        <v>0</v>
      </c>
      <c r="CL146" s="84" t="n">
        <f aca="false">CE146+CH146+(1-$F146)*CK146</f>
        <v>0</v>
      </c>
      <c r="CM146" s="84" t="n">
        <f aca="false">CJ146+$F146*CK146</f>
        <v>0</v>
      </c>
      <c r="CN146" s="84" t="n">
        <f aca="false">BX146+CH146+(1-$F146)*CK146</f>
        <v>0</v>
      </c>
      <c r="CO146" s="84" t="n">
        <f aca="false">BY146+CM146</f>
        <v>0</v>
      </c>
      <c r="CP146" s="133" t="n">
        <f aca="false">CC146+$D146*Inputs!$F$13-$D146*$E146</f>
        <v>15145.29573</v>
      </c>
      <c r="CQ146" s="84" t="n">
        <f aca="false">CP146*(1+$I146)</f>
        <v>15296.7486873</v>
      </c>
      <c r="CR146" s="133" t="n">
        <f aca="false">CQ146*Inputs!$F$14</f>
        <v>0</v>
      </c>
      <c r="CS146" s="84" t="n">
        <f aca="false">CQ146-CR146</f>
        <v>15296.7486873</v>
      </c>
      <c r="CT146" s="133" t="n">
        <f aca="false">CF146+$D146*Inputs!$F$13</f>
        <v>16000</v>
      </c>
      <c r="CU146" s="84" t="n">
        <f aca="false">MIN(CR146,CT146)</f>
        <v>0</v>
      </c>
      <c r="CV146" s="84" t="n">
        <f aca="false">CT146-CU146</f>
        <v>16000</v>
      </c>
      <c r="CW146" s="84" t="n">
        <f aca="false">CI146+$G146*(CT146+CI146)</f>
        <v>0</v>
      </c>
      <c r="CX146" s="84" t="n">
        <f aca="false">MIN(CR146-CU146,CW146)</f>
        <v>0</v>
      </c>
      <c r="CY146" s="84" t="n">
        <f aca="false">CW146-CX146</f>
        <v>0</v>
      </c>
      <c r="CZ146" s="84" t="n">
        <f aca="false">IF($H146=1,MIN(CR146-CU146-CX146,MAX(0,$F146/(1-$F146)*(CN146+CX146)-CO146)),0)</f>
        <v>0</v>
      </c>
      <c r="DA146" s="84" t="n">
        <f aca="false">CR146-CU146-CX146-CZ146</f>
        <v>0</v>
      </c>
      <c r="DB146" s="84" t="n">
        <f aca="false">CU146+CX146+(1-$F146)*DA146</f>
        <v>0</v>
      </c>
      <c r="DC146" s="84" t="n">
        <f aca="false">CZ146+$F146*DA146</f>
        <v>0</v>
      </c>
      <c r="DD146" s="84" t="n">
        <f aca="false">CN146+CX146+(1-$F146)*DA146</f>
        <v>0</v>
      </c>
      <c r="DE146" s="84" t="n">
        <f aca="false">CO146+DC146</f>
        <v>0</v>
      </c>
      <c r="DF146" s="133" t="n">
        <f aca="false">CS146+$D146*Inputs!$G$13-$D146*$E146</f>
        <v>19026.7486873</v>
      </c>
      <c r="DG146" s="84" t="n">
        <f aca="false">DF146*(1+$I146)</f>
        <v>19217.016174173</v>
      </c>
      <c r="DH146" s="133" t="n">
        <f aca="false">DG146*Inputs!$G$14</f>
        <v>3843.4032348346</v>
      </c>
      <c r="DI146" s="84" t="n">
        <f aca="false">DG146-DH146</f>
        <v>15373.6129393384</v>
      </c>
      <c r="DJ146" s="133" t="n">
        <f aca="false">CV146+$D146*Inputs!$G$13</f>
        <v>20000</v>
      </c>
      <c r="DK146" s="84" t="n">
        <f aca="false">MIN(DH146,DJ146)</f>
        <v>3843.4032348346</v>
      </c>
      <c r="DL146" s="84" t="n">
        <f aca="false">DJ146-DK146</f>
        <v>16156.5967651654</v>
      </c>
      <c r="DM146" s="84" t="n">
        <f aca="false">CY146+$G146*(DJ146+CY146)</f>
        <v>0</v>
      </c>
      <c r="DN146" s="84" t="n">
        <f aca="false">MIN(DH146-DK146,DM146)</f>
        <v>0</v>
      </c>
      <c r="DO146" s="84" t="n">
        <f aca="false">DM146-DN146</f>
        <v>0</v>
      </c>
      <c r="DP146" s="84" t="n">
        <f aca="false">IF($H146=1,MIN(DH146-DK146-DN146,MAX(0,$F146/(1-$F146)*(DD146+DN146)-DE146)),0)</f>
        <v>0</v>
      </c>
      <c r="DQ146" s="84" t="n">
        <f aca="false">DH146-DK146-DN146-DP146</f>
        <v>0</v>
      </c>
      <c r="DR146" s="84" t="n">
        <f aca="false">DK146+DN146+(1-$F146)*DQ146</f>
        <v>3843.4032348346</v>
      </c>
      <c r="DS146" s="84" t="n">
        <f aca="false">DP146+$F146*DQ146</f>
        <v>0</v>
      </c>
      <c r="DT146" s="84" t="n">
        <f aca="false">DD146+DN146+(1-$F146)*DQ146</f>
        <v>0</v>
      </c>
      <c r="DU146" s="84" t="n">
        <f aca="false">DE146+DS146</f>
        <v>0</v>
      </c>
      <c r="DV146" s="133" t="n">
        <f aca="false">DI146+$D146*Inputs!$H$13-$D146*$E146</f>
        <v>15103.6129393384</v>
      </c>
      <c r="DW146" s="84" t="n">
        <f aca="false">DV146*(1+$I146)</f>
        <v>15254.6490687318</v>
      </c>
      <c r="DX146" s="133" t="n">
        <f aca="false">DW146*Inputs!$H$14</f>
        <v>3050.92981374636</v>
      </c>
      <c r="DY146" s="84" t="n">
        <f aca="false">DW146-DX146</f>
        <v>12203.7192549854</v>
      </c>
      <c r="DZ146" s="133" t="n">
        <f aca="false">DL146+$D146*Inputs!$H$13</f>
        <v>16156.5967651654</v>
      </c>
      <c r="EA146" s="84" t="n">
        <f aca="false">MIN(DX146,DZ146)</f>
        <v>3050.92981374636</v>
      </c>
      <c r="EB146" s="84" t="n">
        <f aca="false">DZ146-EA146</f>
        <v>13105.666951419</v>
      </c>
      <c r="EC146" s="84" t="n">
        <f aca="false">DO146+$G146*(DZ146+DO146)</f>
        <v>0</v>
      </c>
      <c r="ED146" s="84" t="n">
        <f aca="false">MIN(DX146-EA146,EC146)</f>
        <v>0</v>
      </c>
      <c r="EE146" s="84" t="n">
        <f aca="false">EC146-ED146</f>
        <v>0</v>
      </c>
      <c r="EF146" s="84" t="n">
        <f aca="false">IF($H146=1,MIN(DX146-EA146-ED146,MAX(0,$F146/(1-$F146)*(DT146+ED146)-DU146)),0)</f>
        <v>0</v>
      </c>
      <c r="EG146" s="84" t="n">
        <f aca="false">DX146-EA146-ED146-EF146</f>
        <v>0</v>
      </c>
      <c r="EH146" s="84" t="n">
        <f aca="false">EA146+ED146+(1-$F146)*EG146</f>
        <v>3050.92981374636</v>
      </c>
      <c r="EI146" s="84" t="n">
        <f aca="false">EF146+$F146*EG146</f>
        <v>0</v>
      </c>
      <c r="EJ146" s="84" t="n">
        <f aca="false">DT146+ED146+(1-$F146)*EG146</f>
        <v>0</v>
      </c>
      <c r="EK146" s="84" t="n">
        <f aca="false">DU146+EI146</f>
        <v>0</v>
      </c>
      <c r="EL146" s="133" t="n">
        <f aca="false">DY146+$D146*Inputs!$I$13-$D146*$E146</f>
        <v>11933.7192549854</v>
      </c>
      <c r="EM146" s="84" t="n">
        <f aca="false">EL146*(1+$I146)</f>
        <v>12053.0564475353</v>
      </c>
      <c r="EN146" s="133" t="n">
        <f aca="false">EM146*Inputs!$I$14</f>
        <v>2410.61128950706</v>
      </c>
      <c r="EO146" s="84" t="n">
        <f aca="false">EM146-EN146</f>
        <v>9642.44515802822</v>
      </c>
      <c r="EP146" s="133" t="n">
        <f aca="false">EB146+$D146*Inputs!$I$13</f>
        <v>13105.666951419</v>
      </c>
      <c r="EQ146" s="84" t="n">
        <f aca="false">MIN(EN146,EP146)</f>
        <v>2410.61128950706</v>
      </c>
      <c r="ER146" s="84" t="n">
        <f aca="false">EP146-EQ146</f>
        <v>10695.055661912</v>
      </c>
      <c r="ES146" s="84" t="n">
        <f aca="false">EE146+$G146*(EP146+EE146)</f>
        <v>0</v>
      </c>
      <c r="ET146" s="84" t="n">
        <f aca="false">MIN(EN146-EQ146,ES146)</f>
        <v>0</v>
      </c>
      <c r="EU146" s="84" t="n">
        <f aca="false">ES146-ET146</f>
        <v>0</v>
      </c>
      <c r="EV146" s="84" t="n">
        <f aca="false">IF($H146=1,MIN(EN146-EQ146-ET146,MAX(0,$F146/(1-$F146)*(EJ146+ET146)-EK146)),0)</f>
        <v>0</v>
      </c>
      <c r="EW146" s="84" t="n">
        <f aca="false">EN146-EQ146-ET146-EV146</f>
        <v>0</v>
      </c>
      <c r="EX146" s="84" t="n">
        <f aca="false">EQ146+ET146+(1-$F146)*EW146</f>
        <v>2410.61128950706</v>
      </c>
      <c r="EY146" s="84" t="n">
        <f aca="false">EV146+$F146*EW146</f>
        <v>0</v>
      </c>
      <c r="EZ146" s="84" t="n">
        <f aca="false">EJ146+ET146+(1-$F146)*EW146</f>
        <v>0</v>
      </c>
      <c r="FA146" s="84" t="n">
        <f aca="false">EK146+EY146</f>
        <v>0</v>
      </c>
      <c r="FB146" s="133" t="n">
        <f aca="false">EO146+$D146*Inputs!$J$13-$D146*$E146</f>
        <v>9372.44515802822</v>
      </c>
      <c r="FC146" s="84" t="n">
        <f aca="false">FB146*(1+$I146)</f>
        <v>9466.16960960851</v>
      </c>
      <c r="FD146" s="133" t="n">
        <f aca="false">FC146*Inputs!$J$14</f>
        <v>1893.2339219217</v>
      </c>
      <c r="FE146" s="84" t="n">
        <f aca="false">FC146-FD146</f>
        <v>7572.93568768681</v>
      </c>
      <c r="FF146" s="133" t="n">
        <f aca="false">ER146+$D146*Inputs!$J$13</f>
        <v>10695.055661912</v>
      </c>
      <c r="FG146" s="84" t="n">
        <f aca="false">MIN(FD146,FF146)</f>
        <v>1893.2339219217</v>
      </c>
      <c r="FH146" s="84" t="n">
        <f aca="false">FF146-FG146</f>
        <v>8801.82173999028</v>
      </c>
      <c r="FI146" s="84" t="n">
        <f aca="false">EU146+$G146*(FF146+EU146)</f>
        <v>0</v>
      </c>
      <c r="FJ146" s="84" t="n">
        <f aca="false">MIN(FD146-FG146,FI146)</f>
        <v>0</v>
      </c>
      <c r="FK146" s="84" t="n">
        <f aca="false">FI146-FJ146</f>
        <v>0</v>
      </c>
      <c r="FL146" s="84" t="n">
        <f aca="false">IF($H146=1,MIN(FD146-FG146-FJ146,MAX(0,$F146/(1-$F146)*(EZ146+FJ146)-FA146)),0)</f>
        <v>0</v>
      </c>
      <c r="FM146" s="84" t="n">
        <f aca="false">FD146-FG146-FJ146-FL146</f>
        <v>0</v>
      </c>
      <c r="FN146" s="84" t="n">
        <f aca="false">FG146+FJ146+(1-$F146)*FM146</f>
        <v>1893.2339219217</v>
      </c>
      <c r="FO146" s="84" t="n">
        <f aca="false">FL146+$F146*FM146</f>
        <v>0</v>
      </c>
      <c r="FP146" s="84" t="n">
        <f aca="false">EZ146+FJ146+(1-$F146)*FM146</f>
        <v>0</v>
      </c>
      <c r="FQ146" s="84" t="n">
        <f aca="false">FA146+FO146</f>
        <v>0</v>
      </c>
      <c r="FR146" s="133" t="n">
        <f aca="false">FE146+$D146*Inputs!$K$13-$D146*$E146</f>
        <v>7302.93568768681</v>
      </c>
      <c r="FS146" s="84" t="n">
        <f aca="false">FR146*(1+$I146)</f>
        <v>7375.96504456367</v>
      </c>
      <c r="FT146" s="133" t="n">
        <f aca="false">FS146*Inputs!$K$14</f>
        <v>1475.19300891274</v>
      </c>
      <c r="FU146" s="84" t="n">
        <f aca="false">FS146-FT146</f>
        <v>5900.77203565094</v>
      </c>
      <c r="FV146" s="133" t="n">
        <f aca="false">FH146+$D146*Inputs!$K$13</f>
        <v>8801.82173999028</v>
      </c>
      <c r="FW146" s="84" t="n">
        <f aca="false">MIN(FT146,FV146)</f>
        <v>1475.19300891274</v>
      </c>
      <c r="FX146" s="84" t="n">
        <f aca="false">FV146-FW146</f>
        <v>7326.62873107755</v>
      </c>
      <c r="FY146" s="84" t="n">
        <f aca="false">FK146+$G146*(FV146+FK146)</f>
        <v>0</v>
      </c>
      <c r="FZ146" s="84" t="n">
        <f aca="false">MIN(FT146-FW146,FY146)</f>
        <v>0</v>
      </c>
      <c r="GA146" s="84" t="n">
        <f aca="false">FY146-FZ146</f>
        <v>0</v>
      </c>
      <c r="GB146" s="84" t="n">
        <f aca="false">IF($H146=1,MIN(FT146-FW146-FZ146,MAX(0,$F146/(1-$F146)*(FP146+FZ146)-FQ146)),0)</f>
        <v>0</v>
      </c>
      <c r="GC146" s="84" t="n">
        <f aca="false">FT146-FW146-FZ146-GB146</f>
        <v>0</v>
      </c>
      <c r="GD146" s="84" t="n">
        <f aca="false">FW146+FZ146+(1-$F146)*GC146</f>
        <v>1475.19300891274</v>
      </c>
      <c r="GE146" s="84" t="n">
        <f aca="false">GB146+$F146*GC146</f>
        <v>0</v>
      </c>
      <c r="GF146" s="84" t="n">
        <f aca="false">FP146+FZ146+(1-$F146)*GC146</f>
        <v>0</v>
      </c>
      <c r="GG146" s="84" t="n">
        <f aca="false">FQ146+GE146</f>
        <v>0</v>
      </c>
      <c r="GH146" s="133" t="n">
        <f aca="false">FU146+$D146*Inputs!$L$13-$D146*$E146</f>
        <v>5630.77203565094</v>
      </c>
      <c r="GI146" s="84" t="n">
        <f aca="false">GH146*(1+$I146)</f>
        <v>5687.07975600745</v>
      </c>
      <c r="GJ146" s="133" t="n">
        <f aca="false">GI146*Inputs!$L$14</f>
        <v>5687.07975600745</v>
      </c>
      <c r="GK146" s="84" t="n">
        <f aca="false">GI146-GJ146</f>
        <v>0</v>
      </c>
      <c r="GL146" s="133" t="n">
        <f aca="false">FX146+$D146*Inputs!$L$13</f>
        <v>7326.62873107755</v>
      </c>
      <c r="GM146" s="84" t="n">
        <f aca="false">MIN(GJ146,GL146)</f>
        <v>5687.07975600745</v>
      </c>
      <c r="GN146" s="84" t="n">
        <f aca="false">GL146-GM146</f>
        <v>1639.5489750701</v>
      </c>
      <c r="GO146" s="84" t="n">
        <f aca="false">GA146+$G146*(GL146+GA146)</f>
        <v>0</v>
      </c>
      <c r="GP146" s="84" t="n">
        <f aca="false">MIN(GJ146-GM146,GO146)</f>
        <v>0</v>
      </c>
      <c r="GQ146" s="84" t="n">
        <f aca="false">GO146-GP146</f>
        <v>0</v>
      </c>
      <c r="GR146" s="84" t="n">
        <f aca="false">IF($H146=1,MIN(GJ146-GM146-GP146,MAX(0,$F146/(1-$F146)*(GF146+GP146)-GG146)),0)</f>
        <v>0</v>
      </c>
      <c r="GS146" s="84" t="n">
        <f aca="false">GJ146-GM146-GP146-GR146</f>
        <v>0</v>
      </c>
      <c r="GT146" s="84" t="n">
        <f aca="false">GM146+GP146+(1-$F146)*GS146</f>
        <v>5687.07975600745</v>
      </c>
      <c r="GU146" s="84" t="n">
        <f aca="false">GR146+$F146*GS146</f>
        <v>0</v>
      </c>
      <c r="GV146" s="84" t="n">
        <f aca="false">GF146+GP146+(1-$F146)*GS146</f>
        <v>0</v>
      </c>
      <c r="GW146" s="84" t="n">
        <f aca="false">GG146+GU146</f>
        <v>0</v>
      </c>
    </row>
    <row r="147" customFormat="false" ht="15" hidden="false" customHeight="false" outlineLevel="0" collapsed="false">
      <c r="A147" s="5" t="s">
        <v>641</v>
      </c>
      <c r="B147" s="5" t="s">
        <v>429</v>
      </c>
      <c r="C147" s="135" t="n">
        <v>2</v>
      </c>
      <c r="D147" s="47" t="n">
        <f aca="false">Inputs!$C$6</f>
        <v>20000</v>
      </c>
      <c r="E147" s="35" t="n">
        <f aca="false">Inputs!$C$19</f>
        <v>0.0135</v>
      </c>
      <c r="F147" s="36" t="n">
        <f aca="false">Inputs!$C$21</f>
        <v>0.15</v>
      </c>
      <c r="G147" s="30" t="n">
        <v>0</v>
      </c>
      <c r="H147" s="27" t="n">
        <v>0</v>
      </c>
      <c r="I147" s="132" t="n">
        <f aca="false">Inputs!$C$38+$C147*Inputs!$C$39</f>
        <v>0.02</v>
      </c>
      <c r="J147" s="36" t="n">
        <f aca="false">Inputs!$C$9</f>
        <v>0.15</v>
      </c>
      <c r="K147" s="89" t="n">
        <f aca="false">IRR(W147:AG147,0.1)</f>
        <v>-0.00460606780939016</v>
      </c>
      <c r="L147" s="45" t="n">
        <f aca="false">W147+NPV($J147,X147:AG147)</f>
        <v>-8479.54922696293</v>
      </c>
      <c r="M147" s="45" t="n">
        <f aca="false">SUM(BF147,BV147,CL147,DB147,DR147,EH147,EX147,FN147,GD147,GT147)</f>
        <v>19484.4165653243</v>
      </c>
      <c r="N147" s="43" t="n">
        <f aca="false">IF($D147*SUM(Inputs!$C$13:$L$13)=0,0,M147/($D147*SUM(Inputs!$C$13:$L$13)))</f>
        <v>0.974220828266213</v>
      </c>
      <c r="O147" s="42" t="n">
        <f aca="false">$D147*$E147*COLUMNS(Inputs!$C$13:$L$13)</f>
        <v>2700</v>
      </c>
      <c r="P147" s="45" t="n">
        <f aca="false">SUM(BG147,BW147,CM147,DC147,DS147,EI147,EY147,FO147,GE147,GU147)</f>
        <v>0</v>
      </c>
      <c r="Q147" s="42" t="n">
        <f aca="false">PV($J147,COLUMNS(Inputs!$C$13:$L$13),-$D147*$E147,0,1)</f>
        <v>1558.32765832774</v>
      </c>
      <c r="R147" s="45" t="n">
        <f aca="false">NPV($J147,BG147,BW147,CM147,DC147,DS147,EI147,EY147,FO147,GE147,GU147)</f>
        <v>0</v>
      </c>
      <c r="S147" s="45" t="n">
        <f aca="false">Q147+R147</f>
        <v>1558.32765832774</v>
      </c>
      <c r="T147" s="32" t="n">
        <f aca="false">IF(S147=0,0,Q147/S147)</f>
        <v>1</v>
      </c>
      <c r="U147" s="45" t="n">
        <f aca="false">ROUND(ABS(GK147)+ABS(SUM(AV147,BL147,CB147,CR147,DH147,DX147,EN147,FD147,FT147,GJ147)-M147-P147)+ABS(S147-(AH147+NPV($J147,AI147:AR147))),6)</f>
        <v>0</v>
      </c>
      <c r="W147" s="133" t="n">
        <f aca="false">-$D147*Inputs!$C$13</f>
        <v>-4000</v>
      </c>
      <c r="X147" s="133" t="n">
        <f aca="false">BF147-$D147*Inputs!$D$13</f>
        <v>-4000</v>
      </c>
      <c r="Y147" s="133" t="n">
        <f aca="false">BV147-$D147*Inputs!$E$13</f>
        <v>-4000</v>
      </c>
      <c r="Z147" s="133" t="n">
        <f aca="false">CL147-$D147*Inputs!$F$13</f>
        <v>-4000</v>
      </c>
      <c r="AA147" s="133" t="n">
        <f aca="false">DB147-$D147*Inputs!$G$13</f>
        <v>-4000</v>
      </c>
      <c r="AB147" s="133" t="n">
        <f aca="false">DR147-$D147*Inputs!$H$13</f>
        <v>3959.8582385472</v>
      </c>
      <c r="AC147" s="133" t="n">
        <f aca="false">EH147-$D147*Inputs!$I$13</f>
        <v>3176.16432265452</v>
      </c>
      <c r="AD147" s="133" t="n">
        <f aca="false">EX147-$D147*Inputs!$J$13</f>
        <v>2536.67008728609</v>
      </c>
      <c r="AE147" s="133" t="n">
        <f aca="false">FN147-$D147*Inputs!$K$13</f>
        <v>2014.84279122545</v>
      </c>
      <c r="AF147" s="133" t="n">
        <f aca="false">GD147-$D147*Inputs!$L$13</f>
        <v>1589.03171763996</v>
      </c>
      <c r="AG147" s="84" t="n">
        <f aca="false">GT147</f>
        <v>6207.84940797105</v>
      </c>
      <c r="AH147" s="84" t="n">
        <f aca="false">$D147*$E147</f>
        <v>270</v>
      </c>
      <c r="AI147" s="84" t="n">
        <f aca="false">BG147+$D147*$E147</f>
        <v>270</v>
      </c>
      <c r="AJ147" s="84" t="n">
        <f aca="false">BW147+$D147*$E147</f>
        <v>270</v>
      </c>
      <c r="AK147" s="84" t="n">
        <f aca="false">CM147+$D147*$E147</f>
        <v>270</v>
      </c>
      <c r="AL147" s="84" t="n">
        <f aca="false">DC147+$D147*$E147</f>
        <v>270</v>
      </c>
      <c r="AM147" s="84" t="n">
        <f aca="false">DS147+$D147*$E147</f>
        <v>270</v>
      </c>
      <c r="AN147" s="84" t="n">
        <f aca="false">EI147+$D147*$E147</f>
        <v>270</v>
      </c>
      <c r="AO147" s="84" t="n">
        <f aca="false">EY147+$D147*$E147</f>
        <v>270</v>
      </c>
      <c r="AP147" s="84" t="n">
        <f aca="false">FO147+$D147*$E147</f>
        <v>270</v>
      </c>
      <c r="AQ147" s="84" t="n">
        <f aca="false">GE147+$D147*$E147</f>
        <v>270</v>
      </c>
      <c r="AR147" s="84" t="n">
        <f aca="false">GU147</f>
        <v>0</v>
      </c>
      <c r="AT147" s="133" t="n">
        <f aca="false">$D147*Inputs!$C$13-$D147*$E147</f>
        <v>3730</v>
      </c>
      <c r="AU147" s="84" t="n">
        <f aca="false">AT147*(1+$I147)</f>
        <v>3804.6</v>
      </c>
      <c r="AV147" s="133" t="n">
        <f aca="false">AU147*Inputs!$C$14</f>
        <v>0</v>
      </c>
      <c r="AW147" s="84" t="n">
        <f aca="false">AU147-AV147</f>
        <v>3804.6</v>
      </c>
      <c r="AX147" s="133" t="n">
        <f aca="false">$D147*Inputs!$C$13</f>
        <v>4000</v>
      </c>
      <c r="AY147" s="84" t="n">
        <f aca="false">MIN(AV147,AX147)</f>
        <v>0</v>
      </c>
      <c r="AZ147" s="84" t="n">
        <f aca="false">AX147-AY147</f>
        <v>4000</v>
      </c>
      <c r="BA147" s="84" t="n">
        <f aca="false">$G147*AX147</f>
        <v>0</v>
      </c>
      <c r="BB147" s="84" t="n">
        <f aca="false">MIN(AV147-AY147,BA147)</f>
        <v>0</v>
      </c>
      <c r="BC147" s="84" t="n">
        <f aca="false">BA147-BB147</f>
        <v>0</v>
      </c>
      <c r="BD147" s="84" t="n">
        <f aca="false">IF($H147=1,MIN(AV147-AY147-BB147,MAX(0,$F147/(1-$F147)*BB147)),0)</f>
        <v>0</v>
      </c>
      <c r="BE147" s="84" t="n">
        <f aca="false">AV147-AY147-BB147-BD147</f>
        <v>0</v>
      </c>
      <c r="BF147" s="84" t="n">
        <f aca="false">AY147+BB147+(1-$F147)*BE147</f>
        <v>0</v>
      </c>
      <c r="BG147" s="84" t="n">
        <f aca="false">BD147+$F147*BE147</f>
        <v>0</v>
      </c>
      <c r="BH147" s="84" t="n">
        <f aca="false">BB147+(1-$F147)*BE147</f>
        <v>0</v>
      </c>
      <c r="BI147" s="84" t="n">
        <f aca="false">BG147</f>
        <v>0</v>
      </c>
      <c r="BJ147" s="133" t="n">
        <f aca="false">AW147+$D147*Inputs!$D$13-$D147*$E147</f>
        <v>7534.6</v>
      </c>
      <c r="BK147" s="84" t="n">
        <f aca="false">BJ147*(1+$I147)</f>
        <v>7685.292</v>
      </c>
      <c r="BL147" s="133" t="n">
        <f aca="false">BK147*Inputs!$D$14</f>
        <v>0</v>
      </c>
      <c r="BM147" s="84" t="n">
        <f aca="false">BK147-BL147</f>
        <v>7685.292</v>
      </c>
      <c r="BN147" s="133" t="n">
        <f aca="false">AZ147+$D147*Inputs!$D$13</f>
        <v>8000</v>
      </c>
      <c r="BO147" s="84" t="n">
        <f aca="false">MIN(BL147,BN147)</f>
        <v>0</v>
      </c>
      <c r="BP147" s="84" t="n">
        <f aca="false">BN147-BO147</f>
        <v>8000</v>
      </c>
      <c r="BQ147" s="84" t="n">
        <f aca="false">BC147+$G147*(BN147+BC147)</f>
        <v>0</v>
      </c>
      <c r="BR147" s="84" t="n">
        <f aca="false">MIN(BL147-BO147,BQ147)</f>
        <v>0</v>
      </c>
      <c r="BS147" s="84" t="n">
        <f aca="false">BQ147-BR147</f>
        <v>0</v>
      </c>
      <c r="BT147" s="84" t="n">
        <f aca="false">IF($H147=1,MIN(BL147-BO147-BR147,MAX(0,$F147/(1-$F147)*(BH147+BR147)-BI147)),0)</f>
        <v>0</v>
      </c>
      <c r="BU147" s="84" t="n">
        <f aca="false">BL147-BO147-BR147-BT147</f>
        <v>0</v>
      </c>
      <c r="BV147" s="84" t="n">
        <f aca="false">BO147+BR147+(1-$F147)*BU147</f>
        <v>0</v>
      </c>
      <c r="BW147" s="84" t="n">
        <f aca="false">BT147+$F147*BU147</f>
        <v>0</v>
      </c>
      <c r="BX147" s="84" t="n">
        <f aca="false">BH147+BR147+(1-$F147)*BU147</f>
        <v>0</v>
      </c>
      <c r="BY147" s="84" t="n">
        <f aca="false">BI147+BW147</f>
        <v>0</v>
      </c>
      <c r="BZ147" s="133" t="n">
        <f aca="false">BM147+$D147*Inputs!$E$13-$D147*$E147</f>
        <v>11415.292</v>
      </c>
      <c r="CA147" s="84" t="n">
        <f aca="false">BZ147*(1+$I147)</f>
        <v>11643.59784</v>
      </c>
      <c r="CB147" s="133" t="n">
        <f aca="false">CA147*Inputs!$E$14</f>
        <v>0</v>
      </c>
      <c r="CC147" s="84" t="n">
        <f aca="false">CA147-CB147</f>
        <v>11643.59784</v>
      </c>
      <c r="CD147" s="133" t="n">
        <f aca="false">BP147+$D147*Inputs!$E$13</f>
        <v>12000</v>
      </c>
      <c r="CE147" s="84" t="n">
        <f aca="false">MIN(CB147,CD147)</f>
        <v>0</v>
      </c>
      <c r="CF147" s="84" t="n">
        <f aca="false">CD147-CE147</f>
        <v>12000</v>
      </c>
      <c r="CG147" s="84" t="n">
        <f aca="false">BS147+$G147*(CD147+BS147)</f>
        <v>0</v>
      </c>
      <c r="CH147" s="84" t="n">
        <f aca="false">MIN(CB147-CE147,CG147)</f>
        <v>0</v>
      </c>
      <c r="CI147" s="84" t="n">
        <f aca="false">CG147-CH147</f>
        <v>0</v>
      </c>
      <c r="CJ147" s="84" t="n">
        <f aca="false">IF($H147=1,MIN(CB147-CE147-CH147,MAX(0,$F147/(1-$F147)*(BX147+CH147)-BY147)),0)</f>
        <v>0</v>
      </c>
      <c r="CK147" s="84" t="n">
        <f aca="false">CB147-CE147-CH147-CJ147</f>
        <v>0</v>
      </c>
      <c r="CL147" s="84" t="n">
        <f aca="false">CE147+CH147+(1-$F147)*CK147</f>
        <v>0</v>
      </c>
      <c r="CM147" s="84" t="n">
        <f aca="false">CJ147+$F147*CK147</f>
        <v>0</v>
      </c>
      <c r="CN147" s="84" t="n">
        <f aca="false">BX147+CH147+(1-$F147)*CK147</f>
        <v>0</v>
      </c>
      <c r="CO147" s="84" t="n">
        <f aca="false">BY147+CM147</f>
        <v>0</v>
      </c>
      <c r="CP147" s="133" t="n">
        <f aca="false">CC147+$D147*Inputs!$F$13-$D147*$E147</f>
        <v>15373.59784</v>
      </c>
      <c r="CQ147" s="84" t="n">
        <f aca="false">CP147*(1+$I147)</f>
        <v>15681.0697968</v>
      </c>
      <c r="CR147" s="133" t="n">
        <f aca="false">CQ147*Inputs!$F$14</f>
        <v>0</v>
      </c>
      <c r="CS147" s="84" t="n">
        <f aca="false">CQ147-CR147</f>
        <v>15681.0697968</v>
      </c>
      <c r="CT147" s="133" t="n">
        <f aca="false">CF147+$D147*Inputs!$F$13</f>
        <v>16000</v>
      </c>
      <c r="CU147" s="84" t="n">
        <f aca="false">MIN(CR147,CT147)</f>
        <v>0</v>
      </c>
      <c r="CV147" s="84" t="n">
        <f aca="false">CT147-CU147</f>
        <v>16000</v>
      </c>
      <c r="CW147" s="84" t="n">
        <f aca="false">CI147+$G147*(CT147+CI147)</f>
        <v>0</v>
      </c>
      <c r="CX147" s="84" t="n">
        <f aca="false">MIN(CR147-CU147,CW147)</f>
        <v>0</v>
      </c>
      <c r="CY147" s="84" t="n">
        <f aca="false">CW147-CX147</f>
        <v>0</v>
      </c>
      <c r="CZ147" s="84" t="n">
        <f aca="false">IF($H147=1,MIN(CR147-CU147-CX147,MAX(0,$F147/(1-$F147)*(CN147+CX147)-CO147)),0)</f>
        <v>0</v>
      </c>
      <c r="DA147" s="84" t="n">
        <f aca="false">CR147-CU147-CX147-CZ147</f>
        <v>0</v>
      </c>
      <c r="DB147" s="84" t="n">
        <f aca="false">CU147+CX147+(1-$F147)*DA147</f>
        <v>0</v>
      </c>
      <c r="DC147" s="84" t="n">
        <f aca="false">CZ147+$F147*DA147</f>
        <v>0</v>
      </c>
      <c r="DD147" s="84" t="n">
        <f aca="false">CN147+CX147+(1-$F147)*DA147</f>
        <v>0</v>
      </c>
      <c r="DE147" s="84" t="n">
        <f aca="false">CO147+DC147</f>
        <v>0</v>
      </c>
      <c r="DF147" s="133" t="n">
        <f aca="false">CS147+$D147*Inputs!$G$13-$D147*$E147</f>
        <v>19411.0697968</v>
      </c>
      <c r="DG147" s="84" t="n">
        <f aca="false">DF147*(1+$I147)</f>
        <v>19799.291192736</v>
      </c>
      <c r="DH147" s="133" t="n">
        <f aca="false">DG147*Inputs!$G$14</f>
        <v>3959.8582385472</v>
      </c>
      <c r="DI147" s="84" t="n">
        <f aca="false">DG147-DH147</f>
        <v>15839.4329541888</v>
      </c>
      <c r="DJ147" s="133" t="n">
        <f aca="false">CV147+$D147*Inputs!$G$13</f>
        <v>20000</v>
      </c>
      <c r="DK147" s="84" t="n">
        <f aca="false">MIN(DH147,DJ147)</f>
        <v>3959.8582385472</v>
      </c>
      <c r="DL147" s="84" t="n">
        <f aca="false">DJ147-DK147</f>
        <v>16040.1417614528</v>
      </c>
      <c r="DM147" s="84" t="n">
        <f aca="false">CY147+$G147*(DJ147+CY147)</f>
        <v>0</v>
      </c>
      <c r="DN147" s="84" t="n">
        <f aca="false">MIN(DH147-DK147,DM147)</f>
        <v>0</v>
      </c>
      <c r="DO147" s="84" t="n">
        <f aca="false">DM147-DN147</f>
        <v>0</v>
      </c>
      <c r="DP147" s="84" t="n">
        <f aca="false">IF($H147=1,MIN(DH147-DK147-DN147,MAX(0,$F147/(1-$F147)*(DD147+DN147)-DE147)),0)</f>
        <v>0</v>
      </c>
      <c r="DQ147" s="84" t="n">
        <f aca="false">DH147-DK147-DN147-DP147</f>
        <v>0</v>
      </c>
      <c r="DR147" s="84" t="n">
        <f aca="false">DK147+DN147+(1-$F147)*DQ147</f>
        <v>3959.8582385472</v>
      </c>
      <c r="DS147" s="84" t="n">
        <f aca="false">DP147+$F147*DQ147</f>
        <v>0</v>
      </c>
      <c r="DT147" s="84" t="n">
        <f aca="false">DD147+DN147+(1-$F147)*DQ147</f>
        <v>0</v>
      </c>
      <c r="DU147" s="84" t="n">
        <f aca="false">DE147+DS147</f>
        <v>0</v>
      </c>
      <c r="DV147" s="133" t="n">
        <f aca="false">DI147+$D147*Inputs!$H$13-$D147*$E147</f>
        <v>15569.4329541888</v>
      </c>
      <c r="DW147" s="84" t="n">
        <f aca="false">DV147*(1+$I147)</f>
        <v>15880.8216132726</v>
      </c>
      <c r="DX147" s="133" t="n">
        <f aca="false">DW147*Inputs!$H$14</f>
        <v>3176.16432265452</v>
      </c>
      <c r="DY147" s="84" t="n">
        <f aca="false">DW147-DX147</f>
        <v>12704.6572906181</v>
      </c>
      <c r="DZ147" s="133" t="n">
        <f aca="false">DL147+$D147*Inputs!$H$13</f>
        <v>16040.1417614528</v>
      </c>
      <c r="EA147" s="84" t="n">
        <f aca="false">MIN(DX147,DZ147)</f>
        <v>3176.16432265452</v>
      </c>
      <c r="EB147" s="84" t="n">
        <f aca="false">DZ147-EA147</f>
        <v>12863.9774387983</v>
      </c>
      <c r="EC147" s="84" t="n">
        <f aca="false">DO147+$G147*(DZ147+DO147)</f>
        <v>0</v>
      </c>
      <c r="ED147" s="84" t="n">
        <f aca="false">MIN(DX147-EA147,EC147)</f>
        <v>0</v>
      </c>
      <c r="EE147" s="84" t="n">
        <f aca="false">EC147-ED147</f>
        <v>0</v>
      </c>
      <c r="EF147" s="84" t="n">
        <f aca="false">IF($H147=1,MIN(DX147-EA147-ED147,MAX(0,$F147/(1-$F147)*(DT147+ED147)-DU147)),0)</f>
        <v>0</v>
      </c>
      <c r="EG147" s="84" t="n">
        <f aca="false">DX147-EA147-ED147-EF147</f>
        <v>0</v>
      </c>
      <c r="EH147" s="84" t="n">
        <f aca="false">EA147+ED147+(1-$F147)*EG147</f>
        <v>3176.16432265452</v>
      </c>
      <c r="EI147" s="84" t="n">
        <f aca="false">EF147+$F147*EG147</f>
        <v>0</v>
      </c>
      <c r="EJ147" s="84" t="n">
        <f aca="false">DT147+ED147+(1-$F147)*EG147</f>
        <v>0</v>
      </c>
      <c r="EK147" s="84" t="n">
        <f aca="false">DU147+EI147</f>
        <v>0</v>
      </c>
      <c r="EL147" s="133" t="n">
        <f aca="false">DY147+$D147*Inputs!$I$13-$D147*$E147</f>
        <v>12434.6572906181</v>
      </c>
      <c r="EM147" s="84" t="n">
        <f aca="false">EL147*(1+$I147)</f>
        <v>12683.3504364304</v>
      </c>
      <c r="EN147" s="133" t="n">
        <f aca="false">EM147*Inputs!$I$14</f>
        <v>2536.67008728609</v>
      </c>
      <c r="EO147" s="84" t="n">
        <f aca="false">EM147-EN147</f>
        <v>10146.6803491443</v>
      </c>
      <c r="EP147" s="133" t="n">
        <f aca="false">EB147+$D147*Inputs!$I$13</f>
        <v>12863.9774387983</v>
      </c>
      <c r="EQ147" s="84" t="n">
        <f aca="false">MIN(EN147,EP147)</f>
        <v>2536.67008728609</v>
      </c>
      <c r="ER147" s="84" t="n">
        <f aca="false">EP147-EQ147</f>
        <v>10327.3073515122</v>
      </c>
      <c r="ES147" s="84" t="n">
        <f aca="false">EE147+$G147*(EP147+EE147)</f>
        <v>0</v>
      </c>
      <c r="ET147" s="84" t="n">
        <f aca="false">MIN(EN147-EQ147,ES147)</f>
        <v>0</v>
      </c>
      <c r="EU147" s="84" t="n">
        <f aca="false">ES147-ET147</f>
        <v>0</v>
      </c>
      <c r="EV147" s="84" t="n">
        <f aca="false">IF($H147=1,MIN(EN147-EQ147-ET147,MAX(0,$F147/(1-$F147)*(EJ147+ET147)-EK147)),0)</f>
        <v>0</v>
      </c>
      <c r="EW147" s="84" t="n">
        <f aca="false">EN147-EQ147-ET147-EV147</f>
        <v>0</v>
      </c>
      <c r="EX147" s="84" t="n">
        <f aca="false">EQ147+ET147+(1-$F147)*EW147</f>
        <v>2536.67008728609</v>
      </c>
      <c r="EY147" s="84" t="n">
        <f aca="false">EV147+$F147*EW147</f>
        <v>0</v>
      </c>
      <c r="EZ147" s="84" t="n">
        <f aca="false">EJ147+ET147+(1-$F147)*EW147</f>
        <v>0</v>
      </c>
      <c r="FA147" s="84" t="n">
        <f aca="false">EK147+EY147</f>
        <v>0</v>
      </c>
      <c r="FB147" s="133" t="n">
        <f aca="false">EO147+$D147*Inputs!$J$13-$D147*$E147</f>
        <v>9876.68034914434</v>
      </c>
      <c r="FC147" s="84" t="n">
        <f aca="false">FB147*(1+$I147)</f>
        <v>10074.2139561272</v>
      </c>
      <c r="FD147" s="133" t="n">
        <f aca="false">FC147*Inputs!$J$14</f>
        <v>2014.84279122545</v>
      </c>
      <c r="FE147" s="84" t="n">
        <f aca="false">FC147-FD147</f>
        <v>8059.37116490178</v>
      </c>
      <c r="FF147" s="133" t="n">
        <f aca="false">ER147+$D147*Inputs!$J$13</f>
        <v>10327.3073515122</v>
      </c>
      <c r="FG147" s="84" t="n">
        <f aca="false">MIN(FD147,FF147)</f>
        <v>2014.84279122545</v>
      </c>
      <c r="FH147" s="84" t="n">
        <f aca="false">FF147-FG147</f>
        <v>8312.46456028675</v>
      </c>
      <c r="FI147" s="84" t="n">
        <f aca="false">EU147+$G147*(FF147+EU147)</f>
        <v>0</v>
      </c>
      <c r="FJ147" s="84" t="n">
        <f aca="false">MIN(FD147-FG147,FI147)</f>
        <v>0</v>
      </c>
      <c r="FK147" s="84" t="n">
        <f aca="false">FI147-FJ147</f>
        <v>0</v>
      </c>
      <c r="FL147" s="84" t="n">
        <f aca="false">IF($H147=1,MIN(FD147-FG147-FJ147,MAX(0,$F147/(1-$F147)*(EZ147+FJ147)-FA147)),0)</f>
        <v>0</v>
      </c>
      <c r="FM147" s="84" t="n">
        <f aca="false">FD147-FG147-FJ147-FL147</f>
        <v>0</v>
      </c>
      <c r="FN147" s="84" t="n">
        <f aca="false">FG147+FJ147+(1-$F147)*FM147</f>
        <v>2014.84279122545</v>
      </c>
      <c r="FO147" s="84" t="n">
        <f aca="false">FL147+$F147*FM147</f>
        <v>0</v>
      </c>
      <c r="FP147" s="84" t="n">
        <f aca="false">EZ147+FJ147+(1-$F147)*FM147</f>
        <v>0</v>
      </c>
      <c r="FQ147" s="84" t="n">
        <f aca="false">FA147+FO147</f>
        <v>0</v>
      </c>
      <c r="FR147" s="133" t="n">
        <f aca="false">FE147+$D147*Inputs!$K$13-$D147*$E147</f>
        <v>7789.37116490178</v>
      </c>
      <c r="FS147" s="84" t="n">
        <f aca="false">FR147*(1+$I147)</f>
        <v>7945.15858819982</v>
      </c>
      <c r="FT147" s="133" t="n">
        <f aca="false">FS147*Inputs!$K$14</f>
        <v>1589.03171763996</v>
      </c>
      <c r="FU147" s="84" t="n">
        <f aca="false">FS147-FT147</f>
        <v>6356.12687055985</v>
      </c>
      <c r="FV147" s="133" t="n">
        <f aca="false">FH147+$D147*Inputs!$K$13</f>
        <v>8312.46456028675</v>
      </c>
      <c r="FW147" s="84" t="n">
        <f aca="false">MIN(FT147,FV147)</f>
        <v>1589.03171763996</v>
      </c>
      <c r="FX147" s="84" t="n">
        <f aca="false">FV147-FW147</f>
        <v>6723.43284264679</v>
      </c>
      <c r="FY147" s="84" t="n">
        <f aca="false">FK147+$G147*(FV147+FK147)</f>
        <v>0</v>
      </c>
      <c r="FZ147" s="84" t="n">
        <f aca="false">MIN(FT147-FW147,FY147)</f>
        <v>0</v>
      </c>
      <c r="GA147" s="84" t="n">
        <f aca="false">FY147-FZ147</f>
        <v>0</v>
      </c>
      <c r="GB147" s="84" t="n">
        <f aca="false">IF($H147=1,MIN(FT147-FW147-FZ147,MAX(0,$F147/(1-$F147)*(FP147+FZ147)-FQ147)),0)</f>
        <v>0</v>
      </c>
      <c r="GC147" s="84" t="n">
        <f aca="false">FT147-FW147-FZ147-GB147</f>
        <v>0</v>
      </c>
      <c r="GD147" s="84" t="n">
        <f aca="false">FW147+FZ147+(1-$F147)*GC147</f>
        <v>1589.03171763996</v>
      </c>
      <c r="GE147" s="84" t="n">
        <f aca="false">GB147+$F147*GC147</f>
        <v>0</v>
      </c>
      <c r="GF147" s="84" t="n">
        <f aca="false">FP147+FZ147+(1-$F147)*GC147</f>
        <v>0</v>
      </c>
      <c r="GG147" s="84" t="n">
        <f aca="false">FQ147+GE147</f>
        <v>0</v>
      </c>
      <c r="GH147" s="133" t="n">
        <f aca="false">FU147+$D147*Inputs!$L$13-$D147*$E147</f>
        <v>6086.12687055985</v>
      </c>
      <c r="GI147" s="84" t="n">
        <f aca="false">GH147*(1+$I147)</f>
        <v>6207.84940797105</v>
      </c>
      <c r="GJ147" s="133" t="n">
        <f aca="false">GI147*Inputs!$L$14</f>
        <v>6207.84940797105</v>
      </c>
      <c r="GK147" s="84" t="n">
        <f aca="false">GI147-GJ147</f>
        <v>0</v>
      </c>
      <c r="GL147" s="133" t="n">
        <f aca="false">FX147+$D147*Inputs!$L$13</f>
        <v>6723.43284264679</v>
      </c>
      <c r="GM147" s="84" t="n">
        <f aca="false">MIN(GJ147,GL147)</f>
        <v>6207.84940797105</v>
      </c>
      <c r="GN147" s="84" t="n">
        <f aca="false">GL147-GM147</f>
        <v>515.58343467574</v>
      </c>
      <c r="GO147" s="84" t="n">
        <f aca="false">GA147+$G147*(GL147+GA147)</f>
        <v>0</v>
      </c>
      <c r="GP147" s="84" t="n">
        <f aca="false">MIN(GJ147-GM147,GO147)</f>
        <v>0</v>
      </c>
      <c r="GQ147" s="84" t="n">
        <f aca="false">GO147-GP147</f>
        <v>0</v>
      </c>
      <c r="GR147" s="84" t="n">
        <f aca="false">IF($H147=1,MIN(GJ147-GM147-GP147,MAX(0,$F147/(1-$F147)*(GF147+GP147)-GG147)),0)</f>
        <v>0</v>
      </c>
      <c r="GS147" s="84" t="n">
        <f aca="false">GJ147-GM147-GP147-GR147</f>
        <v>0</v>
      </c>
      <c r="GT147" s="84" t="n">
        <f aca="false">GM147+GP147+(1-$F147)*GS147</f>
        <v>6207.84940797105</v>
      </c>
      <c r="GU147" s="84" t="n">
        <f aca="false">GR147+$F147*GS147</f>
        <v>0</v>
      </c>
      <c r="GV147" s="84" t="n">
        <f aca="false">GF147+GP147+(1-$F147)*GS147</f>
        <v>0</v>
      </c>
      <c r="GW147" s="84" t="n">
        <f aca="false">GG147+GU147</f>
        <v>0</v>
      </c>
    </row>
    <row r="148" customFormat="false" ht="15" hidden="false" customHeight="false" outlineLevel="0" collapsed="false">
      <c r="A148" s="5" t="s">
        <v>641</v>
      </c>
      <c r="B148" s="5" t="s">
        <v>429</v>
      </c>
      <c r="C148" s="135" t="n">
        <v>3</v>
      </c>
      <c r="D148" s="47" t="n">
        <f aca="false">Inputs!$C$6</f>
        <v>20000</v>
      </c>
      <c r="E148" s="35" t="n">
        <f aca="false">Inputs!$C$19</f>
        <v>0.0135</v>
      </c>
      <c r="F148" s="36" t="n">
        <f aca="false">Inputs!$C$21</f>
        <v>0.15</v>
      </c>
      <c r="G148" s="30" t="n">
        <v>0</v>
      </c>
      <c r="H148" s="27" t="n">
        <v>0</v>
      </c>
      <c r="I148" s="132" t="n">
        <f aca="false">Inputs!$C$38+$C148*Inputs!$C$39</f>
        <v>0.03</v>
      </c>
      <c r="J148" s="36" t="n">
        <f aca="false">Inputs!$C$9</f>
        <v>0.15</v>
      </c>
      <c r="K148" s="89" t="n">
        <f aca="false">IRR(W148:AG148,0.1)</f>
        <v>0.00499508578729554</v>
      </c>
      <c r="L148" s="45" t="n">
        <f aca="false">W148+NPV($J148,X148:AG148)</f>
        <v>-8124.59023073723</v>
      </c>
      <c r="M148" s="45" t="n">
        <f aca="false">SUM(BF148,BV148,CL148,DB148,DR148,EH148,EX148,FN148,GD148,GT148)</f>
        <v>20574.1931774842</v>
      </c>
      <c r="N148" s="43" t="n">
        <f aca="false">IF($D148*SUM(Inputs!$C$13:$L$13)=0,0,M148/($D148*SUM(Inputs!$C$13:$L$13)))</f>
        <v>1.02870965887421</v>
      </c>
      <c r="O148" s="42" t="n">
        <f aca="false">$D148*$E148*COLUMNS(Inputs!$C$13:$L$13)</f>
        <v>2700</v>
      </c>
      <c r="P148" s="45" t="n">
        <f aca="false">SUM(BG148,BW148,CM148,DC148,DS148,EI148,EY148,FO148,GE148,GU148)</f>
        <v>101.328207791329</v>
      </c>
      <c r="Q148" s="42" t="n">
        <f aca="false">PV($J148,COLUMNS(Inputs!$C$13:$L$13),-$D148*$E148,0,1)</f>
        <v>1558.32765832774</v>
      </c>
      <c r="R148" s="45" t="n">
        <f aca="false">NPV($J148,BG148,BW148,CM148,DC148,DS148,EI148,EY148,FO148,GE148,GU148)</f>
        <v>25.0467832647551</v>
      </c>
      <c r="S148" s="45" t="n">
        <f aca="false">Q148+R148</f>
        <v>1583.37444159249</v>
      </c>
      <c r="T148" s="32" t="n">
        <f aca="false">IF(S148=0,0,Q148/S148)</f>
        <v>0.984181389691017</v>
      </c>
      <c r="U148" s="45" t="n">
        <f aca="false">ROUND(ABS(GK148)+ABS(SUM(AV148,BL148,CB148,CR148,DH148,DX148,EN148,FD148,FT148,GJ148)-M148-P148)+ABS(S148-(AH148+NPV($J148,AI148:AR148))),6)</f>
        <v>0</v>
      </c>
      <c r="W148" s="133" t="n">
        <f aca="false">-$D148*Inputs!$C$13</f>
        <v>-4000</v>
      </c>
      <c r="X148" s="133" t="n">
        <f aca="false">BF148-$D148*Inputs!$D$13</f>
        <v>-4000</v>
      </c>
      <c r="Y148" s="133" t="n">
        <f aca="false">BV148-$D148*Inputs!$E$13</f>
        <v>-4000</v>
      </c>
      <c r="Z148" s="133" t="n">
        <f aca="false">CL148-$D148*Inputs!$F$13</f>
        <v>-4000</v>
      </c>
      <c r="AA148" s="133" t="n">
        <f aca="false">DB148-$D148*Inputs!$G$13</f>
        <v>-4000</v>
      </c>
      <c r="AB148" s="133" t="n">
        <f aca="false">DR148-$D148*Inputs!$H$13</f>
        <v>4079.4337736878</v>
      </c>
      <c r="AC148" s="133" t="n">
        <f aca="false">EH148-$D148*Inputs!$I$13</f>
        <v>3305.83342951875</v>
      </c>
      <c r="AD148" s="133" t="n">
        <f aca="false">EX148-$D148*Inputs!$J$13</f>
        <v>2668.38674592345</v>
      </c>
      <c r="AE148" s="133" t="n">
        <f aca="false">FN148-$D148*Inputs!$K$13</f>
        <v>2143.13067864092</v>
      </c>
      <c r="AF148" s="133" t="n">
        <f aca="false">GD148-$D148*Inputs!$L$13</f>
        <v>1710.31967920012</v>
      </c>
      <c r="AG148" s="84" t="n">
        <f aca="false">GT148</f>
        <v>6667.08887051316</v>
      </c>
      <c r="AH148" s="84" t="n">
        <f aca="false">$D148*$E148</f>
        <v>270</v>
      </c>
      <c r="AI148" s="84" t="n">
        <f aca="false">BG148+$D148*$E148</f>
        <v>270</v>
      </c>
      <c r="AJ148" s="84" t="n">
        <f aca="false">BW148+$D148*$E148</f>
        <v>270</v>
      </c>
      <c r="AK148" s="84" t="n">
        <f aca="false">CM148+$D148*$E148</f>
        <v>270</v>
      </c>
      <c r="AL148" s="84" t="n">
        <f aca="false">DC148+$D148*$E148</f>
        <v>270</v>
      </c>
      <c r="AM148" s="84" t="n">
        <f aca="false">DS148+$D148*$E148</f>
        <v>270</v>
      </c>
      <c r="AN148" s="84" t="n">
        <f aca="false">EI148+$D148*$E148</f>
        <v>270</v>
      </c>
      <c r="AO148" s="84" t="n">
        <f aca="false">EY148+$D148*$E148</f>
        <v>270</v>
      </c>
      <c r="AP148" s="84" t="n">
        <f aca="false">FO148+$D148*$E148</f>
        <v>270</v>
      </c>
      <c r="AQ148" s="84" t="n">
        <f aca="false">GE148+$D148*$E148</f>
        <v>270</v>
      </c>
      <c r="AR148" s="84" t="n">
        <f aca="false">GU148</f>
        <v>101.328207791329</v>
      </c>
      <c r="AT148" s="133" t="n">
        <f aca="false">$D148*Inputs!$C$13-$D148*$E148</f>
        <v>3730</v>
      </c>
      <c r="AU148" s="84" t="n">
        <f aca="false">AT148*(1+$I148)</f>
        <v>3841.9</v>
      </c>
      <c r="AV148" s="133" t="n">
        <f aca="false">AU148*Inputs!$C$14</f>
        <v>0</v>
      </c>
      <c r="AW148" s="84" t="n">
        <f aca="false">AU148-AV148</f>
        <v>3841.9</v>
      </c>
      <c r="AX148" s="133" t="n">
        <f aca="false">$D148*Inputs!$C$13</f>
        <v>4000</v>
      </c>
      <c r="AY148" s="84" t="n">
        <f aca="false">MIN(AV148,AX148)</f>
        <v>0</v>
      </c>
      <c r="AZ148" s="84" t="n">
        <f aca="false">AX148-AY148</f>
        <v>4000</v>
      </c>
      <c r="BA148" s="84" t="n">
        <f aca="false">$G148*AX148</f>
        <v>0</v>
      </c>
      <c r="BB148" s="84" t="n">
        <f aca="false">MIN(AV148-AY148,BA148)</f>
        <v>0</v>
      </c>
      <c r="BC148" s="84" t="n">
        <f aca="false">BA148-BB148</f>
        <v>0</v>
      </c>
      <c r="BD148" s="84" t="n">
        <f aca="false">IF($H148=1,MIN(AV148-AY148-BB148,MAX(0,$F148/(1-$F148)*BB148)),0)</f>
        <v>0</v>
      </c>
      <c r="BE148" s="84" t="n">
        <f aca="false">AV148-AY148-BB148-BD148</f>
        <v>0</v>
      </c>
      <c r="BF148" s="84" t="n">
        <f aca="false">AY148+BB148+(1-$F148)*BE148</f>
        <v>0</v>
      </c>
      <c r="BG148" s="84" t="n">
        <f aca="false">BD148+$F148*BE148</f>
        <v>0</v>
      </c>
      <c r="BH148" s="84" t="n">
        <f aca="false">BB148+(1-$F148)*BE148</f>
        <v>0</v>
      </c>
      <c r="BI148" s="84" t="n">
        <f aca="false">BG148</f>
        <v>0</v>
      </c>
      <c r="BJ148" s="133" t="n">
        <f aca="false">AW148+$D148*Inputs!$D$13-$D148*$E148</f>
        <v>7571.9</v>
      </c>
      <c r="BK148" s="84" t="n">
        <f aca="false">BJ148*(1+$I148)</f>
        <v>7799.057</v>
      </c>
      <c r="BL148" s="133" t="n">
        <f aca="false">BK148*Inputs!$D$14</f>
        <v>0</v>
      </c>
      <c r="BM148" s="84" t="n">
        <f aca="false">BK148-BL148</f>
        <v>7799.057</v>
      </c>
      <c r="BN148" s="133" t="n">
        <f aca="false">AZ148+$D148*Inputs!$D$13</f>
        <v>8000</v>
      </c>
      <c r="BO148" s="84" t="n">
        <f aca="false">MIN(BL148,BN148)</f>
        <v>0</v>
      </c>
      <c r="BP148" s="84" t="n">
        <f aca="false">BN148-BO148</f>
        <v>8000</v>
      </c>
      <c r="BQ148" s="84" t="n">
        <f aca="false">BC148+$G148*(BN148+BC148)</f>
        <v>0</v>
      </c>
      <c r="BR148" s="84" t="n">
        <f aca="false">MIN(BL148-BO148,BQ148)</f>
        <v>0</v>
      </c>
      <c r="BS148" s="84" t="n">
        <f aca="false">BQ148-BR148</f>
        <v>0</v>
      </c>
      <c r="BT148" s="84" t="n">
        <f aca="false">IF($H148=1,MIN(BL148-BO148-BR148,MAX(0,$F148/(1-$F148)*(BH148+BR148)-BI148)),0)</f>
        <v>0</v>
      </c>
      <c r="BU148" s="84" t="n">
        <f aca="false">BL148-BO148-BR148-BT148</f>
        <v>0</v>
      </c>
      <c r="BV148" s="84" t="n">
        <f aca="false">BO148+BR148+(1-$F148)*BU148</f>
        <v>0</v>
      </c>
      <c r="BW148" s="84" t="n">
        <f aca="false">BT148+$F148*BU148</f>
        <v>0</v>
      </c>
      <c r="BX148" s="84" t="n">
        <f aca="false">BH148+BR148+(1-$F148)*BU148</f>
        <v>0</v>
      </c>
      <c r="BY148" s="84" t="n">
        <f aca="false">BI148+BW148</f>
        <v>0</v>
      </c>
      <c r="BZ148" s="133" t="n">
        <f aca="false">BM148+$D148*Inputs!$E$13-$D148*$E148</f>
        <v>11529.057</v>
      </c>
      <c r="CA148" s="84" t="n">
        <f aca="false">BZ148*(1+$I148)</f>
        <v>11874.92871</v>
      </c>
      <c r="CB148" s="133" t="n">
        <f aca="false">CA148*Inputs!$E$14</f>
        <v>0</v>
      </c>
      <c r="CC148" s="84" t="n">
        <f aca="false">CA148-CB148</f>
        <v>11874.92871</v>
      </c>
      <c r="CD148" s="133" t="n">
        <f aca="false">BP148+$D148*Inputs!$E$13</f>
        <v>12000</v>
      </c>
      <c r="CE148" s="84" t="n">
        <f aca="false">MIN(CB148,CD148)</f>
        <v>0</v>
      </c>
      <c r="CF148" s="84" t="n">
        <f aca="false">CD148-CE148</f>
        <v>12000</v>
      </c>
      <c r="CG148" s="84" t="n">
        <f aca="false">BS148+$G148*(CD148+BS148)</f>
        <v>0</v>
      </c>
      <c r="CH148" s="84" t="n">
        <f aca="false">MIN(CB148-CE148,CG148)</f>
        <v>0</v>
      </c>
      <c r="CI148" s="84" t="n">
        <f aca="false">CG148-CH148</f>
        <v>0</v>
      </c>
      <c r="CJ148" s="84" t="n">
        <f aca="false">IF($H148=1,MIN(CB148-CE148-CH148,MAX(0,$F148/(1-$F148)*(BX148+CH148)-BY148)),0)</f>
        <v>0</v>
      </c>
      <c r="CK148" s="84" t="n">
        <f aca="false">CB148-CE148-CH148-CJ148</f>
        <v>0</v>
      </c>
      <c r="CL148" s="84" t="n">
        <f aca="false">CE148+CH148+(1-$F148)*CK148</f>
        <v>0</v>
      </c>
      <c r="CM148" s="84" t="n">
        <f aca="false">CJ148+$F148*CK148</f>
        <v>0</v>
      </c>
      <c r="CN148" s="84" t="n">
        <f aca="false">BX148+CH148+(1-$F148)*CK148</f>
        <v>0</v>
      </c>
      <c r="CO148" s="84" t="n">
        <f aca="false">BY148+CM148</f>
        <v>0</v>
      </c>
      <c r="CP148" s="133" t="n">
        <f aca="false">CC148+$D148*Inputs!$F$13-$D148*$E148</f>
        <v>15604.92871</v>
      </c>
      <c r="CQ148" s="84" t="n">
        <f aca="false">CP148*(1+$I148)</f>
        <v>16073.0765713</v>
      </c>
      <c r="CR148" s="133" t="n">
        <f aca="false">CQ148*Inputs!$F$14</f>
        <v>0</v>
      </c>
      <c r="CS148" s="84" t="n">
        <f aca="false">CQ148-CR148</f>
        <v>16073.0765713</v>
      </c>
      <c r="CT148" s="133" t="n">
        <f aca="false">CF148+$D148*Inputs!$F$13</f>
        <v>16000</v>
      </c>
      <c r="CU148" s="84" t="n">
        <f aca="false">MIN(CR148,CT148)</f>
        <v>0</v>
      </c>
      <c r="CV148" s="84" t="n">
        <f aca="false">CT148-CU148</f>
        <v>16000</v>
      </c>
      <c r="CW148" s="84" t="n">
        <f aca="false">CI148+$G148*(CT148+CI148)</f>
        <v>0</v>
      </c>
      <c r="CX148" s="84" t="n">
        <f aca="false">MIN(CR148-CU148,CW148)</f>
        <v>0</v>
      </c>
      <c r="CY148" s="84" t="n">
        <f aca="false">CW148-CX148</f>
        <v>0</v>
      </c>
      <c r="CZ148" s="84" t="n">
        <f aca="false">IF($H148=1,MIN(CR148-CU148-CX148,MAX(0,$F148/(1-$F148)*(CN148+CX148)-CO148)),0)</f>
        <v>0</v>
      </c>
      <c r="DA148" s="84" t="n">
        <f aca="false">CR148-CU148-CX148-CZ148</f>
        <v>0</v>
      </c>
      <c r="DB148" s="84" t="n">
        <f aca="false">CU148+CX148+(1-$F148)*DA148</f>
        <v>0</v>
      </c>
      <c r="DC148" s="84" t="n">
        <f aca="false">CZ148+$F148*DA148</f>
        <v>0</v>
      </c>
      <c r="DD148" s="84" t="n">
        <f aca="false">CN148+CX148+(1-$F148)*DA148</f>
        <v>0</v>
      </c>
      <c r="DE148" s="84" t="n">
        <f aca="false">CO148+DC148</f>
        <v>0</v>
      </c>
      <c r="DF148" s="133" t="n">
        <f aca="false">CS148+$D148*Inputs!$G$13-$D148*$E148</f>
        <v>19803.0765713</v>
      </c>
      <c r="DG148" s="84" t="n">
        <f aca="false">DF148*(1+$I148)</f>
        <v>20397.168868439</v>
      </c>
      <c r="DH148" s="133" t="n">
        <f aca="false">DG148*Inputs!$G$14</f>
        <v>4079.4337736878</v>
      </c>
      <c r="DI148" s="84" t="n">
        <f aca="false">DG148-DH148</f>
        <v>16317.7350947512</v>
      </c>
      <c r="DJ148" s="133" t="n">
        <f aca="false">CV148+$D148*Inputs!$G$13</f>
        <v>20000</v>
      </c>
      <c r="DK148" s="84" t="n">
        <f aca="false">MIN(DH148,DJ148)</f>
        <v>4079.4337736878</v>
      </c>
      <c r="DL148" s="84" t="n">
        <f aca="false">DJ148-DK148</f>
        <v>15920.5662263122</v>
      </c>
      <c r="DM148" s="84" t="n">
        <f aca="false">CY148+$G148*(DJ148+CY148)</f>
        <v>0</v>
      </c>
      <c r="DN148" s="84" t="n">
        <f aca="false">MIN(DH148-DK148,DM148)</f>
        <v>0</v>
      </c>
      <c r="DO148" s="84" t="n">
        <f aca="false">DM148-DN148</f>
        <v>0</v>
      </c>
      <c r="DP148" s="84" t="n">
        <f aca="false">IF($H148=1,MIN(DH148-DK148-DN148,MAX(0,$F148/(1-$F148)*(DD148+DN148)-DE148)),0)</f>
        <v>0</v>
      </c>
      <c r="DQ148" s="84" t="n">
        <f aca="false">DH148-DK148-DN148-DP148</f>
        <v>0</v>
      </c>
      <c r="DR148" s="84" t="n">
        <f aca="false">DK148+DN148+(1-$F148)*DQ148</f>
        <v>4079.4337736878</v>
      </c>
      <c r="DS148" s="84" t="n">
        <f aca="false">DP148+$F148*DQ148</f>
        <v>0</v>
      </c>
      <c r="DT148" s="84" t="n">
        <f aca="false">DD148+DN148+(1-$F148)*DQ148</f>
        <v>0</v>
      </c>
      <c r="DU148" s="84" t="n">
        <f aca="false">DE148+DS148</f>
        <v>0</v>
      </c>
      <c r="DV148" s="133" t="n">
        <f aca="false">DI148+$D148*Inputs!$H$13-$D148*$E148</f>
        <v>16047.7350947512</v>
      </c>
      <c r="DW148" s="84" t="n">
        <f aca="false">DV148*(1+$I148)</f>
        <v>16529.1671475937</v>
      </c>
      <c r="DX148" s="133" t="n">
        <f aca="false">DW148*Inputs!$H$14</f>
        <v>3305.83342951875</v>
      </c>
      <c r="DY148" s="84" t="n">
        <f aca="false">DW148-DX148</f>
        <v>13223.333718075</v>
      </c>
      <c r="DZ148" s="133" t="n">
        <f aca="false">DL148+$D148*Inputs!$H$13</f>
        <v>15920.5662263122</v>
      </c>
      <c r="EA148" s="84" t="n">
        <f aca="false">MIN(DX148,DZ148)</f>
        <v>3305.83342951875</v>
      </c>
      <c r="EB148" s="84" t="n">
        <f aca="false">DZ148-EA148</f>
        <v>12614.7327967935</v>
      </c>
      <c r="EC148" s="84" t="n">
        <f aca="false">DO148+$G148*(DZ148+DO148)</f>
        <v>0</v>
      </c>
      <c r="ED148" s="84" t="n">
        <f aca="false">MIN(DX148-EA148,EC148)</f>
        <v>0</v>
      </c>
      <c r="EE148" s="84" t="n">
        <f aca="false">EC148-ED148</f>
        <v>0</v>
      </c>
      <c r="EF148" s="84" t="n">
        <f aca="false">IF($H148=1,MIN(DX148-EA148-ED148,MAX(0,$F148/(1-$F148)*(DT148+ED148)-DU148)),0)</f>
        <v>0</v>
      </c>
      <c r="EG148" s="84" t="n">
        <f aca="false">DX148-EA148-ED148-EF148</f>
        <v>0</v>
      </c>
      <c r="EH148" s="84" t="n">
        <f aca="false">EA148+ED148+(1-$F148)*EG148</f>
        <v>3305.83342951875</v>
      </c>
      <c r="EI148" s="84" t="n">
        <f aca="false">EF148+$F148*EG148</f>
        <v>0</v>
      </c>
      <c r="EJ148" s="84" t="n">
        <f aca="false">DT148+ED148+(1-$F148)*EG148</f>
        <v>0</v>
      </c>
      <c r="EK148" s="84" t="n">
        <f aca="false">DU148+EI148</f>
        <v>0</v>
      </c>
      <c r="EL148" s="133" t="n">
        <f aca="false">DY148+$D148*Inputs!$I$13-$D148*$E148</f>
        <v>12953.333718075</v>
      </c>
      <c r="EM148" s="84" t="n">
        <f aca="false">EL148*(1+$I148)</f>
        <v>13341.9337296172</v>
      </c>
      <c r="EN148" s="133" t="n">
        <f aca="false">EM148*Inputs!$I$14</f>
        <v>2668.38674592345</v>
      </c>
      <c r="EO148" s="84" t="n">
        <f aca="false">EM148-EN148</f>
        <v>10673.5469836938</v>
      </c>
      <c r="EP148" s="133" t="n">
        <f aca="false">EB148+$D148*Inputs!$I$13</f>
        <v>12614.7327967935</v>
      </c>
      <c r="EQ148" s="84" t="n">
        <f aca="false">MIN(EN148,EP148)</f>
        <v>2668.38674592345</v>
      </c>
      <c r="ER148" s="84" t="n">
        <f aca="false">EP148-EQ148</f>
        <v>9946.34605087001</v>
      </c>
      <c r="ES148" s="84" t="n">
        <f aca="false">EE148+$G148*(EP148+EE148)</f>
        <v>0</v>
      </c>
      <c r="ET148" s="84" t="n">
        <f aca="false">MIN(EN148-EQ148,ES148)</f>
        <v>0</v>
      </c>
      <c r="EU148" s="84" t="n">
        <f aca="false">ES148-ET148</f>
        <v>0</v>
      </c>
      <c r="EV148" s="84" t="n">
        <f aca="false">IF($H148=1,MIN(EN148-EQ148-ET148,MAX(0,$F148/(1-$F148)*(EJ148+ET148)-EK148)),0)</f>
        <v>0</v>
      </c>
      <c r="EW148" s="84" t="n">
        <f aca="false">EN148-EQ148-ET148-EV148</f>
        <v>0</v>
      </c>
      <c r="EX148" s="84" t="n">
        <f aca="false">EQ148+ET148+(1-$F148)*EW148</f>
        <v>2668.38674592345</v>
      </c>
      <c r="EY148" s="84" t="n">
        <f aca="false">EV148+$F148*EW148</f>
        <v>0</v>
      </c>
      <c r="EZ148" s="84" t="n">
        <f aca="false">EJ148+ET148+(1-$F148)*EW148</f>
        <v>0</v>
      </c>
      <c r="FA148" s="84" t="n">
        <f aca="false">EK148+EY148</f>
        <v>0</v>
      </c>
      <c r="FB148" s="133" t="n">
        <f aca="false">EO148+$D148*Inputs!$J$13-$D148*$E148</f>
        <v>10403.5469836938</v>
      </c>
      <c r="FC148" s="84" t="n">
        <f aca="false">FB148*(1+$I148)</f>
        <v>10715.6533932046</v>
      </c>
      <c r="FD148" s="133" t="n">
        <f aca="false">FC148*Inputs!$J$14</f>
        <v>2143.13067864092</v>
      </c>
      <c r="FE148" s="84" t="n">
        <f aca="false">FC148-FD148</f>
        <v>8572.52271456369</v>
      </c>
      <c r="FF148" s="133" t="n">
        <f aca="false">ER148+$D148*Inputs!$J$13</f>
        <v>9946.34605087001</v>
      </c>
      <c r="FG148" s="84" t="n">
        <f aca="false">MIN(FD148,FF148)</f>
        <v>2143.13067864092</v>
      </c>
      <c r="FH148" s="84" t="n">
        <f aca="false">FF148-FG148</f>
        <v>7803.21537222908</v>
      </c>
      <c r="FI148" s="84" t="n">
        <f aca="false">EU148+$G148*(FF148+EU148)</f>
        <v>0</v>
      </c>
      <c r="FJ148" s="84" t="n">
        <f aca="false">MIN(FD148-FG148,FI148)</f>
        <v>0</v>
      </c>
      <c r="FK148" s="84" t="n">
        <f aca="false">FI148-FJ148</f>
        <v>0</v>
      </c>
      <c r="FL148" s="84" t="n">
        <f aca="false">IF($H148=1,MIN(FD148-FG148-FJ148,MAX(0,$F148/(1-$F148)*(EZ148+FJ148)-FA148)),0)</f>
        <v>0</v>
      </c>
      <c r="FM148" s="84" t="n">
        <f aca="false">FD148-FG148-FJ148-FL148</f>
        <v>0</v>
      </c>
      <c r="FN148" s="84" t="n">
        <f aca="false">FG148+FJ148+(1-$F148)*FM148</f>
        <v>2143.13067864092</v>
      </c>
      <c r="FO148" s="84" t="n">
        <f aca="false">FL148+$F148*FM148</f>
        <v>0</v>
      </c>
      <c r="FP148" s="84" t="n">
        <f aca="false">EZ148+FJ148+(1-$F148)*FM148</f>
        <v>0</v>
      </c>
      <c r="FQ148" s="84" t="n">
        <f aca="false">FA148+FO148</f>
        <v>0</v>
      </c>
      <c r="FR148" s="133" t="n">
        <f aca="false">FE148+$D148*Inputs!$K$13-$D148*$E148</f>
        <v>8302.52271456369</v>
      </c>
      <c r="FS148" s="84" t="n">
        <f aca="false">FR148*(1+$I148)</f>
        <v>8551.5983960006</v>
      </c>
      <c r="FT148" s="133" t="n">
        <f aca="false">FS148*Inputs!$K$14</f>
        <v>1710.31967920012</v>
      </c>
      <c r="FU148" s="84" t="n">
        <f aca="false">FS148-FT148</f>
        <v>6841.27871680048</v>
      </c>
      <c r="FV148" s="133" t="n">
        <f aca="false">FH148+$D148*Inputs!$K$13</f>
        <v>7803.21537222908</v>
      </c>
      <c r="FW148" s="84" t="n">
        <f aca="false">MIN(FT148,FV148)</f>
        <v>1710.31967920012</v>
      </c>
      <c r="FX148" s="84" t="n">
        <f aca="false">FV148-FW148</f>
        <v>6092.89569302896</v>
      </c>
      <c r="FY148" s="84" t="n">
        <f aca="false">FK148+$G148*(FV148+FK148)</f>
        <v>0</v>
      </c>
      <c r="FZ148" s="84" t="n">
        <f aca="false">MIN(FT148-FW148,FY148)</f>
        <v>0</v>
      </c>
      <c r="GA148" s="84" t="n">
        <f aca="false">FY148-FZ148</f>
        <v>0</v>
      </c>
      <c r="GB148" s="84" t="n">
        <f aca="false">IF($H148=1,MIN(FT148-FW148-FZ148,MAX(0,$F148/(1-$F148)*(FP148+FZ148)-FQ148)),0)</f>
        <v>0</v>
      </c>
      <c r="GC148" s="84" t="n">
        <f aca="false">FT148-FW148-FZ148-GB148</f>
        <v>0</v>
      </c>
      <c r="GD148" s="84" t="n">
        <f aca="false">FW148+FZ148+(1-$F148)*GC148</f>
        <v>1710.31967920012</v>
      </c>
      <c r="GE148" s="84" t="n">
        <f aca="false">GB148+$F148*GC148</f>
        <v>0</v>
      </c>
      <c r="GF148" s="84" t="n">
        <f aca="false">FP148+FZ148+(1-$F148)*GC148</f>
        <v>0</v>
      </c>
      <c r="GG148" s="84" t="n">
        <f aca="false">FQ148+GE148</f>
        <v>0</v>
      </c>
      <c r="GH148" s="133" t="n">
        <f aca="false">FU148+$D148*Inputs!$L$13-$D148*$E148</f>
        <v>6571.27871680048</v>
      </c>
      <c r="GI148" s="84" t="n">
        <f aca="false">GH148*(1+$I148)</f>
        <v>6768.41707830449</v>
      </c>
      <c r="GJ148" s="133" t="n">
        <f aca="false">GI148*Inputs!$L$14</f>
        <v>6768.41707830449</v>
      </c>
      <c r="GK148" s="84" t="n">
        <f aca="false">GI148-GJ148</f>
        <v>0</v>
      </c>
      <c r="GL148" s="133" t="n">
        <f aca="false">FX148+$D148*Inputs!$L$13</f>
        <v>6092.89569302896</v>
      </c>
      <c r="GM148" s="84" t="n">
        <f aca="false">MIN(GJ148,GL148)</f>
        <v>6092.89569302896</v>
      </c>
      <c r="GN148" s="84" t="n">
        <f aca="false">GL148-GM148</f>
        <v>0</v>
      </c>
      <c r="GO148" s="84" t="n">
        <f aca="false">GA148+$G148*(GL148+GA148)</f>
        <v>0</v>
      </c>
      <c r="GP148" s="84" t="n">
        <f aca="false">MIN(GJ148-GM148,GO148)</f>
        <v>0</v>
      </c>
      <c r="GQ148" s="84" t="n">
        <f aca="false">GO148-GP148</f>
        <v>0</v>
      </c>
      <c r="GR148" s="84" t="n">
        <f aca="false">IF($H148=1,MIN(GJ148-GM148-GP148,MAX(0,$F148/(1-$F148)*(GF148+GP148)-GG148)),0)</f>
        <v>0</v>
      </c>
      <c r="GS148" s="84" t="n">
        <f aca="false">GJ148-GM148-GP148-GR148</f>
        <v>675.521385275528</v>
      </c>
      <c r="GT148" s="84" t="n">
        <f aca="false">GM148+GP148+(1-$F148)*GS148</f>
        <v>6667.08887051316</v>
      </c>
      <c r="GU148" s="84" t="n">
        <f aca="false">GR148+$F148*GS148</f>
        <v>101.328207791329</v>
      </c>
      <c r="GV148" s="84" t="n">
        <f aca="false">GF148+GP148+(1-$F148)*GS148</f>
        <v>574.193177484199</v>
      </c>
      <c r="GW148" s="84" t="n">
        <f aca="false">GG148+GU148</f>
        <v>101.328207791329</v>
      </c>
    </row>
    <row r="149" customFormat="false" ht="15" hidden="false" customHeight="false" outlineLevel="0" collapsed="false">
      <c r="A149" s="5" t="s">
        <v>641</v>
      </c>
      <c r="B149" s="5" t="s">
        <v>429</v>
      </c>
      <c r="C149" s="135" t="n">
        <v>4</v>
      </c>
      <c r="D149" s="47" t="n">
        <f aca="false">Inputs!$C$6</f>
        <v>20000</v>
      </c>
      <c r="E149" s="35" t="n">
        <f aca="false">Inputs!$C$19</f>
        <v>0.0135</v>
      </c>
      <c r="F149" s="36" t="n">
        <f aca="false">Inputs!$C$21</f>
        <v>0.15</v>
      </c>
      <c r="G149" s="30" t="n">
        <v>0</v>
      </c>
      <c r="H149" s="27" t="n">
        <v>0</v>
      </c>
      <c r="I149" s="132" t="n">
        <f aca="false">Inputs!$C$38+$C149*Inputs!$C$39</f>
        <v>0.04</v>
      </c>
      <c r="J149" s="36" t="n">
        <f aca="false">Inputs!$C$9</f>
        <v>0.15</v>
      </c>
      <c r="K149" s="89" t="n">
        <f aca="false">IRR(W149:AG149,0.1)</f>
        <v>0.0139878146734152</v>
      </c>
      <c r="L149" s="45" t="n">
        <f aca="false">W149+NPV($J149,X149:AG149)</f>
        <v>-7770.59051701047</v>
      </c>
      <c r="M149" s="45" t="n">
        <f aca="false">SUM(BF149,BV149,CL149,DB149,DR149,EH149,EX149,FN149,GD149,GT149)</f>
        <v>21646.9441032694</v>
      </c>
      <c r="N149" s="43" t="n">
        <f aca="false">IF($D149*SUM(Inputs!$C$13:$L$13)=0,0,M149/($D149*SUM(Inputs!$C$13:$L$13)))</f>
        <v>1.08234720516347</v>
      </c>
      <c r="O149" s="42" t="n">
        <f aca="false">$D149*$E149*COLUMNS(Inputs!$C$13:$L$13)</f>
        <v>2700</v>
      </c>
      <c r="P149" s="45" t="n">
        <f aca="false">SUM(BG149,BW149,CM149,DC149,DS149,EI149,EY149,FO149,GE149,GU149)</f>
        <v>290.637194694596</v>
      </c>
      <c r="Q149" s="42" t="n">
        <f aca="false">PV($J149,COLUMNS(Inputs!$C$13:$L$13),-$D149*$E149,0,1)</f>
        <v>1558.32765832774</v>
      </c>
      <c r="R149" s="45" t="n">
        <f aca="false">NPV($J149,BG149,BW149,CM149,DC149,DS149,EI149,EY149,FO149,GE149,GU149)</f>
        <v>71.8410695586673</v>
      </c>
      <c r="S149" s="45" t="n">
        <f aca="false">Q149+R149</f>
        <v>1630.16872788641</v>
      </c>
      <c r="T149" s="32" t="n">
        <f aca="false">IF(S149=0,0,Q149/S149)</f>
        <v>0.955930286031304</v>
      </c>
      <c r="U149" s="45" t="n">
        <f aca="false">ROUND(ABS(GK149)+ABS(SUM(AV149,BL149,CB149,CR149,DH149,DX149,EN149,FD149,FT149,GJ149)-M149-P149)+ABS(S149-(AH149+NPV($J149,AI149:AR149))),6)</f>
        <v>0</v>
      </c>
      <c r="W149" s="133" t="n">
        <f aca="false">-$D149*Inputs!$C$13</f>
        <v>-4000</v>
      </c>
      <c r="X149" s="133" t="n">
        <f aca="false">BF149-$D149*Inputs!$D$13</f>
        <v>-4000</v>
      </c>
      <c r="Y149" s="133" t="n">
        <f aca="false">BV149-$D149*Inputs!$E$13</f>
        <v>-4000</v>
      </c>
      <c r="Z149" s="133" t="n">
        <f aca="false">CL149-$D149*Inputs!$F$13</f>
        <v>-4000</v>
      </c>
      <c r="AA149" s="133" t="n">
        <f aca="false">DB149-$D149*Inputs!$G$13</f>
        <v>-4000</v>
      </c>
      <c r="AB149" s="133" t="n">
        <f aca="false">DR149-$D149*Inputs!$H$13</f>
        <v>4202.1996949504</v>
      </c>
      <c r="AC149" s="133" t="n">
        <f aca="false">EH149-$D149*Inputs!$I$13</f>
        <v>3440.07014619873</v>
      </c>
      <c r="AD149" s="133" t="n">
        <f aca="false">EX149-$D149*Inputs!$J$13</f>
        <v>2805.97836163735</v>
      </c>
      <c r="AE149" s="133" t="n">
        <f aca="false">FN149-$D149*Inputs!$K$13</f>
        <v>2278.41399688227</v>
      </c>
      <c r="AF149" s="133" t="n">
        <f aca="false">GD149-$D149*Inputs!$L$13</f>
        <v>1839.48044540605</v>
      </c>
      <c r="AG149" s="84" t="n">
        <f aca="false">GT149</f>
        <v>7080.80145819458</v>
      </c>
      <c r="AH149" s="84" t="n">
        <f aca="false">$D149*$E149</f>
        <v>270</v>
      </c>
      <c r="AI149" s="84" t="n">
        <f aca="false">BG149+$D149*$E149</f>
        <v>270</v>
      </c>
      <c r="AJ149" s="84" t="n">
        <f aca="false">BW149+$D149*$E149</f>
        <v>270</v>
      </c>
      <c r="AK149" s="84" t="n">
        <f aca="false">CM149+$D149*$E149</f>
        <v>270</v>
      </c>
      <c r="AL149" s="84" t="n">
        <f aca="false">DC149+$D149*$E149</f>
        <v>270</v>
      </c>
      <c r="AM149" s="84" t="n">
        <f aca="false">DS149+$D149*$E149</f>
        <v>270</v>
      </c>
      <c r="AN149" s="84" t="n">
        <f aca="false">EI149+$D149*$E149</f>
        <v>270</v>
      </c>
      <c r="AO149" s="84" t="n">
        <f aca="false">EY149+$D149*$E149</f>
        <v>270</v>
      </c>
      <c r="AP149" s="84" t="n">
        <f aca="false">FO149+$D149*$E149</f>
        <v>270</v>
      </c>
      <c r="AQ149" s="84" t="n">
        <f aca="false">GE149+$D149*$E149</f>
        <v>270</v>
      </c>
      <c r="AR149" s="84" t="n">
        <f aca="false">GU149</f>
        <v>290.637194694596</v>
      </c>
      <c r="AT149" s="133" t="n">
        <f aca="false">$D149*Inputs!$C$13-$D149*$E149</f>
        <v>3730</v>
      </c>
      <c r="AU149" s="84" t="n">
        <f aca="false">AT149*(1+$I149)</f>
        <v>3879.2</v>
      </c>
      <c r="AV149" s="133" t="n">
        <f aca="false">AU149*Inputs!$C$14</f>
        <v>0</v>
      </c>
      <c r="AW149" s="84" t="n">
        <f aca="false">AU149-AV149</f>
        <v>3879.2</v>
      </c>
      <c r="AX149" s="133" t="n">
        <f aca="false">$D149*Inputs!$C$13</f>
        <v>4000</v>
      </c>
      <c r="AY149" s="84" t="n">
        <f aca="false">MIN(AV149,AX149)</f>
        <v>0</v>
      </c>
      <c r="AZ149" s="84" t="n">
        <f aca="false">AX149-AY149</f>
        <v>4000</v>
      </c>
      <c r="BA149" s="84" t="n">
        <f aca="false">$G149*AX149</f>
        <v>0</v>
      </c>
      <c r="BB149" s="84" t="n">
        <f aca="false">MIN(AV149-AY149,BA149)</f>
        <v>0</v>
      </c>
      <c r="BC149" s="84" t="n">
        <f aca="false">BA149-BB149</f>
        <v>0</v>
      </c>
      <c r="BD149" s="84" t="n">
        <f aca="false">IF($H149=1,MIN(AV149-AY149-BB149,MAX(0,$F149/(1-$F149)*BB149)),0)</f>
        <v>0</v>
      </c>
      <c r="BE149" s="84" t="n">
        <f aca="false">AV149-AY149-BB149-BD149</f>
        <v>0</v>
      </c>
      <c r="BF149" s="84" t="n">
        <f aca="false">AY149+BB149+(1-$F149)*BE149</f>
        <v>0</v>
      </c>
      <c r="BG149" s="84" t="n">
        <f aca="false">BD149+$F149*BE149</f>
        <v>0</v>
      </c>
      <c r="BH149" s="84" t="n">
        <f aca="false">BB149+(1-$F149)*BE149</f>
        <v>0</v>
      </c>
      <c r="BI149" s="84" t="n">
        <f aca="false">BG149</f>
        <v>0</v>
      </c>
      <c r="BJ149" s="133" t="n">
        <f aca="false">AW149+$D149*Inputs!$D$13-$D149*$E149</f>
        <v>7609.2</v>
      </c>
      <c r="BK149" s="84" t="n">
        <f aca="false">BJ149*(1+$I149)</f>
        <v>7913.568</v>
      </c>
      <c r="BL149" s="133" t="n">
        <f aca="false">BK149*Inputs!$D$14</f>
        <v>0</v>
      </c>
      <c r="BM149" s="84" t="n">
        <f aca="false">BK149-BL149</f>
        <v>7913.568</v>
      </c>
      <c r="BN149" s="133" t="n">
        <f aca="false">AZ149+$D149*Inputs!$D$13</f>
        <v>8000</v>
      </c>
      <c r="BO149" s="84" t="n">
        <f aca="false">MIN(BL149,BN149)</f>
        <v>0</v>
      </c>
      <c r="BP149" s="84" t="n">
        <f aca="false">BN149-BO149</f>
        <v>8000</v>
      </c>
      <c r="BQ149" s="84" t="n">
        <f aca="false">BC149+$G149*(BN149+BC149)</f>
        <v>0</v>
      </c>
      <c r="BR149" s="84" t="n">
        <f aca="false">MIN(BL149-BO149,BQ149)</f>
        <v>0</v>
      </c>
      <c r="BS149" s="84" t="n">
        <f aca="false">BQ149-BR149</f>
        <v>0</v>
      </c>
      <c r="BT149" s="84" t="n">
        <f aca="false">IF($H149=1,MIN(BL149-BO149-BR149,MAX(0,$F149/(1-$F149)*(BH149+BR149)-BI149)),0)</f>
        <v>0</v>
      </c>
      <c r="BU149" s="84" t="n">
        <f aca="false">BL149-BO149-BR149-BT149</f>
        <v>0</v>
      </c>
      <c r="BV149" s="84" t="n">
        <f aca="false">BO149+BR149+(1-$F149)*BU149</f>
        <v>0</v>
      </c>
      <c r="BW149" s="84" t="n">
        <f aca="false">BT149+$F149*BU149</f>
        <v>0</v>
      </c>
      <c r="BX149" s="84" t="n">
        <f aca="false">BH149+BR149+(1-$F149)*BU149</f>
        <v>0</v>
      </c>
      <c r="BY149" s="84" t="n">
        <f aca="false">BI149+BW149</f>
        <v>0</v>
      </c>
      <c r="BZ149" s="133" t="n">
        <f aca="false">BM149+$D149*Inputs!$E$13-$D149*$E149</f>
        <v>11643.568</v>
      </c>
      <c r="CA149" s="84" t="n">
        <f aca="false">BZ149*(1+$I149)</f>
        <v>12109.31072</v>
      </c>
      <c r="CB149" s="133" t="n">
        <f aca="false">CA149*Inputs!$E$14</f>
        <v>0</v>
      </c>
      <c r="CC149" s="84" t="n">
        <f aca="false">CA149-CB149</f>
        <v>12109.31072</v>
      </c>
      <c r="CD149" s="133" t="n">
        <f aca="false">BP149+$D149*Inputs!$E$13</f>
        <v>12000</v>
      </c>
      <c r="CE149" s="84" t="n">
        <f aca="false">MIN(CB149,CD149)</f>
        <v>0</v>
      </c>
      <c r="CF149" s="84" t="n">
        <f aca="false">CD149-CE149</f>
        <v>12000</v>
      </c>
      <c r="CG149" s="84" t="n">
        <f aca="false">BS149+$G149*(CD149+BS149)</f>
        <v>0</v>
      </c>
      <c r="CH149" s="84" t="n">
        <f aca="false">MIN(CB149-CE149,CG149)</f>
        <v>0</v>
      </c>
      <c r="CI149" s="84" t="n">
        <f aca="false">CG149-CH149</f>
        <v>0</v>
      </c>
      <c r="CJ149" s="84" t="n">
        <f aca="false">IF($H149=1,MIN(CB149-CE149-CH149,MAX(0,$F149/(1-$F149)*(BX149+CH149)-BY149)),0)</f>
        <v>0</v>
      </c>
      <c r="CK149" s="84" t="n">
        <f aca="false">CB149-CE149-CH149-CJ149</f>
        <v>0</v>
      </c>
      <c r="CL149" s="84" t="n">
        <f aca="false">CE149+CH149+(1-$F149)*CK149</f>
        <v>0</v>
      </c>
      <c r="CM149" s="84" t="n">
        <f aca="false">CJ149+$F149*CK149</f>
        <v>0</v>
      </c>
      <c r="CN149" s="84" t="n">
        <f aca="false">BX149+CH149+(1-$F149)*CK149</f>
        <v>0</v>
      </c>
      <c r="CO149" s="84" t="n">
        <f aca="false">BY149+CM149</f>
        <v>0</v>
      </c>
      <c r="CP149" s="133" t="n">
        <f aca="false">CC149+$D149*Inputs!$F$13-$D149*$E149</f>
        <v>15839.31072</v>
      </c>
      <c r="CQ149" s="84" t="n">
        <f aca="false">CP149*(1+$I149)</f>
        <v>16472.8831488</v>
      </c>
      <c r="CR149" s="133" t="n">
        <f aca="false">CQ149*Inputs!$F$14</f>
        <v>0</v>
      </c>
      <c r="CS149" s="84" t="n">
        <f aca="false">CQ149-CR149</f>
        <v>16472.8831488</v>
      </c>
      <c r="CT149" s="133" t="n">
        <f aca="false">CF149+$D149*Inputs!$F$13</f>
        <v>16000</v>
      </c>
      <c r="CU149" s="84" t="n">
        <f aca="false">MIN(CR149,CT149)</f>
        <v>0</v>
      </c>
      <c r="CV149" s="84" t="n">
        <f aca="false">CT149-CU149</f>
        <v>16000</v>
      </c>
      <c r="CW149" s="84" t="n">
        <f aca="false">CI149+$G149*(CT149+CI149)</f>
        <v>0</v>
      </c>
      <c r="CX149" s="84" t="n">
        <f aca="false">MIN(CR149-CU149,CW149)</f>
        <v>0</v>
      </c>
      <c r="CY149" s="84" t="n">
        <f aca="false">CW149-CX149</f>
        <v>0</v>
      </c>
      <c r="CZ149" s="84" t="n">
        <f aca="false">IF($H149=1,MIN(CR149-CU149-CX149,MAX(0,$F149/(1-$F149)*(CN149+CX149)-CO149)),0)</f>
        <v>0</v>
      </c>
      <c r="DA149" s="84" t="n">
        <f aca="false">CR149-CU149-CX149-CZ149</f>
        <v>0</v>
      </c>
      <c r="DB149" s="84" t="n">
        <f aca="false">CU149+CX149+(1-$F149)*DA149</f>
        <v>0</v>
      </c>
      <c r="DC149" s="84" t="n">
        <f aca="false">CZ149+$F149*DA149</f>
        <v>0</v>
      </c>
      <c r="DD149" s="84" t="n">
        <f aca="false">CN149+CX149+(1-$F149)*DA149</f>
        <v>0</v>
      </c>
      <c r="DE149" s="84" t="n">
        <f aca="false">CO149+DC149</f>
        <v>0</v>
      </c>
      <c r="DF149" s="133" t="n">
        <f aca="false">CS149+$D149*Inputs!$G$13-$D149*$E149</f>
        <v>20202.8831488</v>
      </c>
      <c r="DG149" s="84" t="n">
        <f aca="false">DF149*(1+$I149)</f>
        <v>21010.998474752</v>
      </c>
      <c r="DH149" s="133" t="n">
        <f aca="false">DG149*Inputs!$G$14</f>
        <v>4202.1996949504</v>
      </c>
      <c r="DI149" s="84" t="n">
        <f aca="false">DG149-DH149</f>
        <v>16808.7987798016</v>
      </c>
      <c r="DJ149" s="133" t="n">
        <f aca="false">CV149+$D149*Inputs!$G$13</f>
        <v>20000</v>
      </c>
      <c r="DK149" s="84" t="n">
        <f aca="false">MIN(DH149,DJ149)</f>
        <v>4202.1996949504</v>
      </c>
      <c r="DL149" s="84" t="n">
        <f aca="false">DJ149-DK149</f>
        <v>15797.8003050496</v>
      </c>
      <c r="DM149" s="84" t="n">
        <f aca="false">CY149+$G149*(DJ149+CY149)</f>
        <v>0</v>
      </c>
      <c r="DN149" s="84" t="n">
        <f aca="false">MIN(DH149-DK149,DM149)</f>
        <v>0</v>
      </c>
      <c r="DO149" s="84" t="n">
        <f aca="false">DM149-DN149</f>
        <v>0</v>
      </c>
      <c r="DP149" s="84" t="n">
        <f aca="false">IF($H149=1,MIN(DH149-DK149-DN149,MAX(0,$F149/(1-$F149)*(DD149+DN149)-DE149)),0)</f>
        <v>0</v>
      </c>
      <c r="DQ149" s="84" t="n">
        <f aca="false">DH149-DK149-DN149-DP149</f>
        <v>0</v>
      </c>
      <c r="DR149" s="84" t="n">
        <f aca="false">DK149+DN149+(1-$F149)*DQ149</f>
        <v>4202.1996949504</v>
      </c>
      <c r="DS149" s="84" t="n">
        <f aca="false">DP149+$F149*DQ149</f>
        <v>0</v>
      </c>
      <c r="DT149" s="84" t="n">
        <f aca="false">DD149+DN149+(1-$F149)*DQ149</f>
        <v>0</v>
      </c>
      <c r="DU149" s="84" t="n">
        <f aca="false">DE149+DS149</f>
        <v>0</v>
      </c>
      <c r="DV149" s="133" t="n">
        <f aca="false">DI149+$D149*Inputs!$H$13-$D149*$E149</f>
        <v>16538.7987798016</v>
      </c>
      <c r="DW149" s="84" t="n">
        <f aca="false">DV149*(1+$I149)</f>
        <v>17200.3507309937</v>
      </c>
      <c r="DX149" s="133" t="n">
        <f aca="false">DW149*Inputs!$H$14</f>
        <v>3440.07014619873</v>
      </c>
      <c r="DY149" s="84" t="n">
        <f aca="false">DW149-DX149</f>
        <v>13760.2805847949</v>
      </c>
      <c r="DZ149" s="133" t="n">
        <f aca="false">DL149+$D149*Inputs!$H$13</f>
        <v>15797.8003050496</v>
      </c>
      <c r="EA149" s="84" t="n">
        <f aca="false">MIN(DX149,DZ149)</f>
        <v>3440.07014619873</v>
      </c>
      <c r="EB149" s="84" t="n">
        <f aca="false">DZ149-EA149</f>
        <v>12357.7301588509</v>
      </c>
      <c r="EC149" s="84" t="n">
        <f aca="false">DO149+$G149*(DZ149+DO149)</f>
        <v>0</v>
      </c>
      <c r="ED149" s="84" t="n">
        <f aca="false">MIN(DX149-EA149,EC149)</f>
        <v>0</v>
      </c>
      <c r="EE149" s="84" t="n">
        <f aca="false">EC149-ED149</f>
        <v>0</v>
      </c>
      <c r="EF149" s="84" t="n">
        <f aca="false">IF($H149=1,MIN(DX149-EA149-ED149,MAX(0,$F149/(1-$F149)*(DT149+ED149)-DU149)),0)</f>
        <v>0</v>
      </c>
      <c r="EG149" s="84" t="n">
        <f aca="false">DX149-EA149-ED149-EF149</f>
        <v>0</v>
      </c>
      <c r="EH149" s="84" t="n">
        <f aca="false">EA149+ED149+(1-$F149)*EG149</f>
        <v>3440.07014619873</v>
      </c>
      <c r="EI149" s="84" t="n">
        <f aca="false">EF149+$F149*EG149</f>
        <v>0</v>
      </c>
      <c r="EJ149" s="84" t="n">
        <f aca="false">DT149+ED149+(1-$F149)*EG149</f>
        <v>0</v>
      </c>
      <c r="EK149" s="84" t="n">
        <f aca="false">DU149+EI149</f>
        <v>0</v>
      </c>
      <c r="EL149" s="133" t="n">
        <f aca="false">DY149+$D149*Inputs!$I$13-$D149*$E149</f>
        <v>13490.2805847949</v>
      </c>
      <c r="EM149" s="84" t="n">
        <f aca="false">EL149*(1+$I149)</f>
        <v>14029.8918081867</v>
      </c>
      <c r="EN149" s="133" t="n">
        <f aca="false">EM149*Inputs!$I$14</f>
        <v>2805.97836163735</v>
      </c>
      <c r="EO149" s="84" t="n">
        <f aca="false">EM149-EN149</f>
        <v>11223.9134465494</v>
      </c>
      <c r="EP149" s="133" t="n">
        <f aca="false">EB149+$D149*Inputs!$I$13</f>
        <v>12357.7301588509</v>
      </c>
      <c r="EQ149" s="84" t="n">
        <f aca="false">MIN(EN149,EP149)</f>
        <v>2805.97836163735</v>
      </c>
      <c r="ER149" s="84" t="n">
        <f aca="false">EP149-EQ149</f>
        <v>9551.75179721352</v>
      </c>
      <c r="ES149" s="84" t="n">
        <f aca="false">EE149+$G149*(EP149+EE149)</f>
        <v>0</v>
      </c>
      <c r="ET149" s="84" t="n">
        <f aca="false">MIN(EN149-EQ149,ES149)</f>
        <v>0</v>
      </c>
      <c r="EU149" s="84" t="n">
        <f aca="false">ES149-ET149</f>
        <v>0</v>
      </c>
      <c r="EV149" s="84" t="n">
        <f aca="false">IF($H149=1,MIN(EN149-EQ149-ET149,MAX(0,$F149/(1-$F149)*(EJ149+ET149)-EK149)),0)</f>
        <v>0</v>
      </c>
      <c r="EW149" s="84" t="n">
        <f aca="false">EN149-EQ149-ET149-EV149</f>
        <v>0</v>
      </c>
      <c r="EX149" s="84" t="n">
        <f aca="false">EQ149+ET149+(1-$F149)*EW149</f>
        <v>2805.97836163735</v>
      </c>
      <c r="EY149" s="84" t="n">
        <f aca="false">EV149+$F149*EW149</f>
        <v>0</v>
      </c>
      <c r="EZ149" s="84" t="n">
        <f aca="false">EJ149+ET149+(1-$F149)*EW149</f>
        <v>0</v>
      </c>
      <c r="FA149" s="84" t="n">
        <f aca="false">EK149+EY149</f>
        <v>0</v>
      </c>
      <c r="FB149" s="133" t="n">
        <f aca="false">EO149+$D149*Inputs!$J$13-$D149*$E149</f>
        <v>10953.9134465494</v>
      </c>
      <c r="FC149" s="84" t="n">
        <f aca="false">FB149*(1+$I149)</f>
        <v>11392.0699844114</v>
      </c>
      <c r="FD149" s="133" t="n">
        <f aca="false">FC149*Inputs!$J$14</f>
        <v>2278.41399688227</v>
      </c>
      <c r="FE149" s="84" t="n">
        <f aca="false">FC149-FD149</f>
        <v>9113.65598752909</v>
      </c>
      <c r="FF149" s="133" t="n">
        <f aca="false">ER149+$D149*Inputs!$J$13</f>
        <v>9551.75179721352</v>
      </c>
      <c r="FG149" s="84" t="n">
        <f aca="false">MIN(FD149,FF149)</f>
        <v>2278.41399688227</v>
      </c>
      <c r="FH149" s="84" t="n">
        <f aca="false">FF149-FG149</f>
        <v>7273.33780033125</v>
      </c>
      <c r="FI149" s="84" t="n">
        <f aca="false">EU149+$G149*(FF149+EU149)</f>
        <v>0</v>
      </c>
      <c r="FJ149" s="84" t="n">
        <f aca="false">MIN(FD149-FG149,FI149)</f>
        <v>0</v>
      </c>
      <c r="FK149" s="84" t="n">
        <f aca="false">FI149-FJ149</f>
        <v>0</v>
      </c>
      <c r="FL149" s="84" t="n">
        <f aca="false">IF($H149=1,MIN(FD149-FG149-FJ149,MAX(0,$F149/(1-$F149)*(EZ149+FJ149)-FA149)),0)</f>
        <v>0</v>
      </c>
      <c r="FM149" s="84" t="n">
        <f aca="false">FD149-FG149-FJ149-FL149</f>
        <v>0</v>
      </c>
      <c r="FN149" s="84" t="n">
        <f aca="false">FG149+FJ149+(1-$F149)*FM149</f>
        <v>2278.41399688227</v>
      </c>
      <c r="FO149" s="84" t="n">
        <f aca="false">FL149+$F149*FM149</f>
        <v>0</v>
      </c>
      <c r="FP149" s="84" t="n">
        <f aca="false">EZ149+FJ149+(1-$F149)*FM149</f>
        <v>0</v>
      </c>
      <c r="FQ149" s="84" t="n">
        <f aca="false">FA149+FO149</f>
        <v>0</v>
      </c>
      <c r="FR149" s="133" t="n">
        <f aca="false">FE149+$D149*Inputs!$K$13-$D149*$E149</f>
        <v>8843.65598752909</v>
      </c>
      <c r="FS149" s="84" t="n">
        <f aca="false">FR149*(1+$I149)</f>
        <v>9197.40222703025</v>
      </c>
      <c r="FT149" s="133" t="n">
        <f aca="false">FS149*Inputs!$K$14</f>
        <v>1839.48044540605</v>
      </c>
      <c r="FU149" s="84" t="n">
        <f aca="false">FS149-FT149</f>
        <v>7357.9217816242</v>
      </c>
      <c r="FV149" s="133" t="n">
        <f aca="false">FH149+$D149*Inputs!$K$13</f>
        <v>7273.33780033125</v>
      </c>
      <c r="FW149" s="84" t="n">
        <f aca="false">MIN(FT149,FV149)</f>
        <v>1839.48044540605</v>
      </c>
      <c r="FX149" s="84" t="n">
        <f aca="false">FV149-FW149</f>
        <v>5433.8573549252</v>
      </c>
      <c r="FY149" s="84" t="n">
        <f aca="false">FK149+$G149*(FV149+FK149)</f>
        <v>0</v>
      </c>
      <c r="FZ149" s="84" t="n">
        <f aca="false">MIN(FT149-FW149,FY149)</f>
        <v>0</v>
      </c>
      <c r="GA149" s="84" t="n">
        <f aca="false">FY149-FZ149</f>
        <v>0</v>
      </c>
      <c r="GB149" s="84" t="n">
        <f aca="false">IF($H149=1,MIN(FT149-FW149-FZ149,MAX(0,$F149/(1-$F149)*(FP149+FZ149)-FQ149)),0)</f>
        <v>0</v>
      </c>
      <c r="GC149" s="84" t="n">
        <f aca="false">FT149-FW149-FZ149-GB149</f>
        <v>0</v>
      </c>
      <c r="GD149" s="84" t="n">
        <f aca="false">FW149+FZ149+(1-$F149)*GC149</f>
        <v>1839.48044540605</v>
      </c>
      <c r="GE149" s="84" t="n">
        <f aca="false">GB149+$F149*GC149</f>
        <v>0</v>
      </c>
      <c r="GF149" s="84" t="n">
        <f aca="false">FP149+FZ149+(1-$F149)*GC149</f>
        <v>0</v>
      </c>
      <c r="GG149" s="84" t="n">
        <f aca="false">FQ149+GE149</f>
        <v>0</v>
      </c>
      <c r="GH149" s="133" t="n">
        <f aca="false">FU149+$D149*Inputs!$L$13-$D149*$E149</f>
        <v>7087.9217816242</v>
      </c>
      <c r="GI149" s="84" t="n">
        <f aca="false">GH149*(1+$I149)</f>
        <v>7371.43865288917</v>
      </c>
      <c r="GJ149" s="133" t="n">
        <f aca="false">GI149*Inputs!$L$14</f>
        <v>7371.43865288917</v>
      </c>
      <c r="GK149" s="84" t="n">
        <f aca="false">GI149-GJ149</f>
        <v>0</v>
      </c>
      <c r="GL149" s="133" t="n">
        <f aca="false">FX149+$D149*Inputs!$L$13</f>
        <v>5433.8573549252</v>
      </c>
      <c r="GM149" s="84" t="n">
        <f aca="false">MIN(GJ149,GL149)</f>
        <v>5433.8573549252</v>
      </c>
      <c r="GN149" s="84" t="n">
        <f aca="false">GL149-GM149</f>
        <v>0</v>
      </c>
      <c r="GO149" s="84" t="n">
        <f aca="false">GA149+$G149*(GL149+GA149)</f>
        <v>0</v>
      </c>
      <c r="GP149" s="84" t="n">
        <f aca="false">MIN(GJ149-GM149,GO149)</f>
        <v>0</v>
      </c>
      <c r="GQ149" s="84" t="n">
        <f aca="false">GO149-GP149</f>
        <v>0</v>
      </c>
      <c r="GR149" s="84" t="n">
        <f aca="false">IF($H149=1,MIN(GJ149-GM149-GP149,MAX(0,$F149/(1-$F149)*(GF149+GP149)-GG149)),0)</f>
        <v>0</v>
      </c>
      <c r="GS149" s="84" t="n">
        <f aca="false">GJ149-GM149-GP149-GR149</f>
        <v>1937.58129796398</v>
      </c>
      <c r="GT149" s="84" t="n">
        <f aca="false">GM149+GP149+(1-$F149)*GS149</f>
        <v>7080.80145819458</v>
      </c>
      <c r="GU149" s="84" t="n">
        <f aca="false">GR149+$F149*GS149</f>
        <v>290.637194694596</v>
      </c>
      <c r="GV149" s="84" t="n">
        <f aca="false">GF149+GP149+(1-$F149)*GS149</f>
        <v>1646.94410326938</v>
      </c>
      <c r="GW149" s="84" t="n">
        <f aca="false">GG149+GU149</f>
        <v>290.637194694596</v>
      </c>
    </row>
    <row r="150" customFormat="false" ht="15" hidden="false" customHeight="false" outlineLevel="0" collapsed="false">
      <c r="A150" s="5" t="s">
        <v>641</v>
      </c>
      <c r="B150" s="5" t="s">
        <v>429</v>
      </c>
      <c r="C150" s="135" t="n">
        <v>5</v>
      </c>
      <c r="D150" s="47" t="n">
        <f aca="false">Inputs!$C$6</f>
        <v>20000</v>
      </c>
      <c r="E150" s="35" t="n">
        <f aca="false">Inputs!$C$19</f>
        <v>0.0135</v>
      </c>
      <c r="F150" s="36" t="n">
        <f aca="false">Inputs!$C$21</f>
        <v>0.15</v>
      </c>
      <c r="G150" s="30" t="n">
        <v>0</v>
      </c>
      <c r="H150" s="27" t="n">
        <v>0</v>
      </c>
      <c r="I150" s="132" t="n">
        <f aca="false">Inputs!$C$38+$C150*Inputs!$C$39</f>
        <v>0.05</v>
      </c>
      <c r="J150" s="36" t="n">
        <f aca="false">Inputs!$C$9</f>
        <v>0.15</v>
      </c>
      <c r="K150" s="89" t="n">
        <f aca="false">IRR(W150:AG150,0.1)</f>
        <v>0.0230680314207503</v>
      </c>
      <c r="L150" s="45" t="n">
        <f aca="false">W150+NPV($J150,X150:AG150)</f>
        <v>-7397.47516651164</v>
      </c>
      <c r="M150" s="45" t="n">
        <f aca="false">SUM(BF150,BV150,CL150,DB150,DR150,EH150,EX150,FN150,GD150,GT150)</f>
        <v>22783.420338371</v>
      </c>
      <c r="N150" s="43" t="n">
        <f aca="false">IF($D150*SUM(Inputs!$C$13:$L$13)=0,0,M150/($D150*SUM(Inputs!$C$13:$L$13)))</f>
        <v>1.13917101691855</v>
      </c>
      <c r="O150" s="42" t="n">
        <f aca="false">$D150*$E150*COLUMNS(Inputs!$C$13:$L$13)</f>
        <v>2700</v>
      </c>
      <c r="P150" s="45" t="n">
        <f aca="false">SUM(BG150,BW150,CM150,DC150,DS150,EI150,EY150,FO150,GE150,GU150)</f>
        <v>491.191824418406</v>
      </c>
      <c r="Q150" s="42" t="n">
        <f aca="false">PV($J150,COLUMNS(Inputs!$C$13:$L$13),-$D150*$E150,0,1)</f>
        <v>1558.32765832774</v>
      </c>
      <c r="R150" s="45" t="n">
        <f aca="false">NPV($J150,BG150,BW150,CM150,DC150,DS150,EI150,EY150,FO150,GE150,GU150)</f>
        <v>121.415106768327</v>
      </c>
      <c r="S150" s="45" t="n">
        <f aca="false">Q150+R150</f>
        <v>1679.74276509606</v>
      </c>
      <c r="T150" s="32" t="n">
        <f aca="false">IF(S150=0,0,Q150/S150)</f>
        <v>0.927718035587798</v>
      </c>
      <c r="U150" s="45" t="n">
        <f aca="false">ROUND(ABS(GK150)+ABS(SUM(AV150,BL150,CB150,CR150,DH150,DX150,EN150,FD150,FT150,GJ150)-M150-P150)+ABS(S150-(AH150+NPV($J150,AI150:AR150))),6)</f>
        <v>0</v>
      </c>
      <c r="W150" s="133" t="n">
        <f aca="false">-$D150*Inputs!$C$13</f>
        <v>-4000</v>
      </c>
      <c r="X150" s="133" t="n">
        <f aca="false">BF150-$D150*Inputs!$D$13</f>
        <v>-4000</v>
      </c>
      <c r="Y150" s="133" t="n">
        <f aca="false">BV150-$D150*Inputs!$E$13</f>
        <v>-4000</v>
      </c>
      <c r="Z150" s="133" t="n">
        <f aca="false">CL150-$D150*Inputs!$F$13</f>
        <v>-4000</v>
      </c>
      <c r="AA150" s="133" t="n">
        <f aca="false">DB150-$D150*Inputs!$G$13</f>
        <v>-4000</v>
      </c>
      <c r="AB150" s="133" t="n">
        <f aca="false">DR150-$D150*Inputs!$H$13</f>
        <v>4328.226958125</v>
      </c>
      <c r="AC150" s="133" t="n">
        <f aca="false">EH150-$D150*Inputs!$I$13</f>
        <v>3579.010644825</v>
      </c>
      <c r="AD150" s="133" t="n">
        <f aca="false">EX150-$D150*Inputs!$J$13</f>
        <v>2949.668941653</v>
      </c>
      <c r="AE150" s="133" t="n">
        <f aca="false">FN150-$D150*Inputs!$K$13</f>
        <v>2421.02191098852</v>
      </c>
      <c r="AF150" s="133" t="n">
        <f aca="false">GD150-$D150*Inputs!$L$13</f>
        <v>1976.95840523036</v>
      </c>
      <c r="AG150" s="84" t="n">
        <f aca="false">GT150</f>
        <v>7528.53347754909</v>
      </c>
      <c r="AH150" s="84" t="n">
        <f aca="false">$D150*$E150</f>
        <v>270</v>
      </c>
      <c r="AI150" s="84" t="n">
        <f aca="false">BG150+$D150*$E150</f>
        <v>270</v>
      </c>
      <c r="AJ150" s="84" t="n">
        <f aca="false">BW150+$D150*$E150</f>
        <v>270</v>
      </c>
      <c r="AK150" s="84" t="n">
        <f aca="false">CM150+$D150*$E150</f>
        <v>270</v>
      </c>
      <c r="AL150" s="84" t="n">
        <f aca="false">DC150+$D150*$E150</f>
        <v>270</v>
      </c>
      <c r="AM150" s="84" t="n">
        <f aca="false">DS150+$D150*$E150</f>
        <v>270</v>
      </c>
      <c r="AN150" s="84" t="n">
        <f aca="false">EI150+$D150*$E150</f>
        <v>270</v>
      </c>
      <c r="AO150" s="84" t="n">
        <f aca="false">EY150+$D150*$E150</f>
        <v>270</v>
      </c>
      <c r="AP150" s="84" t="n">
        <f aca="false">FO150+$D150*$E150</f>
        <v>270</v>
      </c>
      <c r="AQ150" s="84" t="n">
        <f aca="false">GE150+$D150*$E150</f>
        <v>270</v>
      </c>
      <c r="AR150" s="84" t="n">
        <f aca="false">GU150</f>
        <v>491.191824418406</v>
      </c>
      <c r="AT150" s="133" t="n">
        <f aca="false">$D150*Inputs!$C$13-$D150*$E150</f>
        <v>3730</v>
      </c>
      <c r="AU150" s="84" t="n">
        <f aca="false">AT150*(1+$I150)</f>
        <v>3916.5</v>
      </c>
      <c r="AV150" s="133" t="n">
        <f aca="false">AU150*Inputs!$C$14</f>
        <v>0</v>
      </c>
      <c r="AW150" s="84" t="n">
        <f aca="false">AU150-AV150</f>
        <v>3916.5</v>
      </c>
      <c r="AX150" s="133" t="n">
        <f aca="false">$D150*Inputs!$C$13</f>
        <v>4000</v>
      </c>
      <c r="AY150" s="84" t="n">
        <f aca="false">MIN(AV150,AX150)</f>
        <v>0</v>
      </c>
      <c r="AZ150" s="84" t="n">
        <f aca="false">AX150-AY150</f>
        <v>4000</v>
      </c>
      <c r="BA150" s="84" t="n">
        <f aca="false">$G150*AX150</f>
        <v>0</v>
      </c>
      <c r="BB150" s="84" t="n">
        <f aca="false">MIN(AV150-AY150,BA150)</f>
        <v>0</v>
      </c>
      <c r="BC150" s="84" t="n">
        <f aca="false">BA150-BB150</f>
        <v>0</v>
      </c>
      <c r="BD150" s="84" t="n">
        <f aca="false">IF($H150=1,MIN(AV150-AY150-BB150,MAX(0,$F150/(1-$F150)*BB150)),0)</f>
        <v>0</v>
      </c>
      <c r="BE150" s="84" t="n">
        <f aca="false">AV150-AY150-BB150-BD150</f>
        <v>0</v>
      </c>
      <c r="BF150" s="84" t="n">
        <f aca="false">AY150+BB150+(1-$F150)*BE150</f>
        <v>0</v>
      </c>
      <c r="BG150" s="84" t="n">
        <f aca="false">BD150+$F150*BE150</f>
        <v>0</v>
      </c>
      <c r="BH150" s="84" t="n">
        <f aca="false">BB150+(1-$F150)*BE150</f>
        <v>0</v>
      </c>
      <c r="BI150" s="84" t="n">
        <f aca="false">BG150</f>
        <v>0</v>
      </c>
      <c r="BJ150" s="133" t="n">
        <f aca="false">AW150+$D150*Inputs!$D$13-$D150*$E150</f>
        <v>7646.5</v>
      </c>
      <c r="BK150" s="84" t="n">
        <f aca="false">BJ150*(1+$I150)</f>
        <v>8028.825</v>
      </c>
      <c r="BL150" s="133" t="n">
        <f aca="false">BK150*Inputs!$D$14</f>
        <v>0</v>
      </c>
      <c r="BM150" s="84" t="n">
        <f aca="false">BK150-BL150</f>
        <v>8028.825</v>
      </c>
      <c r="BN150" s="133" t="n">
        <f aca="false">AZ150+$D150*Inputs!$D$13</f>
        <v>8000</v>
      </c>
      <c r="BO150" s="84" t="n">
        <f aca="false">MIN(BL150,BN150)</f>
        <v>0</v>
      </c>
      <c r="BP150" s="84" t="n">
        <f aca="false">BN150-BO150</f>
        <v>8000</v>
      </c>
      <c r="BQ150" s="84" t="n">
        <f aca="false">BC150+$G150*(BN150+BC150)</f>
        <v>0</v>
      </c>
      <c r="BR150" s="84" t="n">
        <f aca="false">MIN(BL150-BO150,BQ150)</f>
        <v>0</v>
      </c>
      <c r="BS150" s="84" t="n">
        <f aca="false">BQ150-BR150</f>
        <v>0</v>
      </c>
      <c r="BT150" s="84" t="n">
        <f aca="false">IF($H150=1,MIN(BL150-BO150-BR150,MAX(0,$F150/(1-$F150)*(BH150+BR150)-BI150)),0)</f>
        <v>0</v>
      </c>
      <c r="BU150" s="84" t="n">
        <f aca="false">BL150-BO150-BR150-BT150</f>
        <v>0</v>
      </c>
      <c r="BV150" s="84" t="n">
        <f aca="false">BO150+BR150+(1-$F150)*BU150</f>
        <v>0</v>
      </c>
      <c r="BW150" s="84" t="n">
        <f aca="false">BT150+$F150*BU150</f>
        <v>0</v>
      </c>
      <c r="BX150" s="84" t="n">
        <f aca="false">BH150+BR150+(1-$F150)*BU150</f>
        <v>0</v>
      </c>
      <c r="BY150" s="84" t="n">
        <f aca="false">BI150+BW150</f>
        <v>0</v>
      </c>
      <c r="BZ150" s="133" t="n">
        <f aca="false">BM150+$D150*Inputs!$E$13-$D150*$E150</f>
        <v>11758.825</v>
      </c>
      <c r="CA150" s="84" t="n">
        <f aca="false">BZ150*(1+$I150)</f>
        <v>12346.76625</v>
      </c>
      <c r="CB150" s="133" t="n">
        <f aca="false">CA150*Inputs!$E$14</f>
        <v>0</v>
      </c>
      <c r="CC150" s="84" t="n">
        <f aca="false">CA150-CB150</f>
        <v>12346.76625</v>
      </c>
      <c r="CD150" s="133" t="n">
        <f aca="false">BP150+$D150*Inputs!$E$13</f>
        <v>12000</v>
      </c>
      <c r="CE150" s="84" t="n">
        <f aca="false">MIN(CB150,CD150)</f>
        <v>0</v>
      </c>
      <c r="CF150" s="84" t="n">
        <f aca="false">CD150-CE150</f>
        <v>12000</v>
      </c>
      <c r="CG150" s="84" t="n">
        <f aca="false">BS150+$G150*(CD150+BS150)</f>
        <v>0</v>
      </c>
      <c r="CH150" s="84" t="n">
        <f aca="false">MIN(CB150-CE150,CG150)</f>
        <v>0</v>
      </c>
      <c r="CI150" s="84" t="n">
        <f aca="false">CG150-CH150</f>
        <v>0</v>
      </c>
      <c r="CJ150" s="84" t="n">
        <f aca="false">IF($H150=1,MIN(CB150-CE150-CH150,MAX(0,$F150/(1-$F150)*(BX150+CH150)-BY150)),0)</f>
        <v>0</v>
      </c>
      <c r="CK150" s="84" t="n">
        <f aca="false">CB150-CE150-CH150-CJ150</f>
        <v>0</v>
      </c>
      <c r="CL150" s="84" t="n">
        <f aca="false">CE150+CH150+(1-$F150)*CK150</f>
        <v>0</v>
      </c>
      <c r="CM150" s="84" t="n">
        <f aca="false">CJ150+$F150*CK150</f>
        <v>0</v>
      </c>
      <c r="CN150" s="84" t="n">
        <f aca="false">BX150+CH150+(1-$F150)*CK150</f>
        <v>0</v>
      </c>
      <c r="CO150" s="84" t="n">
        <f aca="false">BY150+CM150</f>
        <v>0</v>
      </c>
      <c r="CP150" s="133" t="n">
        <f aca="false">CC150+$D150*Inputs!$F$13-$D150*$E150</f>
        <v>16076.76625</v>
      </c>
      <c r="CQ150" s="84" t="n">
        <f aca="false">CP150*(1+$I150)</f>
        <v>16880.6045625</v>
      </c>
      <c r="CR150" s="133" t="n">
        <f aca="false">CQ150*Inputs!$F$14</f>
        <v>0</v>
      </c>
      <c r="CS150" s="84" t="n">
        <f aca="false">CQ150-CR150</f>
        <v>16880.6045625</v>
      </c>
      <c r="CT150" s="133" t="n">
        <f aca="false">CF150+$D150*Inputs!$F$13</f>
        <v>16000</v>
      </c>
      <c r="CU150" s="84" t="n">
        <f aca="false">MIN(CR150,CT150)</f>
        <v>0</v>
      </c>
      <c r="CV150" s="84" t="n">
        <f aca="false">CT150-CU150</f>
        <v>16000</v>
      </c>
      <c r="CW150" s="84" t="n">
        <f aca="false">CI150+$G150*(CT150+CI150)</f>
        <v>0</v>
      </c>
      <c r="CX150" s="84" t="n">
        <f aca="false">MIN(CR150-CU150,CW150)</f>
        <v>0</v>
      </c>
      <c r="CY150" s="84" t="n">
        <f aca="false">CW150-CX150</f>
        <v>0</v>
      </c>
      <c r="CZ150" s="84" t="n">
        <f aca="false">IF($H150=1,MIN(CR150-CU150-CX150,MAX(0,$F150/(1-$F150)*(CN150+CX150)-CO150)),0)</f>
        <v>0</v>
      </c>
      <c r="DA150" s="84" t="n">
        <f aca="false">CR150-CU150-CX150-CZ150</f>
        <v>0</v>
      </c>
      <c r="DB150" s="84" t="n">
        <f aca="false">CU150+CX150+(1-$F150)*DA150</f>
        <v>0</v>
      </c>
      <c r="DC150" s="84" t="n">
        <f aca="false">CZ150+$F150*DA150</f>
        <v>0</v>
      </c>
      <c r="DD150" s="84" t="n">
        <f aca="false">CN150+CX150+(1-$F150)*DA150</f>
        <v>0</v>
      </c>
      <c r="DE150" s="84" t="n">
        <f aca="false">CO150+DC150</f>
        <v>0</v>
      </c>
      <c r="DF150" s="133" t="n">
        <f aca="false">CS150+$D150*Inputs!$G$13-$D150*$E150</f>
        <v>20610.6045625</v>
      </c>
      <c r="DG150" s="84" t="n">
        <f aca="false">DF150*(1+$I150)</f>
        <v>21641.134790625</v>
      </c>
      <c r="DH150" s="133" t="n">
        <f aca="false">DG150*Inputs!$G$14</f>
        <v>4328.226958125</v>
      </c>
      <c r="DI150" s="84" t="n">
        <f aca="false">DG150-DH150</f>
        <v>17312.9078325</v>
      </c>
      <c r="DJ150" s="133" t="n">
        <f aca="false">CV150+$D150*Inputs!$G$13</f>
        <v>20000</v>
      </c>
      <c r="DK150" s="84" t="n">
        <f aca="false">MIN(DH150,DJ150)</f>
        <v>4328.226958125</v>
      </c>
      <c r="DL150" s="84" t="n">
        <f aca="false">DJ150-DK150</f>
        <v>15671.773041875</v>
      </c>
      <c r="DM150" s="84" t="n">
        <f aca="false">CY150+$G150*(DJ150+CY150)</f>
        <v>0</v>
      </c>
      <c r="DN150" s="84" t="n">
        <f aca="false">MIN(DH150-DK150,DM150)</f>
        <v>0</v>
      </c>
      <c r="DO150" s="84" t="n">
        <f aca="false">DM150-DN150</f>
        <v>0</v>
      </c>
      <c r="DP150" s="84" t="n">
        <f aca="false">IF($H150=1,MIN(DH150-DK150-DN150,MAX(0,$F150/(1-$F150)*(DD150+DN150)-DE150)),0)</f>
        <v>0</v>
      </c>
      <c r="DQ150" s="84" t="n">
        <f aca="false">DH150-DK150-DN150-DP150</f>
        <v>0</v>
      </c>
      <c r="DR150" s="84" t="n">
        <f aca="false">DK150+DN150+(1-$F150)*DQ150</f>
        <v>4328.226958125</v>
      </c>
      <c r="DS150" s="84" t="n">
        <f aca="false">DP150+$F150*DQ150</f>
        <v>0</v>
      </c>
      <c r="DT150" s="84" t="n">
        <f aca="false">DD150+DN150+(1-$F150)*DQ150</f>
        <v>0</v>
      </c>
      <c r="DU150" s="84" t="n">
        <f aca="false">DE150+DS150</f>
        <v>0</v>
      </c>
      <c r="DV150" s="133" t="n">
        <f aca="false">DI150+$D150*Inputs!$H$13-$D150*$E150</f>
        <v>17042.9078325</v>
      </c>
      <c r="DW150" s="84" t="n">
        <f aca="false">DV150*(1+$I150)</f>
        <v>17895.053224125</v>
      </c>
      <c r="DX150" s="133" t="n">
        <f aca="false">DW150*Inputs!$H$14</f>
        <v>3579.010644825</v>
      </c>
      <c r="DY150" s="84" t="n">
        <f aca="false">DW150-DX150</f>
        <v>14316.0425793</v>
      </c>
      <c r="DZ150" s="133" t="n">
        <f aca="false">DL150+$D150*Inputs!$H$13</f>
        <v>15671.773041875</v>
      </c>
      <c r="EA150" s="84" t="n">
        <f aca="false">MIN(DX150,DZ150)</f>
        <v>3579.010644825</v>
      </c>
      <c r="EB150" s="84" t="n">
        <f aca="false">DZ150-EA150</f>
        <v>12092.76239705</v>
      </c>
      <c r="EC150" s="84" t="n">
        <f aca="false">DO150+$G150*(DZ150+DO150)</f>
        <v>0</v>
      </c>
      <c r="ED150" s="84" t="n">
        <f aca="false">MIN(DX150-EA150,EC150)</f>
        <v>0</v>
      </c>
      <c r="EE150" s="84" t="n">
        <f aca="false">EC150-ED150</f>
        <v>0</v>
      </c>
      <c r="EF150" s="84" t="n">
        <f aca="false">IF($H150=1,MIN(DX150-EA150-ED150,MAX(0,$F150/(1-$F150)*(DT150+ED150)-DU150)),0)</f>
        <v>0</v>
      </c>
      <c r="EG150" s="84" t="n">
        <f aca="false">DX150-EA150-ED150-EF150</f>
        <v>0</v>
      </c>
      <c r="EH150" s="84" t="n">
        <f aca="false">EA150+ED150+(1-$F150)*EG150</f>
        <v>3579.010644825</v>
      </c>
      <c r="EI150" s="84" t="n">
        <f aca="false">EF150+$F150*EG150</f>
        <v>0</v>
      </c>
      <c r="EJ150" s="84" t="n">
        <f aca="false">DT150+ED150+(1-$F150)*EG150</f>
        <v>0</v>
      </c>
      <c r="EK150" s="84" t="n">
        <f aca="false">DU150+EI150</f>
        <v>0</v>
      </c>
      <c r="EL150" s="133" t="n">
        <f aca="false">DY150+$D150*Inputs!$I$13-$D150*$E150</f>
        <v>14046.0425793</v>
      </c>
      <c r="EM150" s="84" t="n">
        <f aca="false">EL150*(1+$I150)</f>
        <v>14748.344708265</v>
      </c>
      <c r="EN150" s="133" t="n">
        <f aca="false">EM150*Inputs!$I$14</f>
        <v>2949.668941653</v>
      </c>
      <c r="EO150" s="84" t="n">
        <f aca="false">EM150-EN150</f>
        <v>11798.675766612</v>
      </c>
      <c r="EP150" s="133" t="n">
        <f aca="false">EB150+$D150*Inputs!$I$13</f>
        <v>12092.76239705</v>
      </c>
      <c r="EQ150" s="84" t="n">
        <f aca="false">MIN(EN150,EP150)</f>
        <v>2949.668941653</v>
      </c>
      <c r="ER150" s="84" t="n">
        <f aca="false">EP150-EQ150</f>
        <v>9143.093455397</v>
      </c>
      <c r="ES150" s="84" t="n">
        <f aca="false">EE150+$G150*(EP150+EE150)</f>
        <v>0</v>
      </c>
      <c r="ET150" s="84" t="n">
        <f aca="false">MIN(EN150-EQ150,ES150)</f>
        <v>0</v>
      </c>
      <c r="EU150" s="84" t="n">
        <f aca="false">ES150-ET150</f>
        <v>0</v>
      </c>
      <c r="EV150" s="84" t="n">
        <f aca="false">IF($H150=1,MIN(EN150-EQ150-ET150,MAX(0,$F150/(1-$F150)*(EJ150+ET150)-EK150)),0)</f>
        <v>0</v>
      </c>
      <c r="EW150" s="84" t="n">
        <f aca="false">EN150-EQ150-ET150-EV150</f>
        <v>0</v>
      </c>
      <c r="EX150" s="84" t="n">
        <f aca="false">EQ150+ET150+(1-$F150)*EW150</f>
        <v>2949.668941653</v>
      </c>
      <c r="EY150" s="84" t="n">
        <f aca="false">EV150+$F150*EW150</f>
        <v>0</v>
      </c>
      <c r="EZ150" s="84" t="n">
        <f aca="false">EJ150+ET150+(1-$F150)*EW150</f>
        <v>0</v>
      </c>
      <c r="FA150" s="84" t="n">
        <f aca="false">EK150+EY150</f>
        <v>0</v>
      </c>
      <c r="FB150" s="133" t="n">
        <f aca="false">EO150+$D150*Inputs!$J$13-$D150*$E150</f>
        <v>11528.675766612</v>
      </c>
      <c r="FC150" s="84" t="n">
        <f aca="false">FB150*(1+$I150)</f>
        <v>12105.1095549426</v>
      </c>
      <c r="FD150" s="133" t="n">
        <f aca="false">FC150*Inputs!$J$14</f>
        <v>2421.02191098852</v>
      </c>
      <c r="FE150" s="84" t="n">
        <f aca="false">FC150-FD150</f>
        <v>9684.08764395408</v>
      </c>
      <c r="FF150" s="133" t="n">
        <f aca="false">ER150+$D150*Inputs!$J$13</f>
        <v>9143.093455397</v>
      </c>
      <c r="FG150" s="84" t="n">
        <f aca="false">MIN(FD150,FF150)</f>
        <v>2421.02191098852</v>
      </c>
      <c r="FH150" s="84" t="n">
        <f aca="false">FF150-FG150</f>
        <v>6722.07154440848</v>
      </c>
      <c r="FI150" s="84" t="n">
        <f aca="false">EU150+$G150*(FF150+EU150)</f>
        <v>0</v>
      </c>
      <c r="FJ150" s="84" t="n">
        <f aca="false">MIN(FD150-FG150,FI150)</f>
        <v>0</v>
      </c>
      <c r="FK150" s="84" t="n">
        <f aca="false">FI150-FJ150</f>
        <v>0</v>
      </c>
      <c r="FL150" s="84" t="n">
        <f aca="false">IF($H150=1,MIN(FD150-FG150-FJ150,MAX(0,$F150/(1-$F150)*(EZ150+FJ150)-FA150)),0)</f>
        <v>0</v>
      </c>
      <c r="FM150" s="84" t="n">
        <f aca="false">FD150-FG150-FJ150-FL150</f>
        <v>0</v>
      </c>
      <c r="FN150" s="84" t="n">
        <f aca="false">FG150+FJ150+(1-$F150)*FM150</f>
        <v>2421.02191098852</v>
      </c>
      <c r="FO150" s="84" t="n">
        <f aca="false">FL150+$F150*FM150</f>
        <v>0</v>
      </c>
      <c r="FP150" s="84" t="n">
        <f aca="false">EZ150+FJ150+(1-$F150)*FM150</f>
        <v>0</v>
      </c>
      <c r="FQ150" s="84" t="n">
        <f aca="false">FA150+FO150</f>
        <v>0</v>
      </c>
      <c r="FR150" s="133" t="n">
        <f aca="false">FE150+$D150*Inputs!$K$13-$D150*$E150</f>
        <v>9414.08764395408</v>
      </c>
      <c r="FS150" s="84" t="n">
        <f aca="false">FR150*(1+$I150)</f>
        <v>9884.79202615178</v>
      </c>
      <c r="FT150" s="133" t="n">
        <f aca="false">FS150*Inputs!$K$14</f>
        <v>1976.95840523036</v>
      </c>
      <c r="FU150" s="84" t="n">
        <f aca="false">FS150-FT150</f>
        <v>7907.83362092143</v>
      </c>
      <c r="FV150" s="133" t="n">
        <f aca="false">FH150+$D150*Inputs!$K$13</f>
        <v>6722.07154440848</v>
      </c>
      <c r="FW150" s="84" t="n">
        <f aca="false">MIN(FT150,FV150)</f>
        <v>1976.95840523036</v>
      </c>
      <c r="FX150" s="84" t="n">
        <f aca="false">FV150-FW150</f>
        <v>4745.11313917812</v>
      </c>
      <c r="FY150" s="84" t="n">
        <f aca="false">FK150+$G150*(FV150+FK150)</f>
        <v>0</v>
      </c>
      <c r="FZ150" s="84" t="n">
        <f aca="false">MIN(FT150-FW150,FY150)</f>
        <v>0</v>
      </c>
      <c r="GA150" s="84" t="n">
        <f aca="false">FY150-FZ150</f>
        <v>0</v>
      </c>
      <c r="GB150" s="84" t="n">
        <f aca="false">IF($H150=1,MIN(FT150-FW150-FZ150,MAX(0,$F150/(1-$F150)*(FP150+FZ150)-FQ150)),0)</f>
        <v>0</v>
      </c>
      <c r="GC150" s="84" t="n">
        <f aca="false">FT150-FW150-FZ150-GB150</f>
        <v>0</v>
      </c>
      <c r="GD150" s="84" t="n">
        <f aca="false">FW150+FZ150+(1-$F150)*GC150</f>
        <v>1976.95840523036</v>
      </c>
      <c r="GE150" s="84" t="n">
        <f aca="false">GB150+$F150*GC150</f>
        <v>0</v>
      </c>
      <c r="GF150" s="84" t="n">
        <f aca="false">FP150+FZ150+(1-$F150)*GC150</f>
        <v>0</v>
      </c>
      <c r="GG150" s="84" t="n">
        <f aca="false">FQ150+GE150</f>
        <v>0</v>
      </c>
      <c r="GH150" s="133" t="n">
        <f aca="false">FU150+$D150*Inputs!$L$13-$D150*$E150</f>
        <v>7637.83362092143</v>
      </c>
      <c r="GI150" s="84" t="n">
        <f aca="false">GH150*(1+$I150)</f>
        <v>8019.7253019675</v>
      </c>
      <c r="GJ150" s="133" t="n">
        <f aca="false">GI150*Inputs!$L$14</f>
        <v>8019.7253019675</v>
      </c>
      <c r="GK150" s="84" t="n">
        <f aca="false">GI150-GJ150</f>
        <v>0</v>
      </c>
      <c r="GL150" s="133" t="n">
        <f aca="false">FX150+$D150*Inputs!$L$13</f>
        <v>4745.11313917812</v>
      </c>
      <c r="GM150" s="84" t="n">
        <f aca="false">MIN(GJ150,GL150)</f>
        <v>4745.11313917812</v>
      </c>
      <c r="GN150" s="84" t="n">
        <f aca="false">GL150-GM150</f>
        <v>0</v>
      </c>
      <c r="GO150" s="84" t="n">
        <f aca="false">GA150+$G150*(GL150+GA150)</f>
        <v>0</v>
      </c>
      <c r="GP150" s="84" t="n">
        <f aca="false">MIN(GJ150-GM150,GO150)</f>
        <v>0</v>
      </c>
      <c r="GQ150" s="84" t="n">
        <f aca="false">GO150-GP150</f>
        <v>0</v>
      </c>
      <c r="GR150" s="84" t="n">
        <f aca="false">IF($H150=1,MIN(GJ150-GM150-GP150,MAX(0,$F150/(1-$F150)*(GF150+GP150)-GG150)),0)</f>
        <v>0</v>
      </c>
      <c r="GS150" s="84" t="n">
        <f aca="false">GJ150-GM150-GP150-GR150</f>
        <v>3274.61216278938</v>
      </c>
      <c r="GT150" s="84" t="n">
        <f aca="false">GM150+GP150+(1-$F150)*GS150</f>
        <v>7528.53347754909</v>
      </c>
      <c r="GU150" s="84" t="n">
        <f aca="false">GR150+$F150*GS150</f>
        <v>491.191824418406</v>
      </c>
      <c r="GV150" s="84" t="n">
        <f aca="false">GF150+GP150+(1-$F150)*GS150</f>
        <v>2783.42033837097</v>
      </c>
      <c r="GW150" s="84" t="n">
        <f aca="false">GG150+GU150</f>
        <v>491.191824418406</v>
      </c>
    </row>
    <row r="151" customFormat="false" ht="15" hidden="false" customHeight="false" outlineLevel="0" collapsed="false">
      <c r="A151" s="5" t="s">
        <v>641</v>
      </c>
      <c r="B151" s="5" t="s">
        <v>429</v>
      </c>
      <c r="C151" s="135" t="n">
        <v>6</v>
      </c>
      <c r="D151" s="47" t="n">
        <f aca="false">Inputs!$C$6</f>
        <v>20000</v>
      </c>
      <c r="E151" s="35" t="n">
        <f aca="false">Inputs!$C$19</f>
        <v>0.0135</v>
      </c>
      <c r="F151" s="36" t="n">
        <f aca="false">Inputs!$C$21</f>
        <v>0.15</v>
      </c>
      <c r="G151" s="30" t="n">
        <v>0</v>
      </c>
      <c r="H151" s="27" t="n">
        <v>0</v>
      </c>
      <c r="I151" s="132" t="n">
        <f aca="false">Inputs!$C$38+$C151*Inputs!$C$39</f>
        <v>0.06</v>
      </c>
      <c r="J151" s="36" t="n">
        <f aca="false">Inputs!$C$9</f>
        <v>0.15</v>
      </c>
      <c r="K151" s="89" t="n">
        <f aca="false">IRR(W151:AG151,0.1)</f>
        <v>0.0322288531360945</v>
      </c>
      <c r="L151" s="45" t="n">
        <f aca="false">W151+NPV($J151,X151:AG151)</f>
        <v>-7004.23827415278</v>
      </c>
      <c r="M151" s="45" t="n">
        <f aca="false">SUM(BF151,BV151,CL151,DB151,DR151,EH151,EX151,FN151,GD151,GT151)</f>
        <v>23987.2133598924</v>
      </c>
      <c r="N151" s="43" t="n">
        <f aca="false">IF($D151*SUM(Inputs!$C$13:$L$13)=0,0,M151/($D151*SUM(Inputs!$C$13:$L$13)))</f>
        <v>1.19936066799462</v>
      </c>
      <c r="O151" s="42" t="n">
        <f aca="false">$D151*$E151*COLUMNS(Inputs!$C$13:$L$13)</f>
        <v>2700</v>
      </c>
      <c r="P151" s="45" t="n">
        <f aca="false">SUM(BG151,BW151,CM151,DC151,DS151,EI151,EY151,FO151,GE151,GU151)</f>
        <v>703.62588703984</v>
      </c>
      <c r="Q151" s="42" t="n">
        <f aca="false">PV($J151,COLUMNS(Inputs!$C$13:$L$13),-$D151*$E151,0,1)</f>
        <v>1558.32765832774</v>
      </c>
      <c r="R151" s="45" t="n">
        <f aca="false">NPV($J151,BG151,BW151,CM151,DC151,DS151,EI151,EY151,FO151,GE151,GU151)</f>
        <v>173.92555810768</v>
      </c>
      <c r="S151" s="45" t="n">
        <f aca="false">Q151+R151</f>
        <v>1732.25321643542</v>
      </c>
      <c r="T151" s="32" t="n">
        <f aca="false">IF(S151=0,0,Q151/S151)</f>
        <v>0.899595765528103</v>
      </c>
      <c r="U151" s="45" t="n">
        <f aca="false">ROUND(ABS(GK151)+ABS(SUM(AV151,BL151,CB151,CR151,DH151,DX151,EN151,FD151,FT151,GJ151)-M151-P151)+ABS(S151-(AH151+NPV($J151,AI151:AR151))),6)</f>
        <v>0</v>
      </c>
      <c r="W151" s="133" t="n">
        <f aca="false">-$D151*Inputs!$C$13</f>
        <v>-4000</v>
      </c>
      <c r="X151" s="133" t="n">
        <f aca="false">BF151-$D151*Inputs!$D$13</f>
        <v>-4000</v>
      </c>
      <c r="Y151" s="133" t="n">
        <f aca="false">BV151-$D151*Inputs!$E$13</f>
        <v>-4000</v>
      </c>
      <c r="Z151" s="133" t="n">
        <f aca="false">CL151-$D151*Inputs!$F$13</f>
        <v>-4000</v>
      </c>
      <c r="AA151" s="133" t="n">
        <f aca="false">DB151-$D151*Inputs!$G$13</f>
        <v>-4000</v>
      </c>
      <c r="AB151" s="133" t="n">
        <f aca="false">DR151-$D151*Inputs!$H$13</f>
        <v>4457.5876290496</v>
      </c>
      <c r="AC151" s="133" t="n">
        <f aca="false">EH151-$D151*Inputs!$I$13</f>
        <v>3722.79430943406</v>
      </c>
      <c r="AD151" s="133" t="n">
        <f aca="false">EX151-$D151*Inputs!$J$13</f>
        <v>3099.68957440009</v>
      </c>
      <c r="AE151" s="133" t="n">
        <f aca="false">FN151-$D151*Inputs!$K$13</f>
        <v>2571.29675909127</v>
      </c>
      <c r="AF151" s="133" t="n">
        <f aca="false">GD151-$D151*Inputs!$L$13</f>
        <v>2123.2196517094</v>
      </c>
      <c r="AG151" s="84" t="n">
        <f aca="false">GT151</f>
        <v>8012.62543620801</v>
      </c>
      <c r="AH151" s="84" t="n">
        <f aca="false">$D151*$E151</f>
        <v>270</v>
      </c>
      <c r="AI151" s="84" t="n">
        <f aca="false">BG151+$D151*$E151</f>
        <v>270</v>
      </c>
      <c r="AJ151" s="84" t="n">
        <f aca="false">BW151+$D151*$E151</f>
        <v>270</v>
      </c>
      <c r="AK151" s="84" t="n">
        <f aca="false">CM151+$D151*$E151</f>
        <v>270</v>
      </c>
      <c r="AL151" s="84" t="n">
        <f aca="false">DC151+$D151*$E151</f>
        <v>270</v>
      </c>
      <c r="AM151" s="84" t="n">
        <f aca="false">DS151+$D151*$E151</f>
        <v>270</v>
      </c>
      <c r="AN151" s="84" t="n">
        <f aca="false">EI151+$D151*$E151</f>
        <v>270</v>
      </c>
      <c r="AO151" s="84" t="n">
        <f aca="false">EY151+$D151*$E151</f>
        <v>270</v>
      </c>
      <c r="AP151" s="84" t="n">
        <f aca="false">FO151+$D151*$E151</f>
        <v>270</v>
      </c>
      <c r="AQ151" s="84" t="n">
        <f aca="false">GE151+$D151*$E151</f>
        <v>270</v>
      </c>
      <c r="AR151" s="84" t="n">
        <f aca="false">GU151</f>
        <v>703.62588703984</v>
      </c>
      <c r="AT151" s="133" t="n">
        <f aca="false">$D151*Inputs!$C$13-$D151*$E151</f>
        <v>3730</v>
      </c>
      <c r="AU151" s="84" t="n">
        <f aca="false">AT151*(1+$I151)</f>
        <v>3953.8</v>
      </c>
      <c r="AV151" s="133" t="n">
        <f aca="false">AU151*Inputs!$C$14</f>
        <v>0</v>
      </c>
      <c r="AW151" s="84" t="n">
        <f aca="false">AU151-AV151</f>
        <v>3953.8</v>
      </c>
      <c r="AX151" s="133" t="n">
        <f aca="false">$D151*Inputs!$C$13</f>
        <v>4000</v>
      </c>
      <c r="AY151" s="84" t="n">
        <f aca="false">MIN(AV151,AX151)</f>
        <v>0</v>
      </c>
      <c r="AZ151" s="84" t="n">
        <f aca="false">AX151-AY151</f>
        <v>4000</v>
      </c>
      <c r="BA151" s="84" t="n">
        <f aca="false">$G151*AX151</f>
        <v>0</v>
      </c>
      <c r="BB151" s="84" t="n">
        <f aca="false">MIN(AV151-AY151,BA151)</f>
        <v>0</v>
      </c>
      <c r="BC151" s="84" t="n">
        <f aca="false">BA151-BB151</f>
        <v>0</v>
      </c>
      <c r="BD151" s="84" t="n">
        <f aca="false">IF($H151=1,MIN(AV151-AY151-BB151,MAX(0,$F151/(1-$F151)*BB151)),0)</f>
        <v>0</v>
      </c>
      <c r="BE151" s="84" t="n">
        <f aca="false">AV151-AY151-BB151-BD151</f>
        <v>0</v>
      </c>
      <c r="BF151" s="84" t="n">
        <f aca="false">AY151+BB151+(1-$F151)*BE151</f>
        <v>0</v>
      </c>
      <c r="BG151" s="84" t="n">
        <f aca="false">BD151+$F151*BE151</f>
        <v>0</v>
      </c>
      <c r="BH151" s="84" t="n">
        <f aca="false">BB151+(1-$F151)*BE151</f>
        <v>0</v>
      </c>
      <c r="BI151" s="84" t="n">
        <f aca="false">BG151</f>
        <v>0</v>
      </c>
      <c r="BJ151" s="133" t="n">
        <f aca="false">AW151+$D151*Inputs!$D$13-$D151*$E151</f>
        <v>7683.8</v>
      </c>
      <c r="BK151" s="84" t="n">
        <f aca="false">BJ151*(1+$I151)</f>
        <v>8144.828</v>
      </c>
      <c r="BL151" s="133" t="n">
        <f aca="false">BK151*Inputs!$D$14</f>
        <v>0</v>
      </c>
      <c r="BM151" s="84" t="n">
        <f aca="false">BK151-BL151</f>
        <v>8144.828</v>
      </c>
      <c r="BN151" s="133" t="n">
        <f aca="false">AZ151+$D151*Inputs!$D$13</f>
        <v>8000</v>
      </c>
      <c r="BO151" s="84" t="n">
        <f aca="false">MIN(BL151,BN151)</f>
        <v>0</v>
      </c>
      <c r="BP151" s="84" t="n">
        <f aca="false">BN151-BO151</f>
        <v>8000</v>
      </c>
      <c r="BQ151" s="84" t="n">
        <f aca="false">BC151+$G151*(BN151+BC151)</f>
        <v>0</v>
      </c>
      <c r="BR151" s="84" t="n">
        <f aca="false">MIN(BL151-BO151,BQ151)</f>
        <v>0</v>
      </c>
      <c r="BS151" s="84" t="n">
        <f aca="false">BQ151-BR151</f>
        <v>0</v>
      </c>
      <c r="BT151" s="84" t="n">
        <f aca="false">IF($H151=1,MIN(BL151-BO151-BR151,MAX(0,$F151/(1-$F151)*(BH151+BR151)-BI151)),0)</f>
        <v>0</v>
      </c>
      <c r="BU151" s="84" t="n">
        <f aca="false">BL151-BO151-BR151-BT151</f>
        <v>0</v>
      </c>
      <c r="BV151" s="84" t="n">
        <f aca="false">BO151+BR151+(1-$F151)*BU151</f>
        <v>0</v>
      </c>
      <c r="BW151" s="84" t="n">
        <f aca="false">BT151+$F151*BU151</f>
        <v>0</v>
      </c>
      <c r="BX151" s="84" t="n">
        <f aca="false">BH151+BR151+(1-$F151)*BU151</f>
        <v>0</v>
      </c>
      <c r="BY151" s="84" t="n">
        <f aca="false">BI151+BW151</f>
        <v>0</v>
      </c>
      <c r="BZ151" s="133" t="n">
        <f aca="false">BM151+$D151*Inputs!$E$13-$D151*$E151</f>
        <v>11874.828</v>
      </c>
      <c r="CA151" s="84" t="n">
        <f aca="false">BZ151*(1+$I151)</f>
        <v>12587.31768</v>
      </c>
      <c r="CB151" s="133" t="n">
        <f aca="false">CA151*Inputs!$E$14</f>
        <v>0</v>
      </c>
      <c r="CC151" s="84" t="n">
        <f aca="false">CA151-CB151</f>
        <v>12587.31768</v>
      </c>
      <c r="CD151" s="133" t="n">
        <f aca="false">BP151+$D151*Inputs!$E$13</f>
        <v>12000</v>
      </c>
      <c r="CE151" s="84" t="n">
        <f aca="false">MIN(CB151,CD151)</f>
        <v>0</v>
      </c>
      <c r="CF151" s="84" t="n">
        <f aca="false">CD151-CE151</f>
        <v>12000</v>
      </c>
      <c r="CG151" s="84" t="n">
        <f aca="false">BS151+$G151*(CD151+BS151)</f>
        <v>0</v>
      </c>
      <c r="CH151" s="84" t="n">
        <f aca="false">MIN(CB151-CE151,CG151)</f>
        <v>0</v>
      </c>
      <c r="CI151" s="84" t="n">
        <f aca="false">CG151-CH151</f>
        <v>0</v>
      </c>
      <c r="CJ151" s="84" t="n">
        <f aca="false">IF($H151=1,MIN(CB151-CE151-CH151,MAX(0,$F151/(1-$F151)*(BX151+CH151)-BY151)),0)</f>
        <v>0</v>
      </c>
      <c r="CK151" s="84" t="n">
        <f aca="false">CB151-CE151-CH151-CJ151</f>
        <v>0</v>
      </c>
      <c r="CL151" s="84" t="n">
        <f aca="false">CE151+CH151+(1-$F151)*CK151</f>
        <v>0</v>
      </c>
      <c r="CM151" s="84" t="n">
        <f aca="false">CJ151+$F151*CK151</f>
        <v>0</v>
      </c>
      <c r="CN151" s="84" t="n">
        <f aca="false">BX151+CH151+(1-$F151)*CK151</f>
        <v>0</v>
      </c>
      <c r="CO151" s="84" t="n">
        <f aca="false">BY151+CM151</f>
        <v>0</v>
      </c>
      <c r="CP151" s="133" t="n">
        <f aca="false">CC151+$D151*Inputs!$F$13-$D151*$E151</f>
        <v>16317.31768</v>
      </c>
      <c r="CQ151" s="84" t="n">
        <f aca="false">CP151*(1+$I151)</f>
        <v>17296.3567408</v>
      </c>
      <c r="CR151" s="133" t="n">
        <f aca="false">CQ151*Inputs!$F$14</f>
        <v>0</v>
      </c>
      <c r="CS151" s="84" t="n">
        <f aca="false">CQ151-CR151</f>
        <v>17296.3567408</v>
      </c>
      <c r="CT151" s="133" t="n">
        <f aca="false">CF151+$D151*Inputs!$F$13</f>
        <v>16000</v>
      </c>
      <c r="CU151" s="84" t="n">
        <f aca="false">MIN(CR151,CT151)</f>
        <v>0</v>
      </c>
      <c r="CV151" s="84" t="n">
        <f aca="false">CT151-CU151</f>
        <v>16000</v>
      </c>
      <c r="CW151" s="84" t="n">
        <f aca="false">CI151+$G151*(CT151+CI151)</f>
        <v>0</v>
      </c>
      <c r="CX151" s="84" t="n">
        <f aca="false">MIN(CR151-CU151,CW151)</f>
        <v>0</v>
      </c>
      <c r="CY151" s="84" t="n">
        <f aca="false">CW151-CX151</f>
        <v>0</v>
      </c>
      <c r="CZ151" s="84" t="n">
        <f aca="false">IF($H151=1,MIN(CR151-CU151-CX151,MAX(0,$F151/(1-$F151)*(CN151+CX151)-CO151)),0)</f>
        <v>0</v>
      </c>
      <c r="DA151" s="84" t="n">
        <f aca="false">CR151-CU151-CX151-CZ151</f>
        <v>0</v>
      </c>
      <c r="DB151" s="84" t="n">
        <f aca="false">CU151+CX151+(1-$F151)*DA151</f>
        <v>0</v>
      </c>
      <c r="DC151" s="84" t="n">
        <f aca="false">CZ151+$F151*DA151</f>
        <v>0</v>
      </c>
      <c r="DD151" s="84" t="n">
        <f aca="false">CN151+CX151+(1-$F151)*DA151</f>
        <v>0</v>
      </c>
      <c r="DE151" s="84" t="n">
        <f aca="false">CO151+DC151</f>
        <v>0</v>
      </c>
      <c r="DF151" s="133" t="n">
        <f aca="false">CS151+$D151*Inputs!$G$13-$D151*$E151</f>
        <v>21026.3567408</v>
      </c>
      <c r="DG151" s="84" t="n">
        <f aca="false">DF151*(1+$I151)</f>
        <v>22287.938145248</v>
      </c>
      <c r="DH151" s="133" t="n">
        <f aca="false">DG151*Inputs!$G$14</f>
        <v>4457.5876290496</v>
      </c>
      <c r="DI151" s="84" t="n">
        <f aca="false">DG151-DH151</f>
        <v>17830.3505161984</v>
      </c>
      <c r="DJ151" s="133" t="n">
        <f aca="false">CV151+$D151*Inputs!$G$13</f>
        <v>20000</v>
      </c>
      <c r="DK151" s="84" t="n">
        <f aca="false">MIN(DH151,DJ151)</f>
        <v>4457.5876290496</v>
      </c>
      <c r="DL151" s="84" t="n">
        <f aca="false">DJ151-DK151</f>
        <v>15542.4123709504</v>
      </c>
      <c r="DM151" s="84" t="n">
        <f aca="false">CY151+$G151*(DJ151+CY151)</f>
        <v>0</v>
      </c>
      <c r="DN151" s="84" t="n">
        <f aca="false">MIN(DH151-DK151,DM151)</f>
        <v>0</v>
      </c>
      <c r="DO151" s="84" t="n">
        <f aca="false">DM151-DN151</f>
        <v>0</v>
      </c>
      <c r="DP151" s="84" t="n">
        <f aca="false">IF($H151=1,MIN(DH151-DK151-DN151,MAX(0,$F151/(1-$F151)*(DD151+DN151)-DE151)),0)</f>
        <v>0</v>
      </c>
      <c r="DQ151" s="84" t="n">
        <f aca="false">DH151-DK151-DN151-DP151</f>
        <v>0</v>
      </c>
      <c r="DR151" s="84" t="n">
        <f aca="false">DK151+DN151+(1-$F151)*DQ151</f>
        <v>4457.5876290496</v>
      </c>
      <c r="DS151" s="84" t="n">
        <f aca="false">DP151+$F151*DQ151</f>
        <v>0</v>
      </c>
      <c r="DT151" s="84" t="n">
        <f aca="false">DD151+DN151+(1-$F151)*DQ151</f>
        <v>0</v>
      </c>
      <c r="DU151" s="84" t="n">
        <f aca="false">DE151+DS151</f>
        <v>0</v>
      </c>
      <c r="DV151" s="133" t="n">
        <f aca="false">DI151+$D151*Inputs!$H$13-$D151*$E151</f>
        <v>17560.3505161984</v>
      </c>
      <c r="DW151" s="84" t="n">
        <f aca="false">DV151*(1+$I151)</f>
        <v>18613.9715471703</v>
      </c>
      <c r="DX151" s="133" t="n">
        <f aca="false">DW151*Inputs!$H$14</f>
        <v>3722.79430943406</v>
      </c>
      <c r="DY151" s="84" t="n">
        <f aca="false">DW151-DX151</f>
        <v>14891.1772377362</v>
      </c>
      <c r="DZ151" s="133" t="n">
        <f aca="false">DL151+$D151*Inputs!$H$13</f>
        <v>15542.4123709504</v>
      </c>
      <c r="EA151" s="84" t="n">
        <f aca="false">MIN(DX151,DZ151)</f>
        <v>3722.79430943406</v>
      </c>
      <c r="EB151" s="84" t="n">
        <f aca="false">DZ151-EA151</f>
        <v>11819.6180615163</v>
      </c>
      <c r="EC151" s="84" t="n">
        <f aca="false">DO151+$G151*(DZ151+DO151)</f>
        <v>0</v>
      </c>
      <c r="ED151" s="84" t="n">
        <f aca="false">MIN(DX151-EA151,EC151)</f>
        <v>0</v>
      </c>
      <c r="EE151" s="84" t="n">
        <f aca="false">EC151-ED151</f>
        <v>0</v>
      </c>
      <c r="EF151" s="84" t="n">
        <f aca="false">IF($H151=1,MIN(DX151-EA151-ED151,MAX(0,$F151/(1-$F151)*(DT151+ED151)-DU151)),0)</f>
        <v>0</v>
      </c>
      <c r="EG151" s="84" t="n">
        <f aca="false">DX151-EA151-ED151-EF151</f>
        <v>0</v>
      </c>
      <c r="EH151" s="84" t="n">
        <f aca="false">EA151+ED151+(1-$F151)*EG151</f>
        <v>3722.79430943406</v>
      </c>
      <c r="EI151" s="84" t="n">
        <f aca="false">EF151+$F151*EG151</f>
        <v>0</v>
      </c>
      <c r="EJ151" s="84" t="n">
        <f aca="false">DT151+ED151+(1-$F151)*EG151</f>
        <v>0</v>
      </c>
      <c r="EK151" s="84" t="n">
        <f aca="false">DU151+EI151</f>
        <v>0</v>
      </c>
      <c r="EL151" s="133" t="n">
        <f aca="false">DY151+$D151*Inputs!$I$13-$D151*$E151</f>
        <v>14621.1772377362</v>
      </c>
      <c r="EM151" s="84" t="n">
        <f aca="false">EL151*(1+$I151)</f>
        <v>15498.4478720004</v>
      </c>
      <c r="EN151" s="133" t="n">
        <f aca="false">EM151*Inputs!$I$14</f>
        <v>3099.68957440009</v>
      </c>
      <c r="EO151" s="84" t="n">
        <f aca="false">EM151-EN151</f>
        <v>12398.7582976003</v>
      </c>
      <c r="EP151" s="133" t="n">
        <f aca="false">EB151+$D151*Inputs!$I$13</f>
        <v>11819.6180615163</v>
      </c>
      <c r="EQ151" s="84" t="n">
        <f aca="false">MIN(EN151,EP151)</f>
        <v>3099.68957440009</v>
      </c>
      <c r="ER151" s="84" t="n">
        <f aca="false">EP151-EQ151</f>
        <v>8719.92848711625</v>
      </c>
      <c r="ES151" s="84" t="n">
        <f aca="false">EE151+$G151*(EP151+EE151)</f>
        <v>0</v>
      </c>
      <c r="ET151" s="84" t="n">
        <f aca="false">MIN(EN151-EQ151,ES151)</f>
        <v>0</v>
      </c>
      <c r="EU151" s="84" t="n">
        <f aca="false">ES151-ET151</f>
        <v>0</v>
      </c>
      <c r="EV151" s="84" t="n">
        <f aca="false">IF($H151=1,MIN(EN151-EQ151-ET151,MAX(0,$F151/(1-$F151)*(EJ151+ET151)-EK151)),0)</f>
        <v>0</v>
      </c>
      <c r="EW151" s="84" t="n">
        <f aca="false">EN151-EQ151-ET151-EV151</f>
        <v>0</v>
      </c>
      <c r="EX151" s="84" t="n">
        <f aca="false">EQ151+ET151+(1-$F151)*EW151</f>
        <v>3099.68957440009</v>
      </c>
      <c r="EY151" s="84" t="n">
        <f aca="false">EV151+$F151*EW151</f>
        <v>0</v>
      </c>
      <c r="EZ151" s="84" t="n">
        <f aca="false">EJ151+ET151+(1-$F151)*EW151</f>
        <v>0</v>
      </c>
      <c r="FA151" s="84" t="n">
        <f aca="false">EK151+EY151</f>
        <v>0</v>
      </c>
      <c r="FB151" s="133" t="n">
        <f aca="false">EO151+$D151*Inputs!$J$13-$D151*$E151</f>
        <v>12128.7582976003</v>
      </c>
      <c r="FC151" s="84" t="n">
        <f aca="false">FB151*(1+$I151)</f>
        <v>12856.4837954564</v>
      </c>
      <c r="FD151" s="133" t="n">
        <f aca="false">FC151*Inputs!$J$14</f>
        <v>2571.29675909127</v>
      </c>
      <c r="FE151" s="84" t="n">
        <f aca="false">FC151-FD151</f>
        <v>10285.1870363651</v>
      </c>
      <c r="FF151" s="133" t="n">
        <f aca="false">ER151+$D151*Inputs!$J$13</f>
        <v>8719.92848711625</v>
      </c>
      <c r="FG151" s="84" t="n">
        <f aca="false">MIN(FD151,FF151)</f>
        <v>2571.29675909127</v>
      </c>
      <c r="FH151" s="84" t="n">
        <f aca="false">FF151-FG151</f>
        <v>6148.63172802498</v>
      </c>
      <c r="FI151" s="84" t="n">
        <f aca="false">EU151+$G151*(FF151+EU151)</f>
        <v>0</v>
      </c>
      <c r="FJ151" s="84" t="n">
        <f aca="false">MIN(FD151-FG151,FI151)</f>
        <v>0</v>
      </c>
      <c r="FK151" s="84" t="n">
        <f aca="false">FI151-FJ151</f>
        <v>0</v>
      </c>
      <c r="FL151" s="84" t="n">
        <f aca="false">IF($H151=1,MIN(FD151-FG151-FJ151,MAX(0,$F151/(1-$F151)*(EZ151+FJ151)-FA151)),0)</f>
        <v>0</v>
      </c>
      <c r="FM151" s="84" t="n">
        <f aca="false">FD151-FG151-FJ151-FL151</f>
        <v>0</v>
      </c>
      <c r="FN151" s="84" t="n">
        <f aca="false">FG151+FJ151+(1-$F151)*FM151</f>
        <v>2571.29675909127</v>
      </c>
      <c r="FO151" s="84" t="n">
        <f aca="false">FL151+$F151*FM151</f>
        <v>0</v>
      </c>
      <c r="FP151" s="84" t="n">
        <f aca="false">EZ151+FJ151+(1-$F151)*FM151</f>
        <v>0</v>
      </c>
      <c r="FQ151" s="84" t="n">
        <f aca="false">FA151+FO151</f>
        <v>0</v>
      </c>
      <c r="FR151" s="133" t="n">
        <f aca="false">FE151+$D151*Inputs!$K$13-$D151*$E151</f>
        <v>10015.1870363651</v>
      </c>
      <c r="FS151" s="84" t="n">
        <f aca="false">FR151*(1+$I151)</f>
        <v>10616.098258547</v>
      </c>
      <c r="FT151" s="133" t="n">
        <f aca="false">FS151*Inputs!$K$14</f>
        <v>2123.2196517094</v>
      </c>
      <c r="FU151" s="84" t="n">
        <f aca="false">FS151-FT151</f>
        <v>8492.87860683759</v>
      </c>
      <c r="FV151" s="133" t="n">
        <f aca="false">FH151+$D151*Inputs!$K$13</f>
        <v>6148.63172802498</v>
      </c>
      <c r="FW151" s="84" t="n">
        <f aca="false">MIN(FT151,FV151)</f>
        <v>2123.2196517094</v>
      </c>
      <c r="FX151" s="84" t="n">
        <f aca="false">FV151-FW151</f>
        <v>4025.41207631558</v>
      </c>
      <c r="FY151" s="84" t="n">
        <f aca="false">FK151+$G151*(FV151+FK151)</f>
        <v>0</v>
      </c>
      <c r="FZ151" s="84" t="n">
        <f aca="false">MIN(FT151-FW151,FY151)</f>
        <v>0</v>
      </c>
      <c r="GA151" s="84" t="n">
        <f aca="false">FY151-FZ151</f>
        <v>0</v>
      </c>
      <c r="GB151" s="84" t="n">
        <f aca="false">IF($H151=1,MIN(FT151-FW151-FZ151,MAX(0,$F151/(1-$F151)*(FP151+FZ151)-FQ151)),0)</f>
        <v>0</v>
      </c>
      <c r="GC151" s="84" t="n">
        <f aca="false">FT151-FW151-FZ151-GB151</f>
        <v>0</v>
      </c>
      <c r="GD151" s="84" t="n">
        <f aca="false">FW151+FZ151+(1-$F151)*GC151</f>
        <v>2123.2196517094</v>
      </c>
      <c r="GE151" s="84" t="n">
        <f aca="false">GB151+$F151*GC151</f>
        <v>0</v>
      </c>
      <c r="GF151" s="84" t="n">
        <f aca="false">FP151+FZ151+(1-$F151)*GC151</f>
        <v>0</v>
      </c>
      <c r="GG151" s="84" t="n">
        <f aca="false">FQ151+GE151</f>
        <v>0</v>
      </c>
      <c r="GH151" s="133" t="n">
        <f aca="false">FU151+$D151*Inputs!$L$13-$D151*$E151</f>
        <v>8222.87860683759</v>
      </c>
      <c r="GI151" s="84" t="n">
        <f aca="false">GH151*(1+$I151)</f>
        <v>8716.25132324785</v>
      </c>
      <c r="GJ151" s="133" t="n">
        <f aca="false">GI151*Inputs!$L$14</f>
        <v>8716.25132324785</v>
      </c>
      <c r="GK151" s="84" t="n">
        <f aca="false">GI151-GJ151</f>
        <v>0</v>
      </c>
      <c r="GL151" s="133" t="n">
        <f aca="false">FX151+$D151*Inputs!$L$13</f>
        <v>4025.41207631558</v>
      </c>
      <c r="GM151" s="84" t="n">
        <f aca="false">MIN(GJ151,GL151)</f>
        <v>4025.41207631558</v>
      </c>
      <c r="GN151" s="84" t="n">
        <f aca="false">GL151-GM151</f>
        <v>0</v>
      </c>
      <c r="GO151" s="84" t="n">
        <f aca="false">GA151+$G151*(GL151+GA151)</f>
        <v>0</v>
      </c>
      <c r="GP151" s="84" t="n">
        <f aca="false">MIN(GJ151-GM151,GO151)</f>
        <v>0</v>
      </c>
      <c r="GQ151" s="84" t="n">
        <f aca="false">GO151-GP151</f>
        <v>0</v>
      </c>
      <c r="GR151" s="84" t="n">
        <f aca="false">IF($H151=1,MIN(GJ151-GM151-GP151,MAX(0,$F151/(1-$F151)*(GF151+GP151)-GG151)),0)</f>
        <v>0</v>
      </c>
      <c r="GS151" s="84" t="n">
        <f aca="false">GJ151-GM151-GP151-GR151</f>
        <v>4690.83924693227</v>
      </c>
      <c r="GT151" s="84" t="n">
        <f aca="false">GM151+GP151+(1-$F151)*GS151</f>
        <v>8012.62543620801</v>
      </c>
      <c r="GU151" s="84" t="n">
        <f aca="false">GR151+$F151*GS151</f>
        <v>703.62588703984</v>
      </c>
      <c r="GV151" s="84" t="n">
        <f aca="false">GF151+GP151+(1-$F151)*GS151</f>
        <v>3987.21335989243</v>
      </c>
      <c r="GW151" s="84" t="n">
        <f aca="false">GG151+GU151</f>
        <v>703.62588703984</v>
      </c>
    </row>
    <row r="152" customFormat="false" ht="15" hidden="false" customHeight="false" outlineLevel="0" collapsed="false">
      <c r="A152" s="5" t="s">
        <v>641</v>
      </c>
      <c r="B152" s="5" t="s">
        <v>429</v>
      </c>
      <c r="C152" s="135" t="n">
        <v>7</v>
      </c>
      <c r="D152" s="47" t="n">
        <f aca="false">Inputs!$C$6</f>
        <v>20000</v>
      </c>
      <c r="E152" s="35" t="n">
        <f aca="false">Inputs!$C$19</f>
        <v>0.0135</v>
      </c>
      <c r="F152" s="36" t="n">
        <f aca="false">Inputs!$C$21</f>
        <v>0.15</v>
      </c>
      <c r="G152" s="30" t="n">
        <v>0</v>
      </c>
      <c r="H152" s="27" t="n">
        <v>0</v>
      </c>
      <c r="I152" s="132" t="n">
        <f aca="false">Inputs!$C$38+$C152*Inputs!$C$39</f>
        <v>0.07</v>
      </c>
      <c r="J152" s="36" t="n">
        <f aca="false">Inputs!$C$9</f>
        <v>0.15</v>
      </c>
      <c r="K152" s="89" t="n">
        <f aca="false">IRR(W152:AG152,0.1)</f>
        <v>0.0414638103961189</v>
      </c>
      <c r="L152" s="45" t="n">
        <f aca="false">W152+NPV($J152,X152:AG152)</f>
        <v>-6589.82415025089</v>
      </c>
      <c r="M152" s="45" t="n">
        <f aca="false">SUM(BF152,BV152,CL152,DB152,DR152,EH152,EX152,FN152,GD152,GT152)</f>
        <v>25262.1009189144</v>
      </c>
      <c r="N152" s="43" t="n">
        <f aca="false">IF($D152*SUM(Inputs!$C$13:$L$13)=0,0,M152/($D152*SUM(Inputs!$C$13:$L$13)))</f>
        <v>1.26310504594572</v>
      </c>
      <c r="O152" s="42" t="n">
        <f aca="false">$D152*$E152*COLUMNS(Inputs!$C$13:$L$13)</f>
        <v>2700</v>
      </c>
      <c r="P152" s="45" t="n">
        <f aca="false">SUM(BG152,BW152,CM152,DC152,DS152,EI152,EY152,FO152,GE152,GU152)</f>
        <v>928.606044514299</v>
      </c>
      <c r="Q152" s="42" t="n">
        <f aca="false">PV($J152,COLUMNS(Inputs!$C$13:$L$13),-$D152*$E152,0,1)</f>
        <v>1558.32765832774</v>
      </c>
      <c r="R152" s="45" t="n">
        <f aca="false">NPV($J152,BG152,BW152,CM152,DC152,DS152,EI152,EY152,FO152,GE152,GU152)</f>
        <v>229.537212216255</v>
      </c>
      <c r="S152" s="45" t="n">
        <f aca="false">Q152+R152</f>
        <v>1787.86487054399</v>
      </c>
      <c r="T152" s="32" t="n">
        <f aca="false">IF(S152=0,0,Q152/S152)</f>
        <v>0.871613780214601</v>
      </c>
      <c r="U152" s="45" t="n">
        <f aca="false">ROUND(ABS(GK152)+ABS(SUM(AV152,BL152,CB152,CR152,DH152,DX152,EN152,FD152,FT152,GJ152)-M152-P152)+ABS(S152-(AH152+NPV($J152,AI152:AR152))),6)</f>
        <v>0</v>
      </c>
      <c r="W152" s="133" t="n">
        <f aca="false">-$D152*Inputs!$C$13</f>
        <v>-4000</v>
      </c>
      <c r="X152" s="133" t="n">
        <f aca="false">BF152-$D152*Inputs!$D$13</f>
        <v>-4000</v>
      </c>
      <c r="Y152" s="133" t="n">
        <f aca="false">BV152-$D152*Inputs!$E$13</f>
        <v>-4000</v>
      </c>
      <c r="Z152" s="133" t="n">
        <f aca="false">CL152-$D152*Inputs!$F$13</f>
        <v>-4000</v>
      </c>
      <c r="AA152" s="133" t="n">
        <f aca="false">DB152-$D152*Inputs!$G$13</f>
        <v>-4000</v>
      </c>
      <c r="AB152" s="133" t="n">
        <f aca="false">DR152-$D152*Inputs!$H$13</f>
        <v>4590.3548925622</v>
      </c>
      <c r="AC152" s="133" t="n">
        <f aca="false">EH152-$D152*Inputs!$I$13</f>
        <v>3871.56378803324</v>
      </c>
      <c r="AD152" s="133" t="n">
        <f aca="false">EX152-$D152*Inputs!$J$13</f>
        <v>3256.27860255646</v>
      </c>
      <c r="AE152" s="133" t="n">
        <f aca="false">FN152-$D152*Inputs!$K$13</f>
        <v>2729.59448378833</v>
      </c>
      <c r="AF152" s="133" t="n">
        <f aca="false">GD152-$D152*Inputs!$L$13</f>
        <v>2278.75287812281</v>
      </c>
      <c r="AG152" s="84" t="n">
        <f aca="false">GT152</f>
        <v>8535.55627385132</v>
      </c>
      <c r="AH152" s="84" t="n">
        <f aca="false">$D152*$E152</f>
        <v>270</v>
      </c>
      <c r="AI152" s="84" t="n">
        <f aca="false">BG152+$D152*$E152</f>
        <v>270</v>
      </c>
      <c r="AJ152" s="84" t="n">
        <f aca="false">BW152+$D152*$E152</f>
        <v>270</v>
      </c>
      <c r="AK152" s="84" t="n">
        <f aca="false">CM152+$D152*$E152</f>
        <v>270</v>
      </c>
      <c r="AL152" s="84" t="n">
        <f aca="false">DC152+$D152*$E152</f>
        <v>270</v>
      </c>
      <c r="AM152" s="84" t="n">
        <f aca="false">DS152+$D152*$E152</f>
        <v>270</v>
      </c>
      <c r="AN152" s="84" t="n">
        <f aca="false">EI152+$D152*$E152</f>
        <v>270</v>
      </c>
      <c r="AO152" s="84" t="n">
        <f aca="false">EY152+$D152*$E152</f>
        <v>270</v>
      </c>
      <c r="AP152" s="84" t="n">
        <f aca="false">FO152+$D152*$E152</f>
        <v>270</v>
      </c>
      <c r="AQ152" s="84" t="n">
        <f aca="false">GE152+$D152*$E152</f>
        <v>270</v>
      </c>
      <c r="AR152" s="84" t="n">
        <f aca="false">GU152</f>
        <v>928.606044514299</v>
      </c>
      <c r="AT152" s="133" t="n">
        <f aca="false">$D152*Inputs!$C$13-$D152*$E152</f>
        <v>3730</v>
      </c>
      <c r="AU152" s="84" t="n">
        <f aca="false">AT152*(1+$I152)</f>
        <v>3991.1</v>
      </c>
      <c r="AV152" s="133" t="n">
        <f aca="false">AU152*Inputs!$C$14</f>
        <v>0</v>
      </c>
      <c r="AW152" s="84" t="n">
        <f aca="false">AU152-AV152</f>
        <v>3991.1</v>
      </c>
      <c r="AX152" s="133" t="n">
        <f aca="false">$D152*Inputs!$C$13</f>
        <v>4000</v>
      </c>
      <c r="AY152" s="84" t="n">
        <f aca="false">MIN(AV152,AX152)</f>
        <v>0</v>
      </c>
      <c r="AZ152" s="84" t="n">
        <f aca="false">AX152-AY152</f>
        <v>4000</v>
      </c>
      <c r="BA152" s="84" t="n">
        <f aca="false">$G152*AX152</f>
        <v>0</v>
      </c>
      <c r="BB152" s="84" t="n">
        <f aca="false">MIN(AV152-AY152,BA152)</f>
        <v>0</v>
      </c>
      <c r="BC152" s="84" t="n">
        <f aca="false">BA152-BB152</f>
        <v>0</v>
      </c>
      <c r="BD152" s="84" t="n">
        <f aca="false">IF($H152=1,MIN(AV152-AY152-BB152,MAX(0,$F152/(1-$F152)*BB152)),0)</f>
        <v>0</v>
      </c>
      <c r="BE152" s="84" t="n">
        <f aca="false">AV152-AY152-BB152-BD152</f>
        <v>0</v>
      </c>
      <c r="BF152" s="84" t="n">
        <f aca="false">AY152+BB152+(1-$F152)*BE152</f>
        <v>0</v>
      </c>
      <c r="BG152" s="84" t="n">
        <f aca="false">BD152+$F152*BE152</f>
        <v>0</v>
      </c>
      <c r="BH152" s="84" t="n">
        <f aca="false">BB152+(1-$F152)*BE152</f>
        <v>0</v>
      </c>
      <c r="BI152" s="84" t="n">
        <f aca="false">BG152</f>
        <v>0</v>
      </c>
      <c r="BJ152" s="133" t="n">
        <f aca="false">AW152+$D152*Inputs!$D$13-$D152*$E152</f>
        <v>7721.1</v>
      </c>
      <c r="BK152" s="84" t="n">
        <f aca="false">BJ152*(1+$I152)</f>
        <v>8261.577</v>
      </c>
      <c r="BL152" s="133" t="n">
        <f aca="false">BK152*Inputs!$D$14</f>
        <v>0</v>
      </c>
      <c r="BM152" s="84" t="n">
        <f aca="false">BK152-BL152</f>
        <v>8261.577</v>
      </c>
      <c r="BN152" s="133" t="n">
        <f aca="false">AZ152+$D152*Inputs!$D$13</f>
        <v>8000</v>
      </c>
      <c r="BO152" s="84" t="n">
        <f aca="false">MIN(BL152,BN152)</f>
        <v>0</v>
      </c>
      <c r="BP152" s="84" t="n">
        <f aca="false">BN152-BO152</f>
        <v>8000</v>
      </c>
      <c r="BQ152" s="84" t="n">
        <f aca="false">BC152+$G152*(BN152+BC152)</f>
        <v>0</v>
      </c>
      <c r="BR152" s="84" t="n">
        <f aca="false">MIN(BL152-BO152,BQ152)</f>
        <v>0</v>
      </c>
      <c r="BS152" s="84" t="n">
        <f aca="false">BQ152-BR152</f>
        <v>0</v>
      </c>
      <c r="BT152" s="84" t="n">
        <f aca="false">IF($H152=1,MIN(BL152-BO152-BR152,MAX(0,$F152/(1-$F152)*(BH152+BR152)-BI152)),0)</f>
        <v>0</v>
      </c>
      <c r="BU152" s="84" t="n">
        <f aca="false">BL152-BO152-BR152-BT152</f>
        <v>0</v>
      </c>
      <c r="BV152" s="84" t="n">
        <f aca="false">BO152+BR152+(1-$F152)*BU152</f>
        <v>0</v>
      </c>
      <c r="BW152" s="84" t="n">
        <f aca="false">BT152+$F152*BU152</f>
        <v>0</v>
      </c>
      <c r="BX152" s="84" t="n">
        <f aca="false">BH152+BR152+(1-$F152)*BU152</f>
        <v>0</v>
      </c>
      <c r="BY152" s="84" t="n">
        <f aca="false">BI152+BW152</f>
        <v>0</v>
      </c>
      <c r="BZ152" s="133" t="n">
        <f aca="false">BM152+$D152*Inputs!$E$13-$D152*$E152</f>
        <v>11991.577</v>
      </c>
      <c r="CA152" s="84" t="n">
        <f aca="false">BZ152*(1+$I152)</f>
        <v>12830.98739</v>
      </c>
      <c r="CB152" s="133" t="n">
        <f aca="false">CA152*Inputs!$E$14</f>
        <v>0</v>
      </c>
      <c r="CC152" s="84" t="n">
        <f aca="false">CA152-CB152</f>
        <v>12830.98739</v>
      </c>
      <c r="CD152" s="133" t="n">
        <f aca="false">BP152+$D152*Inputs!$E$13</f>
        <v>12000</v>
      </c>
      <c r="CE152" s="84" t="n">
        <f aca="false">MIN(CB152,CD152)</f>
        <v>0</v>
      </c>
      <c r="CF152" s="84" t="n">
        <f aca="false">CD152-CE152</f>
        <v>12000</v>
      </c>
      <c r="CG152" s="84" t="n">
        <f aca="false">BS152+$G152*(CD152+BS152)</f>
        <v>0</v>
      </c>
      <c r="CH152" s="84" t="n">
        <f aca="false">MIN(CB152-CE152,CG152)</f>
        <v>0</v>
      </c>
      <c r="CI152" s="84" t="n">
        <f aca="false">CG152-CH152</f>
        <v>0</v>
      </c>
      <c r="CJ152" s="84" t="n">
        <f aca="false">IF($H152=1,MIN(CB152-CE152-CH152,MAX(0,$F152/(1-$F152)*(BX152+CH152)-BY152)),0)</f>
        <v>0</v>
      </c>
      <c r="CK152" s="84" t="n">
        <f aca="false">CB152-CE152-CH152-CJ152</f>
        <v>0</v>
      </c>
      <c r="CL152" s="84" t="n">
        <f aca="false">CE152+CH152+(1-$F152)*CK152</f>
        <v>0</v>
      </c>
      <c r="CM152" s="84" t="n">
        <f aca="false">CJ152+$F152*CK152</f>
        <v>0</v>
      </c>
      <c r="CN152" s="84" t="n">
        <f aca="false">BX152+CH152+(1-$F152)*CK152</f>
        <v>0</v>
      </c>
      <c r="CO152" s="84" t="n">
        <f aca="false">BY152+CM152</f>
        <v>0</v>
      </c>
      <c r="CP152" s="133" t="n">
        <f aca="false">CC152+$D152*Inputs!$F$13-$D152*$E152</f>
        <v>16560.98739</v>
      </c>
      <c r="CQ152" s="84" t="n">
        <f aca="false">CP152*(1+$I152)</f>
        <v>17720.2565073</v>
      </c>
      <c r="CR152" s="133" t="n">
        <f aca="false">CQ152*Inputs!$F$14</f>
        <v>0</v>
      </c>
      <c r="CS152" s="84" t="n">
        <f aca="false">CQ152-CR152</f>
        <v>17720.2565073</v>
      </c>
      <c r="CT152" s="133" t="n">
        <f aca="false">CF152+$D152*Inputs!$F$13</f>
        <v>16000</v>
      </c>
      <c r="CU152" s="84" t="n">
        <f aca="false">MIN(CR152,CT152)</f>
        <v>0</v>
      </c>
      <c r="CV152" s="84" t="n">
        <f aca="false">CT152-CU152</f>
        <v>16000</v>
      </c>
      <c r="CW152" s="84" t="n">
        <f aca="false">CI152+$G152*(CT152+CI152)</f>
        <v>0</v>
      </c>
      <c r="CX152" s="84" t="n">
        <f aca="false">MIN(CR152-CU152,CW152)</f>
        <v>0</v>
      </c>
      <c r="CY152" s="84" t="n">
        <f aca="false">CW152-CX152</f>
        <v>0</v>
      </c>
      <c r="CZ152" s="84" t="n">
        <f aca="false">IF($H152=1,MIN(CR152-CU152-CX152,MAX(0,$F152/(1-$F152)*(CN152+CX152)-CO152)),0)</f>
        <v>0</v>
      </c>
      <c r="DA152" s="84" t="n">
        <f aca="false">CR152-CU152-CX152-CZ152</f>
        <v>0</v>
      </c>
      <c r="DB152" s="84" t="n">
        <f aca="false">CU152+CX152+(1-$F152)*DA152</f>
        <v>0</v>
      </c>
      <c r="DC152" s="84" t="n">
        <f aca="false">CZ152+$F152*DA152</f>
        <v>0</v>
      </c>
      <c r="DD152" s="84" t="n">
        <f aca="false">CN152+CX152+(1-$F152)*DA152</f>
        <v>0</v>
      </c>
      <c r="DE152" s="84" t="n">
        <f aca="false">CO152+DC152</f>
        <v>0</v>
      </c>
      <c r="DF152" s="133" t="n">
        <f aca="false">CS152+$D152*Inputs!$G$13-$D152*$E152</f>
        <v>21450.2565073</v>
      </c>
      <c r="DG152" s="84" t="n">
        <f aca="false">DF152*(1+$I152)</f>
        <v>22951.774462811</v>
      </c>
      <c r="DH152" s="133" t="n">
        <f aca="false">DG152*Inputs!$G$14</f>
        <v>4590.3548925622</v>
      </c>
      <c r="DI152" s="84" t="n">
        <f aca="false">DG152-DH152</f>
        <v>18361.4195702488</v>
      </c>
      <c r="DJ152" s="133" t="n">
        <f aca="false">CV152+$D152*Inputs!$G$13</f>
        <v>20000</v>
      </c>
      <c r="DK152" s="84" t="n">
        <f aca="false">MIN(DH152,DJ152)</f>
        <v>4590.3548925622</v>
      </c>
      <c r="DL152" s="84" t="n">
        <f aca="false">DJ152-DK152</f>
        <v>15409.6451074378</v>
      </c>
      <c r="DM152" s="84" t="n">
        <f aca="false">CY152+$G152*(DJ152+CY152)</f>
        <v>0</v>
      </c>
      <c r="DN152" s="84" t="n">
        <f aca="false">MIN(DH152-DK152,DM152)</f>
        <v>0</v>
      </c>
      <c r="DO152" s="84" t="n">
        <f aca="false">DM152-DN152</f>
        <v>0</v>
      </c>
      <c r="DP152" s="84" t="n">
        <f aca="false">IF($H152=1,MIN(DH152-DK152-DN152,MAX(0,$F152/(1-$F152)*(DD152+DN152)-DE152)),0)</f>
        <v>0</v>
      </c>
      <c r="DQ152" s="84" t="n">
        <f aca="false">DH152-DK152-DN152-DP152</f>
        <v>0</v>
      </c>
      <c r="DR152" s="84" t="n">
        <f aca="false">DK152+DN152+(1-$F152)*DQ152</f>
        <v>4590.3548925622</v>
      </c>
      <c r="DS152" s="84" t="n">
        <f aca="false">DP152+$F152*DQ152</f>
        <v>0</v>
      </c>
      <c r="DT152" s="84" t="n">
        <f aca="false">DD152+DN152+(1-$F152)*DQ152</f>
        <v>0</v>
      </c>
      <c r="DU152" s="84" t="n">
        <f aca="false">DE152+DS152</f>
        <v>0</v>
      </c>
      <c r="DV152" s="133" t="n">
        <f aca="false">DI152+$D152*Inputs!$H$13-$D152*$E152</f>
        <v>18091.4195702488</v>
      </c>
      <c r="DW152" s="84" t="n">
        <f aca="false">DV152*(1+$I152)</f>
        <v>19357.8189401662</v>
      </c>
      <c r="DX152" s="133" t="n">
        <f aca="false">DW152*Inputs!$H$14</f>
        <v>3871.56378803324</v>
      </c>
      <c r="DY152" s="84" t="n">
        <f aca="false">DW152-DX152</f>
        <v>15486.255152133</v>
      </c>
      <c r="DZ152" s="133" t="n">
        <f aca="false">DL152+$D152*Inputs!$H$13</f>
        <v>15409.6451074378</v>
      </c>
      <c r="EA152" s="84" t="n">
        <f aca="false">MIN(DX152,DZ152)</f>
        <v>3871.56378803324</v>
      </c>
      <c r="EB152" s="84" t="n">
        <f aca="false">DZ152-EA152</f>
        <v>11538.0813194046</v>
      </c>
      <c r="EC152" s="84" t="n">
        <f aca="false">DO152+$G152*(DZ152+DO152)</f>
        <v>0</v>
      </c>
      <c r="ED152" s="84" t="n">
        <f aca="false">MIN(DX152-EA152,EC152)</f>
        <v>0</v>
      </c>
      <c r="EE152" s="84" t="n">
        <f aca="false">EC152-ED152</f>
        <v>0</v>
      </c>
      <c r="EF152" s="84" t="n">
        <f aca="false">IF($H152=1,MIN(DX152-EA152-ED152,MAX(0,$F152/(1-$F152)*(DT152+ED152)-DU152)),0)</f>
        <v>0</v>
      </c>
      <c r="EG152" s="84" t="n">
        <f aca="false">DX152-EA152-ED152-EF152</f>
        <v>0</v>
      </c>
      <c r="EH152" s="84" t="n">
        <f aca="false">EA152+ED152+(1-$F152)*EG152</f>
        <v>3871.56378803324</v>
      </c>
      <c r="EI152" s="84" t="n">
        <f aca="false">EF152+$F152*EG152</f>
        <v>0</v>
      </c>
      <c r="EJ152" s="84" t="n">
        <f aca="false">DT152+ED152+(1-$F152)*EG152</f>
        <v>0</v>
      </c>
      <c r="EK152" s="84" t="n">
        <f aca="false">DU152+EI152</f>
        <v>0</v>
      </c>
      <c r="EL152" s="133" t="n">
        <f aca="false">DY152+$D152*Inputs!$I$13-$D152*$E152</f>
        <v>15216.255152133</v>
      </c>
      <c r="EM152" s="84" t="n">
        <f aca="false">EL152*(1+$I152)</f>
        <v>16281.3930127823</v>
      </c>
      <c r="EN152" s="133" t="n">
        <f aca="false">EM152*Inputs!$I$14</f>
        <v>3256.27860255646</v>
      </c>
      <c r="EO152" s="84" t="n">
        <f aca="false">EM152-EN152</f>
        <v>13025.1144102258</v>
      </c>
      <c r="EP152" s="133" t="n">
        <f aca="false">EB152+$D152*Inputs!$I$13</f>
        <v>11538.0813194046</v>
      </c>
      <c r="EQ152" s="84" t="n">
        <f aca="false">MIN(EN152,EP152)</f>
        <v>3256.27860255646</v>
      </c>
      <c r="ER152" s="84" t="n">
        <f aca="false">EP152-EQ152</f>
        <v>8281.8027168481</v>
      </c>
      <c r="ES152" s="84" t="n">
        <f aca="false">EE152+$G152*(EP152+EE152)</f>
        <v>0</v>
      </c>
      <c r="ET152" s="84" t="n">
        <f aca="false">MIN(EN152-EQ152,ES152)</f>
        <v>0</v>
      </c>
      <c r="EU152" s="84" t="n">
        <f aca="false">ES152-ET152</f>
        <v>0</v>
      </c>
      <c r="EV152" s="84" t="n">
        <f aca="false">IF($H152=1,MIN(EN152-EQ152-ET152,MAX(0,$F152/(1-$F152)*(EJ152+ET152)-EK152)),0)</f>
        <v>0</v>
      </c>
      <c r="EW152" s="84" t="n">
        <f aca="false">EN152-EQ152-ET152-EV152</f>
        <v>0</v>
      </c>
      <c r="EX152" s="84" t="n">
        <f aca="false">EQ152+ET152+(1-$F152)*EW152</f>
        <v>3256.27860255646</v>
      </c>
      <c r="EY152" s="84" t="n">
        <f aca="false">EV152+$F152*EW152</f>
        <v>0</v>
      </c>
      <c r="EZ152" s="84" t="n">
        <f aca="false">EJ152+ET152+(1-$F152)*EW152</f>
        <v>0</v>
      </c>
      <c r="FA152" s="84" t="n">
        <f aca="false">EK152+EY152</f>
        <v>0</v>
      </c>
      <c r="FB152" s="133" t="n">
        <f aca="false">EO152+$D152*Inputs!$J$13-$D152*$E152</f>
        <v>12755.1144102258</v>
      </c>
      <c r="FC152" s="84" t="n">
        <f aca="false">FB152*(1+$I152)</f>
        <v>13647.9724189416</v>
      </c>
      <c r="FD152" s="133" t="n">
        <f aca="false">FC152*Inputs!$J$14</f>
        <v>2729.59448378833</v>
      </c>
      <c r="FE152" s="84" t="n">
        <f aca="false">FC152-FD152</f>
        <v>10918.3779351533</v>
      </c>
      <c r="FF152" s="133" t="n">
        <f aca="false">ER152+$D152*Inputs!$J$13</f>
        <v>8281.8027168481</v>
      </c>
      <c r="FG152" s="84" t="n">
        <f aca="false">MIN(FD152,FF152)</f>
        <v>2729.59448378833</v>
      </c>
      <c r="FH152" s="84" t="n">
        <f aca="false">FF152-FG152</f>
        <v>5552.20823305977</v>
      </c>
      <c r="FI152" s="84" t="n">
        <f aca="false">EU152+$G152*(FF152+EU152)</f>
        <v>0</v>
      </c>
      <c r="FJ152" s="84" t="n">
        <f aca="false">MIN(FD152-FG152,FI152)</f>
        <v>0</v>
      </c>
      <c r="FK152" s="84" t="n">
        <f aca="false">FI152-FJ152</f>
        <v>0</v>
      </c>
      <c r="FL152" s="84" t="n">
        <f aca="false">IF($H152=1,MIN(FD152-FG152-FJ152,MAX(0,$F152/(1-$F152)*(EZ152+FJ152)-FA152)),0)</f>
        <v>0</v>
      </c>
      <c r="FM152" s="84" t="n">
        <f aca="false">FD152-FG152-FJ152-FL152</f>
        <v>0</v>
      </c>
      <c r="FN152" s="84" t="n">
        <f aca="false">FG152+FJ152+(1-$F152)*FM152</f>
        <v>2729.59448378833</v>
      </c>
      <c r="FO152" s="84" t="n">
        <f aca="false">FL152+$F152*FM152</f>
        <v>0</v>
      </c>
      <c r="FP152" s="84" t="n">
        <f aca="false">EZ152+FJ152+(1-$F152)*FM152</f>
        <v>0</v>
      </c>
      <c r="FQ152" s="84" t="n">
        <f aca="false">FA152+FO152</f>
        <v>0</v>
      </c>
      <c r="FR152" s="133" t="n">
        <f aca="false">FE152+$D152*Inputs!$K$13-$D152*$E152</f>
        <v>10648.3779351533</v>
      </c>
      <c r="FS152" s="84" t="n">
        <f aca="false">FR152*(1+$I152)</f>
        <v>11393.764390614</v>
      </c>
      <c r="FT152" s="133" t="n">
        <f aca="false">FS152*Inputs!$K$14</f>
        <v>2278.75287812281</v>
      </c>
      <c r="FU152" s="84" t="n">
        <f aca="false">FS152-FT152</f>
        <v>9115.01151249123</v>
      </c>
      <c r="FV152" s="133" t="n">
        <f aca="false">FH152+$D152*Inputs!$K$13</f>
        <v>5552.20823305977</v>
      </c>
      <c r="FW152" s="84" t="n">
        <f aca="false">MIN(FT152,FV152)</f>
        <v>2278.75287812281</v>
      </c>
      <c r="FX152" s="84" t="n">
        <f aca="false">FV152-FW152</f>
        <v>3273.45535493696</v>
      </c>
      <c r="FY152" s="84" t="n">
        <f aca="false">FK152+$G152*(FV152+FK152)</f>
        <v>0</v>
      </c>
      <c r="FZ152" s="84" t="n">
        <f aca="false">MIN(FT152-FW152,FY152)</f>
        <v>0</v>
      </c>
      <c r="GA152" s="84" t="n">
        <f aca="false">FY152-FZ152</f>
        <v>0</v>
      </c>
      <c r="GB152" s="84" t="n">
        <f aca="false">IF($H152=1,MIN(FT152-FW152-FZ152,MAX(0,$F152/(1-$F152)*(FP152+FZ152)-FQ152)),0)</f>
        <v>0</v>
      </c>
      <c r="GC152" s="84" t="n">
        <f aca="false">FT152-FW152-FZ152-GB152</f>
        <v>0</v>
      </c>
      <c r="GD152" s="84" t="n">
        <f aca="false">FW152+FZ152+(1-$F152)*GC152</f>
        <v>2278.75287812281</v>
      </c>
      <c r="GE152" s="84" t="n">
        <f aca="false">GB152+$F152*GC152</f>
        <v>0</v>
      </c>
      <c r="GF152" s="84" t="n">
        <f aca="false">FP152+FZ152+(1-$F152)*GC152</f>
        <v>0</v>
      </c>
      <c r="GG152" s="84" t="n">
        <f aca="false">FQ152+GE152</f>
        <v>0</v>
      </c>
      <c r="GH152" s="133" t="n">
        <f aca="false">FU152+$D152*Inputs!$L$13-$D152*$E152</f>
        <v>8845.01151249123</v>
      </c>
      <c r="GI152" s="84" t="n">
        <f aca="false">GH152*(1+$I152)</f>
        <v>9464.16231836562</v>
      </c>
      <c r="GJ152" s="133" t="n">
        <f aca="false">GI152*Inputs!$L$14</f>
        <v>9464.16231836562</v>
      </c>
      <c r="GK152" s="84" t="n">
        <f aca="false">GI152-GJ152</f>
        <v>0</v>
      </c>
      <c r="GL152" s="133" t="n">
        <f aca="false">FX152+$D152*Inputs!$L$13</f>
        <v>3273.45535493696</v>
      </c>
      <c r="GM152" s="84" t="n">
        <f aca="false">MIN(GJ152,GL152)</f>
        <v>3273.45535493696</v>
      </c>
      <c r="GN152" s="84" t="n">
        <f aca="false">GL152-GM152</f>
        <v>0</v>
      </c>
      <c r="GO152" s="84" t="n">
        <f aca="false">GA152+$G152*(GL152+GA152)</f>
        <v>0</v>
      </c>
      <c r="GP152" s="84" t="n">
        <f aca="false">MIN(GJ152-GM152,GO152)</f>
        <v>0</v>
      </c>
      <c r="GQ152" s="84" t="n">
        <f aca="false">GO152-GP152</f>
        <v>0</v>
      </c>
      <c r="GR152" s="84" t="n">
        <f aca="false">IF($H152=1,MIN(GJ152-GM152-GP152,MAX(0,$F152/(1-$F152)*(GF152+GP152)-GG152)),0)</f>
        <v>0</v>
      </c>
      <c r="GS152" s="84" t="n">
        <f aca="false">GJ152-GM152-GP152-GR152</f>
        <v>6190.70696342866</v>
      </c>
      <c r="GT152" s="84" t="n">
        <f aca="false">GM152+GP152+(1-$F152)*GS152</f>
        <v>8535.55627385132</v>
      </c>
      <c r="GU152" s="84" t="n">
        <f aca="false">GR152+$F152*GS152</f>
        <v>928.606044514299</v>
      </c>
      <c r="GV152" s="84" t="n">
        <f aca="false">GF152+GP152+(1-$F152)*GS152</f>
        <v>5262.10091891436</v>
      </c>
      <c r="GW152" s="84" t="n">
        <f aca="false">GG152+GU152</f>
        <v>928.606044514299</v>
      </c>
    </row>
    <row r="153" customFormat="false" ht="15" hidden="false" customHeight="false" outlineLevel="0" collapsed="false">
      <c r="A153" s="5" t="s">
        <v>641</v>
      </c>
      <c r="B153" s="5" t="s">
        <v>429</v>
      </c>
      <c r="C153" s="135" t="n">
        <v>8</v>
      </c>
      <c r="D153" s="47" t="n">
        <f aca="false">Inputs!$C$6</f>
        <v>20000</v>
      </c>
      <c r="E153" s="35" t="n">
        <f aca="false">Inputs!$C$19</f>
        <v>0.0135</v>
      </c>
      <c r="F153" s="36" t="n">
        <f aca="false">Inputs!$C$21</f>
        <v>0.15</v>
      </c>
      <c r="G153" s="30" t="n">
        <v>0</v>
      </c>
      <c r="H153" s="27" t="n">
        <v>0</v>
      </c>
      <c r="I153" s="132" t="n">
        <f aca="false">Inputs!$C$38+$C153*Inputs!$C$39</f>
        <v>0.08</v>
      </c>
      <c r="J153" s="36" t="n">
        <f aca="false">Inputs!$C$9</f>
        <v>0.15</v>
      </c>
      <c r="K153" s="89" t="n">
        <f aca="false">IRR(W153:AG153,0.1)</f>
        <v>0.0507668430112084</v>
      </c>
      <c r="L153" s="45" t="n">
        <f aca="false">W153+NPV($J153,X153:AG153)</f>
        <v>-6153.12508858347</v>
      </c>
      <c r="M153" s="45" t="n">
        <f aca="false">SUM(BF153,BV153,CL153,DB153,DR153,EH153,EX153,FN153,GD153,GT153)</f>
        <v>26612.0556484256</v>
      </c>
      <c r="N153" s="43" t="n">
        <f aca="false">IF($D153*SUM(Inputs!$C$13:$L$13)=0,0,M153/($D153*SUM(Inputs!$C$13:$L$13)))</f>
        <v>1.33060278242128</v>
      </c>
      <c r="O153" s="42" t="n">
        <f aca="false">$D153*$E153*COLUMNS(Inputs!$C$13:$L$13)</f>
        <v>2700</v>
      </c>
      <c r="P153" s="45" t="n">
        <f aca="false">SUM(BG153,BW153,CM153,DC153,DS153,EI153,EY153,FO153,GE153,GU153)</f>
        <v>1166.83334972217</v>
      </c>
      <c r="Q153" s="42" t="n">
        <f aca="false">PV($J153,COLUMNS(Inputs!$C$13:$L$13),-$D153*$E153,0,1)</f>
        <v>1558.32765832774</v>
      </c>
      <c r="R153" s="45" t="n">
        <f aca="false">NPV($J153,BG153,BW153,CM153,DC153,DS153,EI153,EY153,FO153,GE153,GU153)</f>
        <v>288.423358644267</v>
      </c>
      <c r="S153" s="45" t="n">
        <f aca="false">Q153+R153</f>
        <v>1846.751016972</v>
      </c>
      <c r="T153" s="32" t="n">
        <f aca="false">IF(S153=0,0,Q153/S153)</f>
        <v>0.843821199504644</v>
      </c>
      <c r="U153" s="45" t="n">
        <f aca="false">ROUND(ABS(GK153)+ABS(SUM(AV153,BL153,CB153,CR153,DH153,DX153,EN153,FD153,FT153,GJ153)-M153-P153)+ABS(S153-(AH153+NPV($J153,AI153:AR153))),6)</f>
        <v>0</v>
      </c>
      <c r="W153" s="133" t="n">
        <f aca="false">-$D153*Inputs!$C$13</f>
        <v>-4000</v>
      </c>
      <c r="X153" s="133" t="n">
        <f aca="false">BF153-$D153*Inputs!$D$13</f>
        <v>-4000</v>
      </c>
      <c r="Y153" s="133" t="n">
        <f aca="false">BV153-$D153*Inputs!$E$13</f>
        <v>-4000</v>
      </c>
      <c r="Z153" s="133" t="n">
        <f aca="false">CL153-$D153*Inputs!$F$13</f>
        <v>-4000</v>
      </c>
      <c r="AA153" s="133" t="n">
        <f aca="false">DB153-$D153*Inputs!$G$13</f>
        <v>-4000</v>
      </c>
      <c r="AB153" s="133" t="n">
        <f aca="false">DR153-$D153*Inputs!$H$13</f>
        <v>4726.6030614528</v>
      </c>
      <c r="AC153" s="133" t="n">
        <f aca="false">EH153-$D153*Inputs!$I$13</f>
        <v>4025.46504509522</v>
      </c>
      <c r="AD153" s="133" t="n">
        <f aca="false">EX153-$D153*Inputs!$J$13</f>
        <v>3419.68179896227</v>
      </c>
      <c r="AE153" s="133" t="n">
        <f aca="false">FN153-$D153*Inputs!$K$13</f>
        <v>2896.2850743034</v>
      </c>
      <c r="AF153" s="133" t="n">
        <f aca="false">GD153-$D153*Inputs!$L$13</f>
        <v>2444.07030419814</v>
      </c>
      <c r="AG153" s="84" t="n">
        <f aca="false">GT153</f>
        <v>9099.95036441379</v>
      </c>
      <c r="AH153" s="84" t="n">
        <f aca="false">$D153*$E153</f>
        <v>270</v>
      </c>
      <c r="AI153" s="84" t="n">
        <f aca="false">BG153+$D153*$E153</f>
        <v>270</v>
      </c>
      <c r="AJ153" s="84" t="n">
        <f aca="false">BW153+$D153*$E153</f>
        <v>270</v>
      </c>
      <c r="AK153" s="84" t="n">
        <f aca="false">CM153+$D153*$E153</f>
        <v>270</v>
      </c>
      <c r="AL153" s="84" t="n">
        <f aca="false">DC153+$D153*$E153</f>
        <v>270</v>
      </c>
      <c r="AM153" s="84" t="n">
        <f aca="false">DS153+$D153*$E153</f>
        <v>270</v>
      </c>
      <c r="AN153" s="84" t="n">
        <f aca="false">EI153+$D153*$E153</f>
        <v>270</v>
      </c>
      <c r="AO153" s="84" t="n">
        <f aca="false">EY153+$D153*$E153</f>
        <v>270</v>
      </c>
      <c r="AP153" s="84" t="n">
        <f aca="false">FO153+$D153*$E153</f>
        <v>270</v>
      </c>
      <c r="AQ153" s="84" t="n">
        <f aca="false">GE153+$D153*$E153</f>
        <v>270</v>
      </c>
      <c r="AR153" s="84" t="n">
        <f aca="false">GU153</f>
        <v>1166.83334972217</v>
      </c>
      <c r="AT153" s="133" t="n">
        <f aca="false">$D153*Inputs!$C$13-$D153*$E153</f>
        <v>3730</v>
      </c>
      <c r="AU153" s="84" t="n">
        <f aca="false">AT153*(1+$I153)</f>
        <v>4028.4</v>
      </c>
      <c r="AV153" s="133" t="n">
        <f aca="false">AU153*Inputs!$C$14</f>
        <v>0</v>
      </c>
      <c r="AW153" s="84" t="n">
        <f aca="false">AU153-AV153</f>
        <v>4028.4</v>
      </c>
      <c r="AX153" s="133" t="n">
        <f aca="false">$D153*Inputs!$C$13</f>
        <v>4000</v>
      </c>
      <c r="AY153" s="84" t="n">
        <f aca="false">MIN(AV153,AX153)</f>
        <v>0</v>
      </c>
      <c r="AZ153" s="84" t="n">
        <f aca="false">AX153-AY153</f>
        <v>4000</v>
      </c>
      <c r="BA153" s="84" t="n">
        <f aca="false">$G153*AX153</f>
        <v>0</v>
      </c>
      <c r="BB153" s="84" t="n">
        <f aca="false">MIN(AV153-AY153,BA153)</f>
        <v>0</v>
      </c>
      <c r="BC153" s="84" t="n">
        <f aca="false">BA153-BB153</f>
        <v>0</v>
      </c>
      <c r="BD153" s="84" t="n">
        <f aca="false">IF($H153=1,MIN(AV153-AY153-BB153,MAX(0,$F153/(1-$F153)*BB153)),0)</f>
        <v>0</v>
      </c>
      <c r="BE153" s="84" t="n">
        <f aca="false">AV153-AY153-BB153-BD153</f>
        <v>0</v>
      </c>
      <c r="BF153" s="84" t="n">
        <f aca="false">AY153+BB153+(1-$F153)*BE153</f>
        <v>0</v>
      </c>
      <c r="BG153" s="84" t="n">
        <f aca="false">BD153+$F153*BE153</f>
        <v>0</v>
      </c>
      <c r="BH153" s="84" t="n">
        <f aca="false">BB153+(1-$F153)*BE153</f>
        <v>0</v>
      </c>
      <c r="BI153" s="84" t="n">
        <f aca="false">BG153</f>
        <v>0</v>
      </c>
      <c r="BJ153" s="133" t="n">
        <f aca="false">AW153+$D153*Inputs!$D$13-$D153*$E153</f>
        <v>7758.4</v>
      </c>
      <c r="BK153" s="84" t="n">
        <f aca="false">BJ153*(1+$I153)</f>
        <v>8379.072</v>
      </c>
      <c r="BL153" s="133" t="n">
        <f aca="false">BK153*Inputs!$D$14</f>
        <v>0</v>
      </c>
      <c r="BM153" s="84" t="n">
        <f aca="false">BK153-BL153</f>
        <v>8379.072</v>
      </c>
      <c r="BN153" s="133" t="n">
        <f aca="false">AZ153+$D153*Inputs!$D$13</f>
        <v>8000</v>
      </c>
      <c r="BO153" s="84" t="n">
        <f aca="false">MIN(BL153,BN153)</f>
        <v>0</v>
      </c>
      <c r="BP153" s="84" t="n">
        <f aca="false">BN153-BO153</f>
        <v>8000</v>
      </c>
      <c r="BQ153" s="84" t="n">
        <f aca="false">BC153+$G153*(BN153+BC153)</f>
        <v>0</v>
      </c>
      <c r="BR153" s="84" t="n">
        <f aca="false">MIN(BL153-BO153,BQ153)</f>
        <v>0</v>
      </c>
      <c r="BS153" s="84" t="n">
        <f aca="false">BQ153-BR153</f>
        <v>0</v>
      </c>
      <c r="BT153" s="84" t="n">
        <f aca="false">IF($H153=1,MIN(BL153-BO153-BR153,MAX(0,$F153/(1-$F153)*(BH153+BR153)-BI153)),0)</f>
        <v>0</v>
      </c>
      <c r="BU153" s="84" t="n">
        <f aca="false">BL153-BO153-BR153-BT153</f>
        <v>0</v>
      </c>
      <c r="BV153" s="84" t="n">
        <f aca="false">BO153+BR153+(1-$F153)*BU153</f>
        <v>0</v>
      </c>
      <c r="BW153" s="84" t="n">
        <f aca="false">BT153+$F153*BU153</f>
        <v>0</v>
      </c>
      <c r="BX153" s="84" t="n">
        <f aca="false">BH153+BR153+(1-$F153)*BU153</f>
        <v>0</v>
      </c>
      <c r="BY153" s="84" t="n">
        <f aca="false">BI153+BW153</f>
        <v>0</v>
      </c>
      <c r="BZ153" s="133" t="n">
        <f aca="false">BM153+$D153*Inputs!$E$13-$D153*$E153</f>
        <v>12109.072</v>
      </c>
      <c r="CA153" s="84" t="n">
        <f aca="false">BZ153*(1+$I153)</f>
        <v>13077.79776</v>
      </c>
      <c r="CB153" s="133" t="n">
        <f aca="false">CA153*Inputs!$E$14</f>
        <v>0</v>
      </c>
      <c r="CC153" s="84" t="n">
        <f aca="false">CA153-CB153</f>
        <v>13077.79776</v>
      </c>
      <c r="CD153" s="133" t="n">
        <f aca="false">BP153+$D153*Inputs!$E$13</f>
        <v>12000</v>
      </c>
      <c r="CE153" s="84" t="n">
        <f aca="false">MIN(CB153,CD153)</f>
        <v>0</v>
      </c>
      <c r="CF153" s="84" t="n">
        <f aca="false">CD153-CE153</f>
        <v>12000</v>
      </c>
      <c r="CG153" s="84" t="n">
        <f aca="false">BS153+$G153*(CD153+BS153)</f>
        <v>0</v>
      </c>
      <c r="CH153" s="84" t="n">
        <f aca="false">MIN(CB153-CE153,CG153)</f>
        <v>0</v>
      </c>
      <c r="CI153" s="84" t="n">
        <f aca="false">CG153-CH153</f>
        <v>0</v>
      </c>
      <c r="CJ153" s="84" t="n">
        <f aca="false">IF($H153=1,MIN(CB153-CE153-CH153,MAX(0,$F153/(1-$F153)*(BX153+CH153)-BY153)),0)</f>
        <v>0</v>
      </c>
      <c r="CK153" s="84" t="n">
        <f aca="false">CB153-CE153-CH153-CJ153</f>
        <v>0</v>
      </c>
      <c r="CL153" s="84" t="n">
        <f aca="false">CE153+CH153+(1-$F153)*CK153</f>
        <v>0</v>
      </c>
      <c r="CM153" s="84" t="n">
        <f aca="false">CJ153+$F153*CK153</f>
        <v>0</v>
      </c>
      <c r="CN153" s="84" t="n">
        <f aca="false">BX153+CH153+(1-$F153)*CK153</f>
        <v>0</v>
      </c>
      <c r="CO153" s="84" t="n">
        <f aca="false">BY153+CM153</f>
        <v>0</v>
      </c>
      <c r="CP153" s="133" t="n">
        <f aca="false">CC153+$D153*Inputs!$F$13-$D153*$E153</f>
        <v>16807.79776</v>
      </c>
      <c r="CQ153" s="84" t="n">
        <f aca="false">CP153*(1+$I153)</f>
        <v>18152.4215808</v>
      </c>
      <c r="CR153" s="133" t="n">
        <f aca="false">CQ153*Inputs!$F$14</f>
        <v>0</v>
      </c>
      <c r="CS153" s="84" t="n">
        <f aca="false">CQ153-CR153</f>
        <v>18152.4215808</v>
      </c>
      <c r="CT153" s="133" t="n">
        <f aca="false">CF153+$D153*Inputs!$F$13</f>
        <v>16000</v>
      </c>
      <c r="CU153" s="84" t="n">
        <f aca="false">MIN(CR153,CT153)</f>
        <v>0</v>
      </c>
      <c r="CV153" s="84" t="n">
        <f aca="false">CT153-CU153</f>
        <v>16000</v>
      </c>
      <c r="CW153" s="84" t="n">
        <f aca="false">CI153+$G153*(CT153+CI153)</f>
        <v>0</v>
      </c>
      <c r="CX153" s="84" t="n">
        <f aca="false">MIN(CR153-CU153,CW153)</f>
        <v>0</v>
      </c>
      <c r="CY153" s="84" t="n">
        <f aca="false">CW153-CX153</f>
        <v>0</v>
      </c>
      <c r="CZ153" s="84" t="n">
        <f aca="false">IF($H153=1,MIN(CR153-CU153-CX153,MAX(0,$F153/(1-$F153)*(CN153+CX153)-CO153)),0)</f>
        <v>0</v>
      </c>
      <c r="DA153" s="84" t="n">
        <f aca="false">CR153-CU153-CX153-CZ153</f>
        <v>0</v>
      </c>
      <c r="DB153" s="84" t="n">
        <f aca="false">CU153+CX153+(1-$F153)*DA153</f>
        <v>0</v>
      </c>
      <c r="DC153" s="84" t="n">
        <f aca="false">CZ153+$F153*DA153</f>
        <v>0</v>
      </c>
      <c r="DD153" s="84" t="n">
        <f aca="false">CN153+CX153+(1-$F153)*DA153</f>
        <v>0</v>
      </c>
      <c r="DE153" s="84" t="n">
        <f aca="false">CO153+DC153</f>
        <v>0</v>
      </c>
      <c r="DF153" s="133" t="n">
        <f aca="false">CS153+$D153*Inputs!$G$13-$D153*$E153</f>
        <v>21882.4215808</v>
      </c>
      <c r="DG153" s="84" t="n">
        <f aca="false">DF153*(1+$I153)</f>
        <v>23633.015307264</v>
      </c>
      <c r="DH153" s="133" t="n">
        <f aca="false">DG153*Inputs!$G$14</f>
        <v>4726.6030614528</v>
      </c>
      <c r="DI153" s="84" t="n">
        <f aca="false">DG153-DH153</f>
        <v>18906.4122458112</v>
      </c>
      <c r="DJ153" s="133" t="n">
        <f aca="false">CV153+$D153*Inputs!$G$13</f>
        <v>20000</v>
      </c>
      <c r="DK153" s="84" t="n">
        <f aca="false">MIN(DH153,DJ153)</f>
        <v>4726.6030614528</v>
      </c>
      <c r="DL153" s="84" t="n">
        <f aca="false">DJ153-DK153</f>
        <v>15273.3969385472</v>
      </c>
      <c r="DM153" s="84" t="n">
        <f aca="false">CY153+$G153*(DJ153+CY153)</f>
        <v>0</v>
      </c>
      <c r="DN153" s="84" t="n">
        <f aca="false">MIN(DH153-DK153,DM153)</f>
        <v>0</v>
      </c>
      <c r="DO153" s="84" t="n">
        <f aca="false">DM153-DN153</f>
        <v>0</v>
      </c>
      <c r="DP153" s="84" t="n">
        <f aca="false">IF($H153=1,MIN(DH153-DK153-DN153,MAX(0,$F153/(1-$F153)*(DD153+DN153)-DE153)),0)</f>
        <v>0</v>
      </c>
      <c r="DQ153" s="84" t="n">
        <f aca="false">DH153-DK153-DN153-DP153</f>
        <v>0</v>
      </c>
      <c r="DR153" s="84" t="n">
        <f aca="false">DK153+DN153+(1-$F153)*DQ153</f>
        <v>4726.6030614528</v>
      </c>
      <c r="DS153" s="84" t="n">
        <f aca="false">DP153+$F153*DQ153</f>
        <v>0</v>
      </c>
      <c r="DT153" s="84" t="n">
        <f aca="false">DD153+DN153+(1-$F153)*DQ153</f>
        <v>0</v>
      </c>
      <c r="DU153" s="84" t="n">
        <f aca="false">DE153+DS153</f>
        <v>0</v>
      </c>
      <c r="DV153" s="133" t="n">
        <f aca="false">DI153+$D153*Inputs!$H$13-$D153*$E153</f>
        <v>18636.4122458112</v>
      </c>
      <c r="DW153" s="84" t="n">
        <f aca="false">DV153*(1+$I153)</f>
        <v>20127.3252254761</v>
      </c>
      <c r="DX153" s="133" t="n">
        <f aca="false">DW153*Inputs!$H$14</f>
        <v>4025.46504509522</v>
      </c>
      <c r="DY153" s="84" t="n">
        <f aca="false">DW153-DX153</f>
        <v>16101.8601803809</v>
      </c>
      <c r="DZ153" s="133" t="n">
        <f aca="false">DL153+$D153*Inputs!$H$13</f>
        <v>15273.3969385472</v>
      </c>
      <c r="EA153" s="84" t="n">
        <f aca="false">MIN(DX153,DZ153)</f>
        <v>4025.46504509522</v>
      </c>
      <c r="EB153" s="84" t="n">
        <f aca="false">DZ153-EA153</f>
        <v>11247.931893452</v>
      </c>
      <c r="EC153" s="84" t="n">
        <f aca="false">DO153+$G153*(DZ153+DO153)</f>
        <v>0</v>
      </c>
      <c r="ED153" s="84" t="n">
        <f aca="false">MIN(DX153-EA153,EC153)</f>
        <v>0</v>
      </c>
      <c r="EE153" s="84" t="n">
        <f aca="false">EC153-ED153</f>
        <v>0</v>
      </c>
      <c r="EF153" s="84" t="n">
        <f aca="false">IF($H153=1,MIN(DX153-EA153-ED153,MAX(0,$F153/(1-$F153)*(DT153+ED153)-DU153)),0)</f>
        <v>0</v>
      </c>
      <c r="EG153" s="84" t="n">
        <f aca="false">DX153-EA153-ED153-EF153</f>
        <v>0</v>
      </c>
      <c r="EH153" s="84" t="n">
        <f aca="false">EA153+ED153+(1-$F153)*EG153</f>
        <v>4025.46504509522</v>
      </c>
      <c r="EI153" s="84" t="n">
        <f aca="false">EF153+$F153*EG153</f>
        <v>0</v>
      </c>
      <c r="EJ153" s="84" t="n">
        <f aca="false">DT153+ED153+(1-$F153)*EG153</f>
        <v>0</v>
      </c>
      <c r="EK153" s="84" t="n">
        <f aca="false">DU153+EI153</f>
        <v>0</v>
      </c>
      <c r="EL153" s="133" t="n">
        <f aca="false">DY153+$D153*Inputs!$I$13-$D153*$E153</f>
        <v>15831.8601803809</v>
      </c>
      <c r="EM153" s="84" t="n">
        <f aca="false">EL153*(1+$I153)</f>
        <v>17098.4089948114</v>
      </c>
      <c r="EN153" s="133" t="n">
        <f aca="false">EM153*Inputs!$I$14</f>
        <v>3419.68179896227</v>
      </c>
      <c r="EO153" s="84" t="n">
        <f aca="false">EM153-EN153</f>
        <v>13678.7271958491</v>
      </c>
      <c r="EP153" s="133" t="n">
        <f aca="false">EB153+$D153*Inputs!$I$13</f>
        <v>11247.931893452</v>
      </c>
      <c r="EQ153" s="84" t="n">
        <f aca="false">MIN(EN153,EP153)</f>
        <v>3419.68179896227</v>
      </c>
      <c r="ER153" s="84" t="n">
        <f aca="false">EP153-EQ153</f>
        <v>7828.25009448971</v>
      </c>
      <c r="ES153" s="84" t="n">
        <f aca="false">EE153+$G153*(EP153+EE153)</f>
        <v>0</v>
      </c>
      <c r="ET153" s="84" t="n">
        <f aca="false">MIN(EN153-EQ153,ES153)</f>
        <v>0</v>
      </c>
      <c r="EU153" s="84" t="n">
        <f aca="false">ES153-ET153</f>
        <v>0</v>
      </c>
      <c r="EV153" s="84" t="n">
        <f aca="false">IF($H153=1,MIN(EN153-EQ153-ET153,MAX(0,$F153/(1-$F153)*(EJ153+ET153)-EK153)),0)</f>
        <v>0</v>
      </c>
      <c r="EW153" s="84" t="n">
        <f aca="false">EN153-EQ153-ET153-EV153</f>
        <v>0</v>
      </c>
      <c r="EX153" s="84" t="n">
        <f aca="false">EQ153+ET153+(1-$F153)*EW153</f>
        <v>3419.68179896227</v>
      </c>
      <c r="EY153" s="84" t="n">
        <f aca="false">EV153+$F153*EW153</f>
        <v>0</v>
      </c>
      <c r="EZ153" s="84" t="n">
        <f aca="false">EJ153+ET153+(1-$F153)*EW153</f>
        <v>0</v>
      </c>
      <c r="FA153" s="84" t="n">
        <f aca="false">EK153+EY153</f>
        <v>0</v>
      </c>
      <c r="FB153" s="133" t="n">
        <f aca="false">EO153+$D153*Inputs!$J$13-$D153*$E153</f>
        <v>13408.7271958491</v>
      </c>
      <c r="FC153" s="84" t="n">
        <f aca="false">FB153*(1+$I153)</f>
        <v>14481.425371517</v>
      </c>
      <c r="FD153" s="133" t="n">
        <f aca="false">FC153*Inputs!$J$14</f>
        <v>2896.2850743034</v>
      </c>
      <c r="FE153" s="84" t="n">
        <f aca="false">FC153-FD153</f>
        <v>11585.1402972136</v>
      </c>
      <c r="FF153" s="133" t="n">
        <f aca="false">ER153+$D153*Inputs!$J$13</f>
        <v>7828.25009448971</v>
      </c>
      <c r="FG153" s="84" t="n">
        <f aca="false">MIN(FD153,FF153)</f>
        <v>2896.2850743034</v>
      </c>
      <c r="FH153" s="84" t="n">
        <f aca="false">FF153-FG153</f>
        <v>4931.96502018631</v>
      </c>
      <c r="FI153" s="84" t="n">
        <f aca="false">EU153+$G153*(FF153+EU153)</f>
        <v>0</v>
      </c>
      <c r="FJ153" s="84" t="n">
        <f aca="false">MIN(FD153-FG153,FI153)</f>
        <v>0</v>
      </c>
      <c r="FK153" s="84" t="n">
        <f aca="false">FI153-FJ153</f>
        <v>0</v>
      </c>
      <c r="FL153" s="84" t="n">
        <f aca="false">IF($H153=1,MIN(FD153-FG153-FJ153,MAX(0,$F153/(1-$F153)*(EZ153+FJ153)-FA153)),0)</f>
        <v>0</v>
      </c>
      <c r="FM153" s="84" t="n">
        <f aca="false">FD153-FG153-FJ153-FL153</f>
        <v>0</v>
      </c>
      <c r="FN153" s="84" t="n">
        <f aca="false">FG153+FJ153+(1-$F153)*FM153</f>
        <v>2896.2850743034</v>
      </c>
      <c r="FO153" s="84" t="n">
        <f aca="false">FL153+$F153*FM153</f>
        <v>0</v>
      </c>
      <c r="FP153" s="84" t="n">
        <f aca="false">EZ153+FJ153+(1-$F153)*FM153</f>
        <v>0</v>
      </c>
      <c r="FQ153" s="84" t="n">
        <f aca="false">FA153+FO153</f>
        <v>0</v>
      </c>
      <c r="FR153" s="133" t="n">
        <f aca="false">FE153+$D153*Inputs!$K$13-$D153*$E153</f>
        <v>11315.1402972136</v>
      </c>
      <c r="FS153" s="84" t="n">
        <f aca="false">FR153*(1+$I153)</f>
        <v>12220.3515209907</v>
      </c>
      <c r="FT153" s="133" t="n">
        <f aca="false">FS153*Inputs!$K$14</f>
        <v>2444.07030419814</v>
      </c>
      <c r="FU153" s="84" t="n">
        <f aca="false">FS153-FT153</f>
        <v>9776.28121679256</v>
      </c>
      <c r="FV153" s="133" t="n">
        <f aca="false">FH153+$D153*Inputs!$K$13</f>
        <v>4931.96502018631</v>
      </c>
      <c r="FW153" s="84" t="n">
        <f aca="false">MIN(FT153,FV153)</f>
        <v>2444.07030419814</v>
      </c>
      <c r="FX153" s="84" t="n">
        <f aca="false">FV153-FW153</f>
        <v>2487.89471598817</v>
      </c>
      <c r="FY153" s="84" t="n">
        <f aca="false">FK153+$G153*(FV153+FK153)</f>
        <v>0</v>
      </c>
      <c r="FZ153" s="84" t="n">
        <f aca="false">MIN(FT153-FW153,FY153)</f>
        <v>0</v>
      </c>
      <c r="GA153" s="84" t="n">
        <f aca="false">FY153-FZ153</f>
        <v>0</v>
      </c>
      <c r="GB153" s="84" t="n">
        <f aca="false">IF($H153=1,MIN(FT153-FW153-FZ153,MAX(0,$F153/(1-$F153)*(FP153+FZ153)-FQ153)),0)</f>
        <v>0</v>
      </c>
      <c r="GC153" s="84" t="n">
        <f aca="false">FT153-FW153-FZ153-GB153</f>
        <v>0</v>
      </c>
      <c r="GD153" s="84" t="n">
        <f aca="false">FW153+FZ153+(1-$F153)*GC153</f>
        <v>2444.07030419814</v>
      </c>
      <c r="GE153" s="84" t="n">
        <f aca="false">GB153+$F153*GC153</f>
        <v>0</v>
      </c>
      <c r="GF153" s="84" t="n">
        <f aca="false">FP153+FZ153+(1-$F153)*GC153</f>
        <v>0</v>
      </c>
      <c r="GG153" s="84" t="n">
        <f aca="false">FQ153+GE153</f>
        <v>0</v>
      </c>
      <c r="GH153" s="133" t="n">
        <f aca="false">FU153+$D153*Inputs!$L$13-$D153*$E153</f>
        <v>9506.28121679256</v>
      </c>
      <c r="GI153" s="84" t="n">
        <f aca="false">GH153*(1+$I153)</f>
        <v>10266.783714136</v>
      </c>
      <c r="GJ153" s="133" t="n">
        <f aca="false">GI153*Inputs!$L$14</f>
        <v>10266.783714136</v>
      </c>
      <c r="GK153" s="84" t="n">
        <f aca="false">GI153-GJ153</f>
        <v>0</v>
      </c>
      <c r="GL153" s="133" t="n">
        <f aca="false">FX153+$D153*Inputs!$L$13</f>
        <v>2487.89471598817</v>
      </c>
      <c r="GM153" s="84" t="n">
        <f aca="false">MIN(GJ153,GL153)</f>
        <v>2487.89471598817</v>
      </c>
      <c r="GN153" s="84" t="n">
        <f aca="false">GL153-GM153</f>
        <v>0</v>
      </c>
      <c r="GO153" s="84" t="n">
        <f aca="false">GA153+$G153*(GL153+GA153)</f>
        <v>0</v>
      </c>
      <c r="GP153" s="84" t="n">
        <f aca="false">MIN(GJ153-GM153,GO153)</f>
        <v>0</v>
      </c>
      <c r="GQ153" s="84" t="n">
        <f aca="false">GO153-GP153</f>
        <v>0</v>
      </c>
      <c r="GR153" s="84" t="n">
        <f aca="false">IF($H153=1,MIN(GJ153-GM153-GP153,MAX(0,$F153/(1-$F153)*(GF153+GP153)-GG153)),0)</f>
        <v>0</v>
      </c>
      <c r="GS153" s="84" t="n">
        <f aca="false">GJ153-GM153-GP153-GR153</f>
        <v>7778.88899814779</v>
      </c>
      <c r="GT153" s="84" t="n">
        <f aca="false">GM153+GP153+(1-$F153)*GS153</f>
        <v>9099.95036441379</v>
      </c>
      <c r="GU153" s="84" t="n">
        <f aca="false">GR153+$F153*GS153</f>
        <v>1166.83334972217</v>
      </c>
      <c r="GV153" s="84" t="n">
        <f aca="false">GF153+GP153+(1-$F153)*GS153</f>
        <v>6612.05564842562</v>
      </c>
      <c r="GW153" s="84" t="n">
        <f aca="false">GG153+GU153</f>
        <v>1166.83334972217</v>
      </c>
    </row>
    <row r="154" customFormat="false" ht="15" hidden="false" customHeight="false" outlineLevel="0" collapsed="false">
      <c r="A154" s="5" t="s">
        <v>641</v>
      </c>
      <c r="B154" s="5" t="s">
        <v>429</v>
      </c>
      <c r="C154" s="135" t="n">
        <v>9</v>
      </c>
      <c r="D154" s="47" t="n">
        <f aca="false">Inputs!$C$6</f>
        <v>20000</v>
      </c>
      <c r="E154" s="35" t="n">
        <f aca="false">Inputs!$C$19</f>
        <v>0.0135</v>
      </c>
      <c r="F154" s="36" t="n">
        <f aca="false">Inputs!$C$21</f>
        <v>0.15</v>
      </c>
      <c r="G154" s="30" t="n">
        <v>0</v>
      </c>
      <c r="H154" s="27" t="n">
        <v>0</v>
      </c>
      <c r="I154" s="132" t="n">
        <f aca="false">Inputs!$C$38+$C154*Inputs!$C$39</f>
        <v>0.09</v>
      </c>
      <c r="J154" s="36" t="n">
        <f aca="false">Inputs!$C$9</f>
        <v>0.15</v>
      </c>
      <c r="K154" s="89" t="n">
        <f aca="false">IRR(W154:AG154,0.1)</f>
        <v>0.0601322914734787</v>
      </c>
      <c r="L154" s="45" t="n">
        <f aca="false">W154+NPV($J154,X154:AG154)</f>
        <v>-5692.97904759651</v>
      </c>
      <c r="M154" s="45" t="n">
        <f aca="false">SUM(BF154,BV154,CL154,DB154,DR154,EH154,EX154,FN154,GD154,GT154)</f>
        <v>28041.2540126166</v>
      </c>
      <c r="N154" s="43" t="n">
        <f aca="false">IF($D154*SUM(Inputs!$C$13:$L$13)=0,0,M154/($D154*SUM(Inputs!$C$13:$L$13)))</f>
        <v>1.40206270063083</v>
      </c>
      <c r="O154" s="42" t="n">
        <f aca="false">$D154*$E154*COLUMNS(Inputs!$C$13:$L$13)</f>
        <v>2700</v>
      </c>
      <c r="P154" s="45" t="n">
        <f aca="false">SUM(BG154,BW154,CM154,DC154,DS154,EI154,EY154,FO154,GE154,GU154)</f>
        <v>1419.04482575587</v>
      </c>
      <c r="Q154" s="42" t="n">
        <f aca="false">PV($J154,COLUMNS(Inputs!$C$13:$L$13),-$D154*$E154,0,1)</f>
        <v>1558.32765832774</v>
      </c>
      <c r="R154" s="45" t="n">
        <f aca="false">NPV($J154,BG154,BW154,CM154,DC154,DS154,EI154,EY154,FO154,GE154,GU154)</f>
        <v>350.766178228219</v>
      </c>
      <c r="S154" s="45" t="n">
        <f aca="false">Q154+R154</f>
        <v>1909.09383655596</v>
      </c>
      <c r="T154" s="32" t="n">
        <f aca="false">IF(S154=0,0,Q154/S154)</f>
        <v>0.816265616958353</v>
      </c>
      <c r="U154" s="45" t="n">
        <f aca="false">ROUND(ABS(GK154)+ABS(SUM(AV154,BL154,CB154,CR154,DH154,DX154,EN154,FD154,FT154,GJ154)-M154-P154)+ABS(S154-(AH154+NPV($J154,AI154:AR154))),6)</f>
        <v>0</v>
      </c>
      <c r="W154" s="133" t="n">
        <f aca="false">-$D154*Inputs!$C$13</f>
        <v>-4000</v>
      </c>
      <c r="X154" s="133" t="n">
        <f aca="false">BF154-$D154*Inputs!$D$13</f>
        <v>-4000</v>
      </c>
      <c r="Y154" s="133" t="n">
        <f aca="false">BV154-$D154*Inputs!$E$13</f>
        <v>-4000</v>
      </c>
      <c r="Z154" s="133" t="n">
        <f aca="false">CL154-$D154*Inputs!$F$13</f>
        <v>-4000</v>
      </c>
      <c r="AA154" s="133" t="n">
        <f aca="false">DB154-$D154*Inputs!$G$13</f>
        <v>-4000</v>
      </c>
      <c r="AB154" s="133" t="n">
        <f aca="false">DR154-$D154*Inputs!$H$13</f>
        <v>4866.4075854154</v>
      </c>
      <c r="AC154" s="133" t="n">
        <f aca="false">EH154-$D154*Inputs!$I$13</f>
        <v>4184.64741448223</v>
      </c>
      <c r="AD154" s="133" t="n">
        <f aca="false">EX154-$D154*Inputs!$J$13</f>
        <v>3590.15254542851</v>
      </c>
      <c r="AE154" s="133" t="n">
        <f aca="false">FN154-$D154*Inputs!$K$13</f>
        <v>3071.75301961366</v>
      </c>
      <c r="AF154" s="133" t="n">
        <f aca="false">GD154-$D154*Inputs!$L$13</f>
        <v>2619.70863310311</v>
      </c>
      <c r="AG154" s="84" t="n">
        <f aca="false">GT154</f>
        <v>9708.58481457369</v>
      </c>
      <c r="AH154" s="84" t="n">
        <f aca="false">$D154*$E154</f>
        <v>270</v>
      </c>
      <c r="AI154" s="84" t="n">
        <f aca="false">BG154+$D154*$E154</f>
        <v>270</v>
      </c>
      <c r="AJ154" s="84" t="n">
        <f aca="false">BW154+$D154*$E154</f>
        <v>270</v>
      </c>
      <c r="AK154" s="84" t="n">
        <f aca="false">CM154+$D154*$E154</f>
        <v>270</v>
      </c>
      <c r="AL154" s="84" t="n">
        <f aca="false">DC154+$D154*$E154</f>
        <v>270</v>
      </c>
      <c r="AM154" s="84" t="n">
        <f aca="false">DS154+$D154*$E154</f>
        <v>270</v>
      </c>
      <c r="AN154" s="84" t="n">
        <f aca="false">EI154+$D154*$E154</f>
        <v>270</v>
      </c>
      <c r="AO154" s="84" t="n">
        <f aca="false">EY154+$D154*$E154</f>
        <v>270</v>
      </c>
      <c r="AP154" s="84" t="n">
        <f aca="false">FO154+$D154*$E154</f>
        <v>270</v>
      </c>
      <c r="AQ154" s="84" t="n">
        <f aca="false">GE154+$D154*$E154</f>
        <v>270</v>
      </c>
      <c r="AR154" s="84" t="n">
        <f aca="false">GU154</f>
        <v>1419.04482575587</v>
      </c>
      <c r="AT154" s="133" t="n">
        <f aca="false">$D154*Inputs!$C$13-$D154*$E154</f>
        <v>3730</v>
      </c>
      <c r="AU154" s="84" t="n">
        <f aca="false">AT154*(1+$I154)</f>
        <v>4065.7</v>
      </c>
      <c r="AV154" s="133" t="n">
        <f aca="false">AU154*Inputs!$C$14</f>
        <v>0</v>
      </c>
      <c r="AW154" s="84" t="n">
        <f aca="false">AU154-AV154</f>
        <v>4065.7</v>
      </c>
      <c r="AX154" s="133" t="n">
        <f aca="false">$D154*Inputs!$C$13</f>
        <v>4000</v>
      </c>
      <c r="AY154" s="84" t="n">
        <f aca="false">MIN(AV154,AX154)</f>
        <v>0</v>
      </c>
      <c r="AZ154" s="84" t="n">
        <f aca="false">AX154-AY154</f>
        <v>4000</v>
      </c>
      <c r="BA154" s="84" t="n">
        <f aca="false">$G154*AX154</f>
        <v>0</v>
      </c>
      <c r="BB154" s="84" t="n">
        <f aca="false">MIN(AV154-AY154,BA154)</f>
        <v>0</v>
      </c>
      <c r="BC154" s="84" t="n">
        <f aca="false">BA154-BB154</f>
        <v>0</v>
      </c>
      <c r="BD154" s="84" t="n">
        <f aca="false">IF($H154=1,MIN(AV154-AY154-BB154,MAX(0,$F154/(1-$F154)*BB154)),0)</f>
        <v>0</v>
      </c>
      <c r="BE154" s="84" t="n">
        <f aca="false">AV154-AY154-BB154-BD154</f>
        <v>0</v>
      </c>
      <c r="BF154" s="84" t="n">
        <f aca="false">AY154+BB154+(1-$F154)*BE154</f>
        <v>0</v>
      </c>
      <c r="BG154" s="84" t="n">
        <f aca="false">BD154+$F154*BE154</f>
        <v>0</v>
      </c>
      <c r="BH154" s="84" t="n">
        <f aca="false">BB154+(1-$F154)*BE154</f>
        <v>0</v>
      </c>
      <c r="BI154" s="84" t="n">
        <f aca="false">BG154</f>
        <v>0</v>
      </c>
      <c r="BJ154" s="133" t="n">
        <f aca="false">AW154+$D154*Inputs!$D$13-$D154*$E154</f>
        <v>7795.7</v>
      </c>
      <c r="BK154" s="84" t="n">
        <f aca="false">BJ154*(1+$I154)</f>
        <v>8497.313</v>
      </c>
      <c r="BL154" s="133" t="n">
        <f aca="false">BK154*Inputs!$D$14</f>
        <v>0</v>
      </c>
      <c r="BM154" s="84" t="n">
        <f aca="false">BK154-BL154</f>
        <v>8497.313</v>
      </c>
      <c r="BN154" s="133" t="n">
        <f aca="false">AZ154+$D154*Inputs!$D$13</f>
        <v>8000</v>
      </c>
      <c r="BO154" s="84" t="n">
        <f aca="false">MIN(BL154,BN154)</f>
        <v>0</v>
      </c>
      <c r="BP154" s="84" t="n">
        <f aca="false">BN154-BO154</f>
        <v>8000</v>
      </c>
      <c r="BQ154" s="84" t="n">
        <f aca="false">BC154+$G154*(BN154+BC154)</f>
        <v>0</v>
      </c>
      <c r="BR154" s="84" t="n">
        <f aca="false">MIN(BL154-BO154,BQ154)</f>
        <v>0</v>
      </c>
      <c r="BS154" s="84" t="n">
        <f aca="false">BQ154-BR154</f>
        <v>0</v>
      </c>
      <c r="BT154" s="84" t="n">
        <f aca="false">IF($H154=1,MIN(BL154-BO154-BR154,MAX(0,$F154/(1-$F154)*(BH154+BR154)-BI154)),0)</f>
        <v>0</v>
      </c>
      <c r="BU154" s="84" t="n">
        <f aca="false">BL154-BO154-BR154-BT154</f>
        <v>0</v>
      </c>
      <c r="BV154" s="84" t="n">
        <f aca="false">BO154+BR154+(1-$F154)*BU154</f>
        <v>0</v>
      </c>
      <c r="BW154" s="84" t="n">
        <f aca="false">BT154+$F154*BU154</f>
        <v>0</v>
      </c>
      <c r="BX154" s="84" t="n">
        <f aca="false">BH154+BR154+(1-$F154)*BU154</f>
        <v>0</v>
      </c>
      <c r="BY154" s="84" t="n">
        <f aca="false">BI154+BW154</f>
        <v>0</v>
      </c>
      <c r="BZ154" s="133" t="n">
        <f aca="false">BM154+$D154*Inputs!$E$13-$D154*$E154</f>
        <v>12227.313</v>
      </c>
      <c r="CA154" s="84" t="n">
        <f aca="false">BZ154*(1+$I154)</f>
        <v>13327.77117</v>
      </c>
      <c r="CB154" s="133" t="n">
        <f aca="false">CA154*Inputs!$E$14</f>
        <v>0</v>
      </c>
      <c r="CC154" s="84" t="n">
        <f aca="false">CA154-CB154</f>
        <v>13327.77117</v>
      </c>
      <c r="CD154" s="133" t="n">
        <f aca="false">BP154+$D154*Inputs!$E$13</f>
        <v>12000</v>
      </c>
      <c r="CE154" s="84" t="n">
        <f aca="false">MIN(CB154,CD154)</f>
        <v>0</v>
      </c>
      <c r="CF154" s="84" t="n">
        <f aca="false">CD154-CE154</f>
        <v>12000</v>
      </c>
      <c r="CG154" s="84" t="n">
        <f aca="false">BS154+$G154*(CD154+BS154)</f>
        <v>0</v>
      </c>
      <c r="CH154" s="84" t="n">
        <f aca="false">MIN(CB154-CE154,CG154)</f>
        <v>0</v>
      </c>
      <c r="CI154" s="84" t="n">
        <f aca="false">CG154-CH154</f>
        <v>0</v>
      </c>
      <c r="CJ154" s="84" t="n">
        <f aca="false">IF($H154=1,MIN(CB154-CE154-CH154,MAX(0,$F154/(1-$F154)*(BX154+CH154)-BY154)),0)</f>
        <v>0</v>
      </c>
      <c r="CK154" s="84" t="n">
        <f aca="false">CB154-CE154-CH154-CJ154</f>
        <v>0</v>
      </c>
      <c r="CL154" s="84" t="n">
        <f aca="false">CE154+CH154+(1-$F154)*CK154</f>
        <v>0</v>
      </c>
      <c r="CM154" s="84" t="n">
        <f aca="false">CJ154+$F154*CK154</f>
        <v>0</v>
      </c>
      <c r="CN154" s="84" t="n">
        <f aca="false">BX154+CH154+(1-$F154)*CK154</f>
        <v>0</v>
      </c>
      <c r="CO154" s="84" t="n">
        <f aca="false">BY154+CM154</f>
        <v>0</v>
      </c>
      <c r="CP154" s="133" t="n">
        <f aca="false">CC154+$D154*Inputs!$F$13-$D154*$E154</f>
        <v>17057.77117</v>
      </c>
      <c r="CQ154" s="84" t="n">
        <f aca="false">CP154*(1+$I154)</f>
        <v>18592.9705753</v>
      </c>
      <c r="CR154" s="133" t="n">
        <f aca="false">CQ154*Inputs!$F$14</f>
        <v>0</v>
      </c>
      <c r="CS154" s="84" t="n">
        <f aca="false">CQ154-CR154</f>
        <v>18592.9705753</v>
      </c>
      <c r="CT154" s="133" t="n">
        <f aca="false">CF154+$D154*Inputs!$F$13</f>
        <v>16000</v>
      </c>
      <c r="CU154" s="84" t="n">
        <f aca="false">MIN(CR154,CT154)</f>
        <v>0</v>
      </c>
      <c r="CV154" s="84" t="n">
        <f aca="false">CT154-CU154</f>
        <v>16000</v>
      </c>
      <c r="CW154" s="84" t="n">
        <f aca="false">CI154+$G154*(CT154+CI154)</f>
        <v>0</v>
      </c>
      <c r="CX154" s="84" t="n">
        <f aca="false">MIN(CR154-CU154,CW154)</f>
        <v>0</v>
      </c>
      <c r="CY154" s="84" t="n">
        <f aca="false">CW154-CX154</f>
        <v>0</v>
      </c>
      <c r="CZ154" s="84" t="n">
        <f aca="false">IF($H154=1,MIN(CR154-CU154-CX154,MAX(0,$F154/(1-$F154)*(CN154+CX154)-CO154)),0)</f>
        <v>0</v>
      </c>
      <c r="DA154" s="84" t="n">
        <f aca="false">CR154-CU154-CX154-CZ154</f>
        <v>0</v>
      </c>
      <c r="DB154" s="84" t="n">
        <f aca="false">CU154+CX154+(1-$F154)*DA154</f>
        <v>0</v>
      </c>
      <c r="DC154" s="84" t="n">
        <f aca="false">CZ154+$F154*DA154</f>
        <v>0</v>
      </c>
      <c r="DD154" s="84" t="n">
        <f aca="false">CN154+CX154+(1-$F154)*DA154</f>
        <v>0</v>
      </c>
      <c r="DE154" s="84" t="n">
        <f aca="false">CO154+DC154</f>
        <v>0</v>
      </c>
      <c r="DF154" s="133" t="n">
        <f aca="false">CS154+$D154*Inputs!$G$13-$D154*$E154</f>
        <v>22322.9705753</v>
      </c>
      <c r="DG154" s="84" t="n">
        <f aca="false">DF154*(1+$I154)</f>
        <v>24332.037927077</v>
      </c>
      <c r="DH154" s="133" t="n">
        <f aca="false">DG154*Inputs!$G$14</f>
        <v>4866.4075854154</v>
      </c>
      <c r="DI154" s="84" t="n">
        <f aca="false">DG154-DH154</f>
        <v>19465.6303416616</v>
      </c>
      <c r="DJ154" s="133" t="n">
        <f aca="false">CV154+$D154*Inputs!$G$13</f>
        <v>20000</v>
      </c>
      <c r="DK154" s="84" t="n">
        <f aca="false">MIN(DH154,DJ154)</f>
        <v>4866.4075854154</v>
      </c>
      <c r="DL154" s="84" t="n">
        <f aca="false">DJ154-DK154</f>
        <v>15133.5924145846</v>
      </c>
      <c r="DM154" s="84" t="n">
        <f aca="false">CY154+$G154*(DJ154+CY154)</f>
        <v>0</v>
      </c>
      <c r="DN154" s="84" t="n">
        <f aca="false">MIN(DH154-DK154,DM154)</f>
        <v>0</v>
      </c>
      <c r="DO154" s="84" t="n">
        <f aca="false">DM154-DN154</f>
        <v>0</v>
      </c>
      <c r="DP154" s="84" t="n">
        <f aca="false">IF($H154=1,MIN(DH154-DK154-DN154,MAX(0,$F154/(1-$F154)*(DD154+DN154)-DE154)),0)</f>
        <v>0</v>
      </c>
      <c r="DQ154" s="84" t="n">
        <f aca="false">DH154-DK154-DN154-DP154</f>
        <v>0</v>
      </c>
      <c r="DR154" s="84" t="n">
        <f aca="false">DK154+DN154+(1-$F154)*DQ154</f>
        <v>4866.4075854154</v>
      </c>
      <c r="DS154" s="84" t="n">
        <f aca="false">DP154+$F154*DQ154</f>
        <v>0</v>
      </c>
      <c r="DT154" s="84" t="n">
        <f aca="false">DD154+DN154+(1-$F154)*DQ154</f>
        <v>0</v>
      </c>
      <c r="DU154" s="84" t="n">
        <f aca="false">DE154+DS154</f>
        <v>0</v>
      </c>
      <c r="DV154" s="133" t="n">
        <f aca="false">DI154+$D154*Inputs!$H$13-$D154*$E154</f>
        <v>19195.6303416616</v>
      </c>
      <c r="DW154" s="84" t="n">
        <f aca="false">DV154*(1+$I154)</f>
        <v>20923.2370724112</v>
      </c>
      <c r="DX154" s="133" t="n">
        <f aca="false">DW154*Inputs!$H$14</f>
        <v>4184.64741448223</v>
      </c>
      <c r="DY154" s="84" t="n">
        <f aca="false">DW154-DX154</f>
        <v>16738.5896579289</v>
      </c>
      <c r="DZ154" s="133" t="n">
        <f aca="false">DL154+$D154*Inputs!$H$13</f>
        <v>15133.5924145846</v>
      </c>
      <c r="EA154" s="84" t="n">
        <f aca="false">MIN(DX154,DZ154)</f>
        <v>4184.64741448223</v>
      </c>
      <c r="EB154" s="84" t="n">
        <f aca="false">DZ154-EA154</f>
        <v>10948.9450001024</v>
      </c>
      <c r="EC154" s="84" t="n">
        <f aca="false">DO154+$G154*(DZ154+DO154)</f>
        <v>0</v>
      </c>
      <c r="ED154" s="84" t="n">
        <f aca="false">MIN(DX154-EA154,EC154)</f>
        <v>0</v>
      </c>
      <c r="EE154" s="84" t="n">
        <f aca="false">EC154-ED154</f>
        <v>0</v>
      </c>
      <c r="EF154" s="84" t="n">
        <f aca="false">IF($H154=1,MIN(DX154-EA154-ED154,MAX(0,$F154/(1-$F154)*(DT154+ED154)-DU154)),0)</f>
        <v>0</v>
      </c>
      <c r="EG154" s="84" t="n">
        <f aca="false">DX154-EA154-ED154-EF154</f>
        <v>0</v>
      </c>
      <c r="EH154" s="84" t="n">
        <f aca="false">EA154+ED154+(1-$F154)*EG154</f>
        <v>4184.64741448223</v>
      </c>
      <c r="EI154" s="84" t="n">
        <f aca="false">EF154+$F154*EG154</f>
        <v>0</v>
      </c>
      <c r="EJ154" s="84" t="n">
        <f aca="false">DT154+ED154+(1-$F154)*EG154</f>
        <v>0</v>
      </c>
      <c r="EK154" s="84" t="n">
        <f aca="false">DU154+EI154</f>
        <v>0</v>
      </c>
      <c r="EL154" s="133" t="n">
        <f aca="false">DY154+$D154*Inputs!$I$13-$D154*$E154</f>
        <v>16468.5896579289</v>
      </c>
      <c r="EM154" s="84" t="n">
        <f aca="false">EL154*(1+$I154)</f>
        <v>17950.7627271425</v>
      </c>
      <c r="EN154" s="133" t="n">
        <f aca="false">EM154*Inputs!$I$14</f>
        <v>3590.15254542851</v>
      </c>
      <c r="EO154" s="84" t="n">
        <f aca="false">EM154-EN154</f>
        <v>14360.610181714</v>
      </c>
      <c r="EP154" s="133" t="n">
        <f aca="false">EB154+$D154*Inputs!$I$13</f>
        <v>10948.9450001024</v>
      </c>
      <c r="EQ154" s="84" t="n">
        <f aca="false">MIN(EN154,EP154)</f>
        <v>3590.15254542851</v>
      </c>
      <c r="ER154" s="84" t="n">
        <f aca="false">EP154-EQ154</f>
        <v>7358.79245467386</v>
      </c>
      <c r="ES154" s="84" t="n">
        <f aca="false">EE154+$G154*(EP154+EE154)</f>
        <v>0</v>
      </c>
      <c r="ET154" s="84" t="n">
        <f aca="false">MIN(EN154-EQ154,ES154)</f>
        <v>0</v>
      </c>
      <c r="EU154" s="84" t="n">
        <f aca="false">ES154-ET154</f>
        <v>0</v>
      </c>
      <c r="EV154" s="84" t="n">
        <f aca="false">IF($H154=1,MIN(EN154-EQ154-ET154,MAX(0,$F154/(1-$F154)*(EJ154+ET154)-EK154)),0)</f>
        <v>0</v>
      </c>
      <c r="EW154" s="84" t="n">
        <f aca="false">EN154-EQ154-ET154-EV154</f>
        <v>0</v>
      </c>
      <c r="EX154" s="84" t="n">
        <f aca="false">EQ154+ET154+(1-$F154)*EW154</f>
        <v>3590.15254542851</v>
      </c>
      <c r="EY154" s="84" t="n">
        <f aca="false">EV154+$F154*EW154</f>
        <v>0</v>
      </c>
      <c r="EZ154" s="84" t="n">
        <f aca="false">EJ154+ET154+(1-$F154)*EW154</f>
        <v>0</v>
      </c>
      <c r="FA154" s="84" t="n">
        <f aca="false">EK154+EY154</f>
        <v>0</v>
      </c>
      <c r="FB154" s="133" t="n">
        <f aca="false">EO154+$D154*Inputs!$J$13-$D154*$E154</f>
        <v>14090.610181714</v>
      </c>
      <c r="FC154" s="84" t="n">
        <f aca="false">FB154*(1+$I154)</f>
        <v>15358.7650980683</v>
      </c>
      <c r="FD154" s="133" t="n">
        <f aca="false">FC154*Inputs!$J$14</f>
        <v>3071.75301961366</v>
      </c>
      <c r="FE154" s="84" t="n">
        <f aca="false">FC154-FD154</f>
        <v>12287.0120784546</v>
      </c>
      <c r="FF154" s="133" t="n">
        <f aca="false">ER154+$D154*Inputs!$J$13</f>
        <v>7358.79245467386</v>
      </c>
      <c r="FG154" s="84" t="n">
        <f aca="false">MIN(FD154,FF154)</f>
        <v>3071.75301961366</v>
      </c>
      <c r="FH154" s="84" t="n">
        <f aca="false">FF154-FG154</f>
        <v>4287.03943506021</v>
      </c>
      <c r="FI154" s="84" t="n">
        <f aca="false">EU154+$G154*(FF154+EU154)</f>
        <v>0</v>
      </c>
      <c r="FJ154" s="84" t="n">
        <f aca="false">MIN(FD154-FG154,FI154)</f>
        <v>0</v>
      </c>
      <c r="FK154" s="84" t="n">
        <f aca="false">FI154-FJ154</f>
        <v>0</v>
      </c>
      <c r="FL154" s="84" t="n">
        <f aca="false">IF($H154=1,MIN(FD154-FG154-FJ154,MAX(0,$F154/(1-$F154)*(EZ154+FJ154)-FA154)),0)</f>
        <v>0</v>
      </c>
      <c r="FM154" s="84" t="n">
        <f aca="false">FD154-FG154-FJ154-FL154</f>
        <v>0</v>
      </c>
      <c r="FN154" s="84" t="n">
        <f aca="false">FG154+FJ154+(1-$F154)*FM154</f>
        <v>3071.75301961366</v>
      </c>
      <c r="FO154" s="84" t="n">
        <f aca="false">FL154+$F154*FM154</f>
        <v>0</v>
      </c>
      <c r="FP154" s="84" t="n">
        <f aca="false">EZ154+FJ154+(1-$F154)*FM154</f>
        <v>0</v>
      </c>
      <c r="FQ154" s="84" t="n">
        <f aca="false">FA154+FO154</f>
        <v>0</v>
      </c>
      <c r="FR154" s="133" t="n">
        <f aca="false">FE154+$D154*Inputs!$K$13-$D154*$E154</f>
        <v>12017.0120784546</v>
      </c>
      <c r="FS154" s="84" t="n">
        <f aca="false">FR154*(1+$I154)</f>
        <v>13098.5431655155</v>
      </c>
      <c r="FT154" s="133" t="n">
        <f aca="false">FS154*Inputs!$K$14</f>
        <v>2619.70863310311</v>
      </c>
      <c r="FU154" s="84" t="n">
        <f aca="false">FS154-FT154</f>
        <v>10478.8345324124</v>
      </c>
      <c r="FV154" s="133" t="n">
        <f aca="false">FH154+$D154*Inputs!$K$13</f>
        <v>4287.03943506021</v>
      </c>
      <c r="FW154" s="84" t="n">
        <f aca="false">MIN(FT154,FV154)</f>
        <v>2619.70863310311</v>
      </c>
      <c r="FX154" s="84" t="n">
        <f aca="false">FV154-FW154</f>
        <v>1667.3308019571</v>
      </c>
      <c r="FY154" s="84" t="n">
        <f aca="false">FK154+$G154*(FV154+FK154)</f>
        <v>0</v>
      </c>
      <c r="FZ154" s="84" t="n">
        <f aca="false">MIN(FT154-FW154,FY154)</f>
        <v>0</v>
      </c>
      <c r="GA154" s="84" t="n">
        <f aca="false">FY154-FZ154</f>
        <v>0</v>
      </c>
      <c r="GB154" s="84" t="n">
        <f aca="false">IF($H154=1,MIN(FT154-FW154-FZ154,MAX(0,$F154/(1-$F154)*(FP154+FZ154)-FQ154)),0)</f>
        <v>0</v>
      </c>
      <c r="GC154" s="84" t="n">
        <f aca="false">FT154-FW154-FZ154-GB154</f>
        <v>0</v>
      </c>
      <c r="GD154" s="84" t="n">
        <f aca="false">FW154+FZ154+(1-$F154)*GC154</f>
        <v>2619.70863310311</v>
      </c>
      <c r="GE154" s="84" t="n">
        <f aca="false">GB154+$F154*GC154</f>
        <v>0</v>
      </c>
      <c r="GF154" s="84" t="n">
        <f aca="false">FP154+FZ154+(1-$F154)*GC154</f>
        <v>0</v>
      </c>
      <c r="GG154" s="84" t="n">
        <f aca="false">FQ154+GE154</f>
        <v>0</v>
      </c>
      <c r="GH154" s="133" t="n">
        <f aca="false">FU154+$D154*Inputs!$L$13-$D154*$E154</f>
        <v>10208.8345324124</v>
      </c>
      <c r="GI154" s="84" t="n">
        <f aca="false">GH154*(1+$I154)</f>
        <v>11127.6296403296</v>
      </c>
      <c r="GJ154" s="133" t="n">
        <f aca="false">GI154*Inputs!$L$14</f>
        <v>11127.6296403296</v>
      </c>
      <c r="GK154" s="84" t="n">
        <f aca="false">GI154-GJ154</f>
        <v>0</v>
      </c>
      <c r="GL154" s="133" t="n">
        <f aca="false">FX154+$D154*Inputs!$L$13</f>
        <v>1667.3308019571</v>
      </c>
      <c r="GM154" s="84" t="n">
        <f aca="false">MIN(GJ154,GL154)</f>
        <v>1667.3308019571</v>
      </c>
      <c r="GN154" s="84" t="n">
        <f aca="false">GL154-GM154</f>
        <v>0</v>
      </c>
      <c r="GO154" s="84" t="n">
        <f aca="false">GA154+$G154*(GL154+GA154)</f>
        <v>0</v>
      </c>
      <c r="GP154" s="84" t="n">
        <f aca="false">MIN(GJ154-GM154,GO154)</f>
        <v>0</v>
      </c>
      <c r="GQ154" s="84" t="n">
        <f aca="false">GO154-GP154</f>
        <v>0</v>
      </c>
      <c r="GR154" s="84" t="n">
        <f aca="false">IF($H154=1,MIN(GJ154-GM154-GP154,MAX(0,$F154/(1-$F154)*(GF154+GP154)-GG154)),0)</f>
        <v>0</v>
      </c>
      <c r="GS154" s="84" t="n">
        <f aca="false">GJ154-GM154-GP154-GR154</f>
        <v>9460.29883837246</v>
      </c>
      <c r="GT154" s="84" t="n">
        <f aca="false">GM154+GP154+(1-$F154)*GS154</f>
        <v>9708.58481457369</v>
      </c>
      <c r="GU154" s="84" t="n">
        <f aca="false">GR154+$F154*GS154</f>
        <v>1419.04482575587</v>
      </c>
      <c r="GV154" s="84" t="n">
        <f aca="false">GF154+GP154+(1-$F154)*GS154</f>
        <v>8041.25401261659</v>
      </c>
      <c r="GW154" s="84" t="n">
        <f aca="false">GG154+GU154</f>
        <v>1419.04482575587</v>
      </c>
    </row>
    <row r="155" customFormat="false" ht="15" hidden="false" customHeight="false" outlineLevel="0" collapsed="false">
      <c r="A155" s="5" t="s">
        <v>641</v>
      </c>
      <c r="B155" s="5" t="s">
        <v>429</v>
      </c>
      <c r="C155" s="135" t="n">
        <v>10</v>
      </c>
      <c r="D155" s="47" t="n">
        <f aca="false">Inputs!$C$6</f>
        <v>20000</v>
      </c>
      <c r="E155" s="35" t="n">
        <f aca="false">Inputs!$C$19</f>
        <v>0.0135</v>
      </c>
      <c r="F155" s="36" t="n">
        <f aca="false">Inputs!$C$21</f>
        <v>0.15</v>
      </c>
      <c r="G155" s="30" t="n">
        <v>0</v>
      </c>
      <c r="H155" s="27" t="n">
        <v>0</v>
      </c>
      <c r="I155" s="132" t="n">
        <f aca="false">Inputs!$C$38+$C155*Inputs!$C$39</f>
        <v>0.1</v>
      </c>
      <c r="J155" s="36" t="n">
        <f aca="false">Inputs!$C$9</f>
        <v>0.15</v>
      </c>
      <c r="K155" s="89" t="n">
        <f aca="false">IRR(W155:AG155,0.1)</f>
        <v>0.069554885002583</v>
      </c>
      <c r="L155" s="45" t="n">
        <f aca="false">W155+NPV($J155,X155:AG155)</f>
        <v>-5208.1672419839</v>
      </c>
      <c r="M155" s="45" t="n">
        <f aca="false">SUM(BF155,BV155,CL155,DB155,DR155,EH155,EX155,FN155,GD155,GT155)</f>
        <v>29554.0856085977</v>
      </c>
      <c r="N155" s="43" t="n">
        <f aca="false">IF($D155*SUM(Inputs!$C$13:$L$13)=0,0,M155/($D155*SUM(Inputs!$C$13:$L$13)))</f>
        <v>1.47770428042989</v>
      </c>
      <c r="O155" s="42" t="n">
        <f aca="false">$D155*$E155*COLUMNS(Inputs!$C$13:$L$13)</f>
        <v>2700</v>
      </c>
      <c r="P155" s="45" t="n">
        <f aca="false">SUM(BG155,BW155,CM155,DC155,DS155,EI155,EY155,FO155,GE155,GU155)</f>
        <v>1686.0151073996</v>
      </c>
      <c r="Q155" s="42" t="n">
        <f aca="false">PV($J155,COLUMNS(Inputs!$C$13:$L$13),-$D155*$E155,0,1)</f>
        <v>1558.32765832774</v>
      </c>
      <c r="R155" s="45" t="n">
        <f aca="false">NPV($J155,BG155,BW155,CM155,DC155,DS155,EI155,EY155,FO155,GE155,GU155)</f>
        <v>416.757148839595</v>
      </c>
      <c r="S155" s="45" t="n">
        <f aca="false">Q155+R155</f>
        <v>1975.08480716733</v>
      </c>
      <c r="T155" s="32" t="n">
        <f aca="false">IF(S155=0,0,Q155/S155)</f>
        <v>0.788992782827737</v>
      </c>
      <c r="U155" s="45" t="n">
        <f aca="false">ROUND(ABS(GK155)+ABS(SUM(AV155,BL155,CB155,CR155,DH155,DX155,EN155,FD155,FT155,GJ155)-M155-P155)+ABS(S155-(AH155+NPV($J155,AI155:AR155))),6)</f>
        <v>0</v>
      </c>
      <c r="W155" s="133" t="n">
        <f aca="false">-$D155*Inputs!$C$13</f>
        <v>-4000</v>
      </c>
      <c r="X155" s="133" t="n">
        <f aca="false">BF155-$D155*Inputs!$D$13</f>
        <v>-4000</v>
      </c>
      <c r="Y155" s="133" t="n">
        <f aca="false">BV155-$D155*Inputs!$E$13</f>
        <v>-4000</v>
      </c>
      <c r="Z155" s="133" t="n">
        <f aca="false">CL155-$D155*Inputs!$F$13</f>
        <v>-4000</v>
      </c>
      <c r="AA155" s="133" t="n">
        <f aca="false">DB155-$D155*Inputs!$G$13</f>
        <v>-4000</v>
      </c>
      <c r="AB155" s="133" t="n">
        <f aca="false">DR155-$D155*Inputs!$H$13</f>
        <v>5009.84506</v>
      </c>
      <c r="AC155" s="133" t="n">
        <f aca="false">EH155-$D155*Inputs!$I$13</f>
        <v>4349.2636528</v>
      </c>
      <c r="AD155" s="133" t="n">
        <f aca="false">EX155-$D155*Inputs!$J$13</f>
        <v>3767.952014464</v>
      </c>
      <c r="AE155" s="133" t="n">
        <f aca="false">FN155-$D155*Inputs!$K$13</f>
        <v>3256.39777272832</v>
      </c>
      <c r="AF155" s="133" t="n">
        <f aca="false">GD155-$D155*Inputs!$L$13</f>
        <v>2806.23004000092</v>
      </c>
      <c r="AG155" s="84" t="n">
        <f aca="false">GT155</f>
        <v>10364.3970686045</v>
      </c>
      <c r="AH155" s="84" t="n">
        <f aca="false">$D155*$E155</f>
        <v>270</v>
      </c>
      <c r="AI155" s="84" t="n">
        <f aca="false">BG155+$D155*$E155</f>
        <v>270</v>
      </c>
      <c r="AJ155" s="84" t="n">
        <f aca="false">BW155+$D155*$E155</f>
        <v>270</v>
      </c>
      <c r="AK155" s="84" t="n">
        <f aca="false">CM155+$D155*$E155</f>
        <v>270</v>
      </c>
      <c r="AL155" s="84" t="n">
        <f aca="false">DC155+$D155*$E155</f>
        <v>270</v>
      </c>
      <c r="AM155" s="84" t="n">
        <f aca="false">DS155+$D155*$E155</f>
        <v>270</v>
      </c>
      <c r="AN155" s="84" t="n">
        <f aca="false">EI155+$D155*$E155</f>
        <v>270</v>
      </c>
      <c r="AO155" s="84" t="n">
        <f aca="false">EY155+$D155*$E155</f>
        <v>270</v>
      </c>
      <c r="AP155" s="84" t="n">
        <f aca="false">FO155+$D155*$E155</f>
        <v>270</v>
      </c>
      <c r="AQ155" s="84" t="n">
        <f aca="false">GE155+$D155*$E155</f>
        <v>270</v>
      </c>
      <c r="AR155" s="84" t="n">
        <f aca="false">GU155</f>
        <v>1686.0151073996</v>
      </c>
      <c r="AT155" s="133" t="n">
        <f aca="false">$D155*Inputs!$C$13-$D155*$E155</f>
        <v>3730</v>
      </c>
      <c r="AU155" s="84" t="n">
        <f aca="false">AT155*(1+$I155)</f>
        <v>4103</v>
      </c>
      <c r="AV155" s="133" t="n">
        <f aca="false">AU155*Inputs!$C$14</f>
        <v>0</v>
      </c>
      <c r="AW155" s="84" t="n">
        <f aca="false">AU155-AV155</f>
        <v>4103</v>
      </c>
      <c r="AX155" s="133" t="n">
        <f aca="false">$D155*Inputs!$C$13</f>
        <v>4000</v>
      </c>
      <c r="AY155" s="84" t="n">
        <f aca="false">MIN(AV155,AX155)</f>
        <v>0</v>
      </c>
      <c r="AZ155" s="84" t="n">
        <f aca="false">AX155-AY155</f>
        <v>4000</v>
      </c>
      <c r="BA155" s="84" t="n">
        <f aca="false">$G155*AX155</f>
        <v>0</v>
      </c>
      <c r="BB155" s="84" t="n">
        <f aca="false">MIN(AV155-AY155,BA155)</f>
        <v>0</v>
      </c>
      <c r="BC155" s="84" t="n">
        <f aca="false">BA155-BB155</f>
        <v>0</v>
      </c>
      <c r="BD155" s="84" t="n">
        <f aca="false">IF($H155=1,MIN(AV155-AY155-BB155,MAX(0,$F155/(1-$F155)*BB155)),0)</f>
        <v>0</v>
      </c>
      <c r="BE155" s="84" t="n">
        <f aca="false">AV155-AY155-BB155-BD155</f>
        <v>0</v>
      </c>
      <c r="BF155" s="84" t="n">
        <f aca="false">AY155+BB155+(1-$F155)*BE155</f>
        <v>0</v>
      </c>
      <c r="BG155" s="84" t="n">
        <f aca="false">BD155+$F155*BE155</f>
        <v>0</v>
      </c>
      <c r="BH155" s="84" t="n">
        <f aca="false">BB155+(1-$F155)*BE155</f>
        <v>0</v>
      </c>
      <c r="BI155" s="84" t="n">
        <f aca="false">BG155</f>
        <v>0</v>
      </c>
      <c r="BJ155" s="133" t="n">
        <f aca="false">AW155+$D155*Inputs!$D$13-$D155*$E155</f>
        <v>7833</v>
      </c>
      <c r="BK155" s="84" t="n">
        <f aca="false">BJ155*(1+$I155)</f>
        <v>8616.3</v>
      </c>
      <c r="BL155" s="133" t="n">
        <f aca="false">BK155*Inputs!$D$14</f>
        <v>0</v>
      </c>
      <c r="BM155" s="84" t="n">
        <f aca="false">BK155-BL155</f>
        <v>8616.3</v>
      </c>
      <c r="BN155" s="133" t="n">
        <f aca="false">AZ155+$D155*Inputs!$D$13</f>
        <v>8000</v>
      </c>
      <c r="BO155" s="84" t="n">
        <f aca="false">MIN(BL155,BN155)</f>
        <v>0</v>
      </c>
      <c r="BP155" s="84" t="n">
        <f aca="false">BN155-BO155</f>
        <v>8000</v>
      </c>
      <c r="BQ155" s="84" t="n">
        <f aca="false">BC155+$G155*(BN155+BC155)</f>
        <v>0</v>
      </c>
      <c r="BR155" s="84" t="n">
        <f aca="false">MIN(BL155-BO155,BQ155)</f>
        <v>0</v>
      </c>
      <c r="BS155" s="84" t="n">
        <f aca="false">BQ155-BR155</f>
        <v>0</v>
      </c>
      <c r="BT155" s="84" t="n">
        <f aca="false">IF($H155=1,MIN(BL155-BO155-BR155,MAX(0,$F155/(1-$F155)*(BH155+BR155)-BI155)),0)</f>
        <v>0</v>
      </c>
      <c r="BU155" s="84" t="n">
        <f aca="false">BL155-BO155-BR155-BT155</f>
        <v>0</v>
      </c>
      <c r="BV155" s="84" t="n">
        <f aca="false">BO155+BR155+(1-$F155)*BU155</f>
        <v>0</v>
      </c>
      <c r="BW155" s="84" t="n">
        <f aca="false">BT155+$F155*BU155</f>
        <v>0</v>
      </c>
      <c r="BX155" s="84" t="n">
        <f aca="false">BH155+BR155+(1-$F155)*BU155</f>
        <v>0</v>
      </c>
      <c r="BY155" s="84" t="n">
        <f aca="false">BI155+BW155</f>
        <v>0</v>
      </c>
      <c r="BZ155" s="133" t="n">
        <f aca="false">BM155+$D155*Inputs!$E$13-$D155*$E155</f>
        <v>12346.3</v>
      </c>
      <c r="CA155" s="84" t="n">
        <f aca="false">BZ155*(1+$I155)</f>
        <v>13580.93</v>
      </c>
      <c r="CB155" s="133" t="n">
        <f aca="false">CA155*Inputs!$E$14</f>
        <v>0</v>
      </c>
      <c r="CC155" s="84" t="n">
        <f aca="false">CA155-CB155</f>
        <v>13580.93</v>
      </c>
      <c r="CD155" s="133" t="n">
        <f aca="false">BP155+$D155*Inputs!$E$13</f>
        <v>12000</v>
      </c>
      <c r="CE155" s="84" t="n">
        <f aca="false">MIN(CB155,CD155)</f>
        <v>0</v>
      </c>
      <c r="CF155" s="84" t="n">
        <f aca="false">CD155-CE155</f>
        <v>12000</v>
      </c>
      <c r="CG155" s="84" t="n">
        <f aca="false">BS155+$G155*(CD155+BS155)</f>
        <v>0</v>
      </c>
      <c r="CH155" s="84" t="n">
        <f aca="false">MIN(CB155-CE155,CG155)</f>
        <v>0</v>
      </c>
      <c r="CI155" s="84" t="n">
        <f aca="false">CG155-CH155</f>
        <v>0</v>
      </c>
      <c r="CJ155" s="84" t="n">
        <f aca="false">IF($H155=1,MIN(CB155-CE155-CH155,MAX(0,$F155/(1-$F155)*(BX155+CH155)-BY155)),0)</f>
        <v>0</v>
      </c>
      <c r="CK155" s="84" t="n">
        <f aca="false">CB155-CE155-CH155-CJ155</f>
        <v>0</v>
      </c>
      <c r="CL155" s="84" t="n">
        <f aca="false">CE155+CH155+(1-$F155)*CK155</f>
        <v>0</v>
      </c>
      <c r="CM155" s="84" t="n">
        <f aca="false">CJ155+$F155*CK155</f>
        <v>0</v>
      </c>
      <c r="CN155" s="84" t="n">
        <f aca="false">BX155+CH155+(1-$F155)*CK155</f>
        <v>0</v>
      </c>
      <c r="CO155" s="84" t="n">
        <f aca="false">BY155+CM155</f>
        <v>0</v>
      </c>
      <c r="CP155" s="133" t="n">
        <f aca="false">CC155+$D155*Inputs!$F$13-$D155*$E155</f>
        <v>17310.93</v>
      </c>
      <c r="CQ155" s="84" t="n">
        <f aca="false">CP155*(1+$I155)</f>
        <v>19042.023</v>
      </c>
      <c r="CR155" s="133" t="n">
        <f aca="false">CQ155*Inputs!$F$14</f>
        <v>0</v>
      </c>
      <c r="CS155" s="84" t="n">
        <f aca="false">CQ155-CR155</f>
        <v>19042.023</v>
      </c>
      <c r="CT155" s="133" t="n">
        <f aca="false">CF155+$D155*Inputs!$F$13</f>
        <v>16000</v>
      </c>
      <c r="CU155" s="84" t="n">
        <f aca="false">MIN(CR155,CT155)</f>
        <v>0</v>
      </c>
      <c r="CV155" s="84" t="n">
        <f aca="false">CT155-CU155</f>
        <v>16000</v>
      </c>
      <c r="CW155" s="84" t="n">
        <f aca="false">CI155+$G155*(CT155+CI155)</f>
        <v>0</v>
      </c>
      <c r="CX155" s="84" t="n">
        <f aca="false">MIN(CR155-CU155,CW155)</f>
        <v>0</v>
      </c>
      <c r="CY155" s="84" t="n">
        <f aca="false">CW155-CX155</f>
        <v>0</v>
      </c>
      <c r="CZ155" s="84" t="n">
        <f aca="false">IF($H155=1,MIN(CR155-CU155-CX155,MAX(0,$F155/(1-$F155)*(CN155+CX155)-CO155)),0)</f>
        <v>0</v>
      </c>
      <c r="DA155" s="84" t="n">
        <f aca="false">CR155-CU155-CX155-CZ155</f>
        <v>0</v>
      </c>
      <c r="DB155" s="84" t="n">
        <f aca="false">CU155+CX155+(1-$F155)*DA155</f>
        <v>0</v>
      </c>
      <c r="DC155" s="84" t="n">
        <f aca="false">CZ155+$F155*DA155</f>
        <v>0</v>
      </c>
      <c r="DD155" s="84" t="n">
        <f aca="false">CN155+CX155+(1-$F155)*DA155</f>
        <v>0</v>
      </c>
      <c r="DE155" s="84" t="n">
        <f aca="false">CO155+DC155</f>
        <v>0</v>
      </c>
      <c r="DF155" s="133" t="n">
        <f aca="false">CS155+$D155*Inputs!$G$13-$D155*$E155</f>
        <v>22772.023</v>
      </c>
      <c r="DG155" s="84" t="n">
        <f aca="false">DF155*(1+$I155)</f>
        <v>25049.2253</v>
      </c>
      <c r="DH155" s="133" t="n">
        <f aca="false">DG155*Inputs!$G$14</f>
        <v>5009.84506</v>
      </c>
      <c r="DI155" s="84" t="n">
        <f aca="false">DG155-DH155</f>
        <v>20039.38024</v>
      </c>
      <c r="DJ155" s="133" t="n">
        <f aca="false">CV155+$D155*Inputs!$G$13</f>
        <v>20000</v>
      </c>
      <c r="DK155" s="84" t="n">
        <f aca="false">MIN(DH155,DJ155)</f>
        <v>5009.84506</v>
      </c>
      <c r="DL155" s="84" t="n">
        <f aca="false">DJ155-DK155</f>
        <v>14990.15494</v>
      </c>
      <c r="DM155" s="84" t="n">
        <f aca="false">CY155+$G155*(DJ155+CY155)</f>
        <v>0</v>
      </c>
      <c r="DN155" s="84" t="n">
        <f aca="false">MIN(DH155-DK155,DM155)</f>
        <v>0</v>
      </c>
      <c r="DO155" s="84" t="n">
        <f aca="false">DM155-DN155</f>
        <v>0</v>
      </c>
      <c r="DP155" s="84" t="n">
        <f aca="false">IF($H155=1,MIN(DH155-DK155-DN155,MAX(0,$F155/(1-$F155)*(DD155+DN155)-DE155)),0)</f>
        <v>0</v>
      </c>
      <c r="DQ155" s="84" t="n">
        <f aca="false">DH155-DK155-DN155-DP155</f>
        <v>0</v>
      </c>
      <c r="DR155" s="84" t="n">
        <f aca="false">DK155+DN155+(1-$F155)*DQ155</f>
        <v>5009.84506</v>
      </c>
      <c r="DS155" s="84" t="n">
        <f aca="false">DP155+$F155*DQ155</f>
        <v>0</v>
      </c>
      <c r="DT155" s="84" t="n">
        <f aca="false">DD155+DN155+(1-$F155)*DQ155</f>
        <v>0</v>
      </c>
      <c r="DU155" s="84" t="n">
        <f aca="false">DE155+DS155</f>
        <v>0</v>
      </c>
      <c r="DV155" s="133" t="n">
        <f aca="false">DI155+$D155*Inputs!$H$13-$D155*$E155</f>
        <v>19769.38024</v>
      </c>
      <c r="DW155" s="84" t="n">
        <f aca="false">DV155*(1+$I155)</f>
        <v>21746.318264</v>
      </c>
      <c r="DX155" s="133" t="n">
        <f aca="false">DW155*Inputs!$H$14</f>
        <v>4349.2636528</v>
      </c>
      <c r="DY155" s="84" t="n">
        <f aca="false">DW155-DX155</f>
        <v>17397.0546112</v>
      </c>
      <c r="DZ155" s="133" t="n">
        <f aca="false">DL155+$D155*Inputs!$H$13</f>
        <v>14990.15494</v>
      </c>
      <c r="EA155" s="84" t="n">
        <f aca="false">MIN(DX155,DZ155)</f>
        <v>4349.2636528</v>
      </c>
      <c r="EB155" s="84" t="n">
        <f aca="false">DZ155-EA155</f>
        <v>10640.8912872</v>
      </c>
      <c r="EC155" s="84" t="n">
        <f aca="false">DO155+$G155*(DZ155+DO155)</f>
        <v>0</v>
      </c>
      <c r="ED155" s="84" t="n">
        <f aca="false">MIN(DX155-EA155,EC155)</f>
        <v>0</v>
      </c>
      <c r="EE155" s="84" t="n">
        <f aca="false">EC155-ED155</f>
        <v>0</v>
      </c>
      <c r="EF155" s="84" t="n">
        <f aca="false">IF($H155=1,MIN(DX155-EA155-ED155,MAX(0,$F155/(1-$F155)*(DT155+ED155)-DU155)),0)</f>
        <v>0</v>
      </c>
      <c r="EG155" s="84" t="n">
        <f aca="false">DX155-EA155-ED155-EF155</f>
        <v>0</v>
      </c>
      <c r="EH155" s="84" t="n">
        <f aca="false">EA155+ED155+(1-$F155)*EG155</f>
        <v>4349.2636528</v>
      </c>
      <c r="EI155" s="84" t="n">
        <f aca="false">EF155+$F155*EG155</f>
        <v>0</v>
      </c>
      <c r="EJ155" s="84" t="n">
        <f aca="false">DT155+ED155+(1-$F155)*EG155</f>
        <v>0</v>
      </c>
      <c r="EK155" s="84" t="n">
        <f aca="false">DU155+EI155</f>
        <v>0</v>
      </c>
      <c r="EL155" s="133" t="n">
        <f aca="false">DY155+$D155*Inputs!$I$13-$D155*$E155</f>
        <v>17127.0546112</v>
      </c>
      <c r="EM155" s="84" t="n">
        <f aca="false">EL155*(1+$I155)</f>
        <v>18839.76007232</v>
      </c>
      <c r="EN155" s="133" t="n">
        <f aca="false">EM155*Inputs!$I$14</f>
        <v>3767.952014464</v>
      </c>
      <c r="EO155" s="84" t="n">
        <f aca="false">EM155-EN155</f>
        <v>15071.808057856</v>
      </c>
      <c r="EP155" s="133" t="n">
        <f aca="false">EB155+$D155*Inputs!$I$13</f>
        <v>10640.8912872</v>
      </c>
      <c r="EQ155" s="84" t="n">
        <f aca="false">MIN(EN155,EP155)</f>
        <v>3767.952014464</v>
      </c>
      <c r="ER155" s="84" t="n">
        <f aca="false">EP155-EQ155</f>
        <v>6872.939272736</v>
      </c>
      <c r="ES155" s="84" t="n">
        <f aca="false">EE155+$G155*(EP155+EE155)</f>
        <v>0</v>
      </c>
      <c r="ET155" s="84" t="n">
        <f aca="false">MIN(EN155-EQ155,ES155)</f>
        <v>0</v>
      </c>
      <c r="EU155" s="84" t="n">
        <f aca="false">ES155-ET155</f>
        <v>0</v>
      </c>
      <c r="EV155" s="84" t="n">
        <f aca="false">IF($H155=1,MIN(EN155-EQ155-ET155,MAX(0,$F155/(1-$F155)*(EJ155+ET155)-EK155)),0)</f>
        <v>0</v>
      </c>
      <c r="EW155" s="84" t="n">
        <f aca="false">EN155-EQ155-ET155-EV155</f>
        <v>0</v>
      </c>
      <c r="EX155" s="84" t="n">
        <f aca="false">EQ155+ET155+(1-$F155)*EW155</f>
        <v>3767.952014464</v>
      </c>
      <c r="EY155" s="84" t="n">
        <f aca="false">EV155+$F155*EW155</f>
        <v>0</v>
      </c>
      <c r="EZ155" s="84" t="n">
        <f aca="false">EJ155+ET155+(1-$F155)*EW155</f>
        <v>0</v>
      </c>
      <c r="FA155" s="84" t="n">
        <f aca="false">EK155+EY155</f>
        <v>0</v>
      </c>
      <c r="FB155" s="133" t="n">
        <f aca="false">EO155+$D155*Inputs!$J$13-$D155*$E155</f>
        <v>14801.808057856</v>
      </c>
      <c r="FC155" s="84" t="n">
        <f aca="false">FB155*(1+$I155)</f>
        <v>16281.9888636416</v>
      </c>
      <c r="FD155" s="133" t="n">
        <f aca="false">FC155*Inputs!$J$14</f>
        <v>3256.39777272832</v>
      </c>
      <c r="FE155" s="84" t="n">
        <f aca="false">FC155-FD155</f>
        <v>13025.5910909133</v>
      </c>
      <c r="FF155" s="133" t="n">
        <f aca="false">ER155+$D155*Inputs!$J$13</f>
        <v>6872.939272736</v>
      </c>
      <c r="FG155" s="84" t="n">
        <f aca="false">MIN(FD155,FF155)</f>
        <v>3256.39777272832</v>
      </c>
      <c r="FH155" s="84" t="n">
        <f aca="false">FF155-FG155</f>
        <v>3616.54150000768</v>
      </c>
      <c r="FI155" s="84" t="n">
        <f aca="false">EU155+$G155*(FF155+EU155)</f>
        <v>0</v>
      </c>
      <c r="FJ155" s="84" t="n">
        <f aca="false">MIN(FD155-FG155,FI155)</f>
        <v>0</v>
      </c>
      <c r="FK155" s="84" t="n">
        <f aca="false">FI155-FJ155</f>
        <v>0</v>
      </c>
      <c r="FL155" s="84" t="n">
        <f aca="false">IF($H155=1,MIN(FD155-FG155-FJ155,MAX(0,$F155/(1-$F155)*(EZ155+FJ155)-FA155)),0)</f>
        <v>0</v>
      </c>
      <c r="FM155" s="84" t="n">
        <f aca="false">FD155-FG155-FJ155-FL155</f>
        <v>0</v>
      </c>
      <c r="FN155" s="84" t="n">
        <f aca="false">FG155+FJ155+(1-$F155)*FM155</f>
        <v>3256.39777272832</v>
      </c>
      <c r="FO155" s="84" t="n">
        <f aca="false">FL155+$F155*FM155</f>
        <v>0</v>
      </c>
      <c r="FP155" s="84" t="n">
        <f aca="false">EZ155+FJ155+(1-$F155)*FM155</f>
        <v>0</v>
      </c>
      <c r="FQ155" s="84" t="n">
        <f aca="false">FA155+FO155</f>
        <v>0</v>
      </c>
      <c r="FR155" s="133" t="n">
        <f aca="false">FE155+$D155*Inputs!$K$13-$D155*$E155</f>
        <v>12755.5910909133</v>
      </c>
      <c r="FS155" s="84" t="n">
        <f aca="false">FR155*(1+$I155)</f>
        <v>14031.1502000046</v>
      </c>
      <c r="FT155" s="133" t="n">
        <f aca="false">FS155*Inputs!$K$14</f>
        <v>2806.23004000092</v>
      </c>
      <c r="FU155" s="84" t="n">
        <f aca="false">FS155-FT155</f>
        <v>11224.9201600037</v>
      </c>
      <c r="FV155" s="133" t="n">
        <f aca="false">FH155+$D155*Inputs!$K$13</f>
        <v>3616.54150000768</v>
      </c>
      <c r="FW155" s="84" t="n">
        <f aca="false">MIN(FT155,FV155)</f>
        <v>2806.23004000092</v>
      </c>
      <c r="FX155" s="84" t="n">
        <f aca="false">FV155-FW155</f>
        <v>810.311460006753</v>
      </c>
      <c r="FY155" s="84" t="n">
        <f aca="false">FK155+$G155*(FV155+FK155)</f>
        <v>0</v>
      </c>
      <c r="FZ155" s="84" t="n">
        <f aca="false">MIN(FT155-FW155,FY155)</f>
        <v>0</v>
      </c>
      <c r="GA155" s="84" t="n">
        <f aca="false">FY155-FZ155</f>
        <v>0</v>
      </c>
      <c r="GB155" s="84" t="n">
        <f aca="false">IF($H155=1,MIN(FT155-FW155-FZ155,MAX(0,$F155/(1-$F155)*(FP155+FZ155)-FQ155)),0)</f>
        <v>0</v>
      </c>
      <c r="GC155" s="84" t="n">
        <f aca="false">FT155-FW155-FZ155-GB155</f>
        <v>0</v>
      </c>
      <c r="GD155" s="84" t="n">
        <f aca="false">FW155+FZ155+(1-$F155)*GC155</f>
        <v>2806.23004000092</v>
      </c>
      <c r="GE155" s="84" t="n">
        <f aca="false">GB155+$F155*GC155</f>
        <v>0</v>
      </c>
      <c r="GF155" s="84" t="n">
        <f aca="false">FP155+FZ155+(1-$F155)*GC155</f>
        <v>0</v>
      </c>
      <c r="GG155" s="84" t="n">
        <f aca="false">FQ155+GE155</f>
        <v>0</v>
      </c>
      <c r="GH155" s="133" t="n">
        <f aca="false">FU155+$D155*Inputs!$L$13-$D155*$E155</f>
        <v>10954.9201600037</v>
      </c>
      <c r="GI155" s="84" t="n">
        <f aca="false">GH155*(1+$I155)</f>
        <v>12050.4121760041</v>
      </c>
      <c r="GJ155" s="133" t="n">
        <f aca="false">GI155*Inputs!$L$14</f>
        <v>12050.4121760041</v>
      </c>
      <c r="GK155" s="84" t="n">
        <f aca="false">GI155-GJ155</f>
        <v>0</v>
      </c>
      <c r="GL155" s="133" t="n">
        <f aca="false">FX155+$D155*Inputs!$L$13</f>
        <v>810.311460006753</v>
      </c>
      <c r="GM155" s="84" t="n">
        <f aca="false">MIN(GJ155,GL155)</f>
        <v>810.311460006753</v>
      </c>
      <c r="GN155" s="84" t="n">
        <f aca="false">GL155-GM155</f>
        <v>0</v>
      </c>
      <c r="GO155" s="84" t="n">
        <f aca="false">GA155+$G155*(GL155+GA155)</f>
        <v>0</v>
      </c>
      <c r="GP155" s="84" t="n">
        <f aca="false">MIN(GJ155-GM155,GO155)</f>
        <v>0</v>
      </c>
      <c r="GQ155" s="84" t="n">
        <f aca="false">GO155-GP155</f>
        <v>0</v>
      </c>
      <c r="GR155" s="84" t="n">
        <f aca="false">IF($H155=1,MIN(GJ155-GM155-GP155,MAX(0,$F155/(1-$F155)*(GF155+GP155)-GG155)),0)</f>
        <v>0</v>
      </c>
      <c r="GS155" s="84" t="n">
        <f aca="false">GJ155-GM155-GP155-GR155</f>
        <v>11240.1007159973</v>
      </c>
      <c r="GT155" s="84" t="n">
        <f aca="false">GM155+GP155+(1-$F155)*GS155</f>
        <v>10364.3970686045</v>
      </c>
      <c r="GU155" s="84" t="n">
        <f aca="false">GR155+$F155*GS155</f>
        <v>1686.0151073996</v>
      </c>
      <c r="GV155" s="84" t="n">
        <f aca="false">GF155+GP155+(1-$F155)*GS155</f>
        <v>9554.08560859772</v>
      </c>
      <c r="GW155" s="84" t="n">
        <f aca="false">GG155+GU155</f>
        <v>1686.0151073996</v>
      </c>
    </row>
    <row r="156" customFormat="false" ht="15" hidden="false" customHeight="false" outlineLevel="0" collapsed="false">
      <c r="A156" s="5" t="s">
        <v>641</v>
      </c>
      <c r="B156" s="5" t="s">
        <v>429</v>
      </c>
      <c r="C156" s="135" t="n">
        <v>11</v>
      </c>
      <c r="D156" s="47" t="n">
        <f aca="false">Inputs!$C$6</f>
        <v>20000</v>
      </c>
      <c r="E156" s="35" t="n">
        <f aca="false">Inputs!$C$19</f>
        <v>0.0135</v>
      </c>
      <c r="F156" s="36" t="n">
        <f aca="false">Inputs!$C$21</f>
        <v>0.15</v>
      </c>
      <c r="G156" s="30" t="n">
        <v>0</v>
      </c>
      <c r="H156" s="27" t="n">
        <v>0</v>
      </c>
      <c r="I156" s="132" t="n">
        <f aca="false">Inputs!$C$38+$C156*Inputs!$C$39</f>
        <v>0.11</v>
      </c>
      <c r="J156" s="36" t="n">
        <f aca="false">Inputs!$C$9</f>
        <v>0.15</v>
      </c>
      <c r="K156" s="89" t="n">
        <f aca="false">IRR(W156:AG156,0.1)</f>
        <v>0.0790246410963075</v>
      </c>
      <c r="L156" s="45" t="n">
        <f aca="false">W156+NPV($J156,X156:AG156)</f>
        <v>-4697.8825472037</v>
      </c>
      <c r="M156" s="45" t="n">
        <f aca="false">SUM(BF156,BV156,CL156,DB156,DR156,EH156,EX156,FN156,GD156,GT156)</f>
        <v>31155.1628318794</v>
      </c>
      <c r="N156" s="43" t="n">
        <f aca="false">IF($D156*SUM(Inputs!$C$13:$L$13)=0,0,M156/($D156*SUM(Inputs!$C$13:$L$13)))</f>
        <v>1.55775814159397</v>
      </c>
      <c r="O156" s="42" t="n">
        <f aca="false">$D156*$E156*COLUMNS(Inputs!$C$13:$L$13)</f>
        <v>2700</v>
      </c>
      <c r="P156" s="45" t="n">
        <f aca="false">SUM(BG156,BW156,CM156,DC156,DS156,EI156,EY156,FO156,GE156,GU156)</f>
        <v>1968.55814680225</v>
      </c>
      <c r="Q156" s="42" t="n">
        <f aca="false">PV($J156,COLUMNS(Inputs!$C$13:$L$13),-$D156*$E156,0,1)</f>
        <v>1558.32765832774</v>
      </c>
      <c r="R156" s="45" t="n">
        <f aca="false">NPV($J156,BG156,BW156,CM156,DC156,DS156,EI156,EY156,FO156,GE156,GU156)</f>
        <v>487.068372415988</v>
      </c>
      <c r="S156" s="45" t="n">
        <f aca="false">Q156+R156</f>
        <v>2045.39603074373</v>
      </c>
      <c r="T156" s="32" t="n">
        <f aca="false">IF(S156=0,0,Q156/S156)</f>
        <v>0.761870872390964</v>
      </c>
      <c r="U156" s="45" t="n">
        <f aca="false">ROUND(ABS(GK156)+ABS(SUM(AV156,BL156,CB156,CR156,DH156,DX156,EN156,FD156,FT156,GJ156)-M156-P156)+ABS(S156-(AH156+NPV($J156,AI156:AR156))),6)</f>
        <v>0</v>
      </c>
      <c r="W156" s="133" t="n">
        <f aca="false">-$D156*Inputs!$C$13</f>
        <v>-4000</v>
      </c>
      <c r="X156" s="133" t="n">
        <f aca="false">BF156-$D156*Inputs!$D$13</f>
        <v>-4000</v>
      </c>
      <c r="Y156" s="133" t="n">
        <f aca="false">BV156-$D156*Inputs!$E$13</f>
        <v>-4000</v>
      </c>
      <c r="Z156" s="133" t="n">
        <f aca="false">CL156-$D156*Inputs!$F$13</f>
        <v>-4000</v>
      </c>
      <c r="AA156" s="133" t="n">
        <f aca="false">DB156-$D156*Inputs!$G$13</f>
        <v>-4000</v>
      </c>
      <c r="AB156" s="133" t="n">
        <f aca="false">DR156-$D156*Inputs!$H$13</f>
        <v>5156.9932355646</v>
      </c>
      <c r="AC156" s="133" t="n">
        <f aca="false">EH156-$D156*Inputs!$I$13</f>
        <v>4519.46999318137</v>
      </c>
      <c r="AD156" s="133" t="n">
        <f aca="false">EX156-$D156*Inputs!$J$13</f>
        <v>3953.34935394505</v>
      </c>
      <c r="AE156" s="133" t="n">
        <f aca="false">FN156-$D156*Inputs!$K$13</f>
        <v>3450.63422630321</v>
      </c>
      <c r="AF156" s="133" t="n">
        <f aca="false">GD156-$D156*Inputs!$L$13</f>
        <v>2991.52269266453</v>
      </c>
      <c r="AG156" s="84" t="n">
        <f aca="false">GT156</f>
        <v>11083.1933302207</v>
      </c>
      <c r="AH156" s="84" t="n">
        <f aca="false">$D156*$E156</f>
        <v>270</v>
      </c>
      <c r="AI156" s="84" t="n">
        <f aca="false">BG156+$D156*$E156</f>
        <v>270</v>
      </c>
      <c r="AJ156" s="84" t="n">
        <f aca="false">BW156+$D156*$E156</f>
        <v>270</v>
      </c>
      <c r="AK156" s="84" t="n">
        <f aca="false">CM156+$D156*$E156</f>
        <v>270</v>
      </c>
      <c r="AL156" s="84" t="n">
        <f aca="false">DC156+$D156*$E156</f>
        <v>270</v>
      </c>
      <c r="AM156" s="84" t="n">
        <f aca="false">DS156+$D156*$E156</f>
        <v>270</v>
      </c>
      <c r="AN156" s="84" t="n">
        <f aca="false">EI156+$D156*$E156</f>
        <v>270</v>
      </c>
      <c r="AO156" s="84" t="n">
        <f aca="false">EY156+$D156*$E156</f>
        <v>270</v>
      </c>
      <c r="AP156" s="84" t="n">
        <f aca="false">FO156+$D156*$E156</f>
        <v>270</v>
      </c>
      <c r="AQ156" s="84" t="n">
        <f aca="false">GE156+$D156*$E156</f>
        <v>282.700500292722</v>
      </c>
      <c r="AR156" s="84" t="n">
        <f aca="false">GU156</f>
        <v>1955.85764650953</v>
      </c>
      <c r="AT156" s="133" t="n">
        <f aca="false">$D156*Inputs!$C$13-$D156*$E156</f>
        <v>3730</v>
      </c>
      <c r="AU156" s="84" t="n">
        <f aca="false">AT156*(1+$I156)</f>
        <v>4140.3</v>
      </c>
      <c r="AV156" s="133" t="n">
        <f aca="false">AU156*Inputs!$C$14</f>
        <v>0</v>
      </c>
      <c r="AW156" s="84" t="n">
        <f aca="false">AU156-AV156</f>
        <v>4140.3</v>
      </c>
      <c r="AX156" s="133" t="n">
        <f aca="false">$D156*Inputs!$C$13</f>
        <v>4000</v>
      </c>
      <c r="AY156" s="84" t="n">
        <f aca="false">MIN(AV156,AX156)</f>
        <v>0</v>
      </c>
      <c r="AZ156" s="84" t="n">
        <f aca="false">AX156-AY156</f>
        <v>4000</v>
      </c>
      <c r="BA156" s="84" t="n">
        <f aca="false">$G156*AX156</f>
        <v>0</v>
      </c>
      <c r="BB156" s="84" t="n">
        <f aca="false">MIN(AV156-AY156,BA156)</f>
        <v>0</v>
      </c>
      <c r="BC156" s="84" t="n">
        <f aca="false">BA156-BB156</f>
        <v>0</v>
      </c>
      <c r="BD156" s="84" t="n">
        <f aca="false">IF($H156=1,MIN(AV156-AY156-BB156,MAX(0,$F156/(1-$F156)*BB156)),0)</f>
        <v>0</v>
      </c>
      <c r="BE156" s="84" t="n">
        <f aca="false">AV156-AY156-BB156-BD156</f>
        <v>0</v>
      </c>
      <c r="BF156" s="84" t="n">
        <f aca="false">AY156+BB156+(1-$F156)*BE156</f>
        <v>0</v>
      </c>
      <c r="BG156" s="84" t="n">
        <f aca="false">BD156+$F156*BE156</f>
        <v>0</v>
      </c>
      <c r="BH156" s="84" t="n">
        <f aca="false">BB156+(1-$F156)*BE156</f>
        <v>0</v>
      </c>
      <c r="BI156" s="84" t="n">
        <f aca="false">BG156</f>
        <v>0</v>
      </c>
      <c r="BJ156" s="133" t="n">
        <f aca="false">AW156+$D156*Inputs!$D$13-$D156*$E156</f>
        <v>7870.3</v>
      </c>
      <c r="BK156" s="84" t="n">
        <f aca="false">BJ156*(1+$I156)</f>
        <v>8736.033</v>
      </c>
      <c r="BL156" s="133" t="n">
        <f aca="false">BK156*Inputs!$D$14</f>
        <v>0</v>
      </c>
      <c r="BM156" s="84" t="n">
        <f aca="false">BK156-BL156</f>
        <v>8736.033</v>
      </c>
      <c r="BN156" s="133" t="n">
        <f aca="false">AZ156+$D156*Inputs!$D$13</f>
        <v>8000</v>
      </c>
      <c r="BO156" s="84" t="n">
        <f aca="false">MIN(BL156,BN156)</f>
        <v>0</v>
      </c>
      <c r="BP156" s="84" t="n">
        <f aca="false">BN156-BO156</f>
        <v>8000</v>
      </c>
      <c r="BQ156" s="84" t="n">
        <f aca="false">BC156+$G156*(BN156+BC156)</f>
        <v>0</v>
      </c>
      <c r="BR156" s="84" t="n">
        <f aca="false">MIN(BL156-BO156,BQ156)</f>
        <v>0</v>
      </c>
      <c r="BS156" s="84" t="n">
        <f aca="false">BQ156-BR156</f>
        <v>0</v>
      </c>
      <c r="BT156" s="84" t="n">
        <f aca="false">IF($H156=1,MIN(BL156-BO156-BR156,MAX(0,$F156/(1-$F156)*(BH156+BR156)-BI156)),0)</f>
        <v>0</v>
      </c>
      <c r="BU156" s="84" t="n">
        <f aca="false">BL156-BO156-BR156-BT156</f>
        <v>0</v>
      </c>
      <c r="BV156" s="84" t="n">
        <f aca="false">BO156+BR156+(1-$F156)*BU156</f>
        <v>0</v>
      </c>
      <c r="BW156" s="84" t="n">
        <f aca="false">BT156+$F156*BU156</f>
        <v>0</v>
      </c>
      <c r="BX156" s="84" t="n">
        <f aca="false">BH156+BR156+(1-$F156)*BU156</f>
        <v>0</v>
      </c>
      <c r="BY156" s="84" t="n">
        <f aca="false">BI156+BW156</f>
        <v>0</v>
      </c>
      <c r="BZ156" s="133" t="n">
        <f aca="false">BM156+$D156*Inputs!$E$13-$D156*$E156</f>
        <v>12466.033</v>
      </c>
      <c r="CA156" s="84" t="n">
        <f aca="false">BZ156*(1+$I156)</f>
        <v>13837.29663</v>
      </c>
      <c r="CB156" s="133" t="n">
        <f aca="false">CA156*Inputs!$E$14</f>
        <v>0</v>
      </c>
      <c r="CC156" s="84" t="n">
        <f aca="false">CA156-CB156</f>
        <v>13837.29663</v>
      </c>
      <c r="CD156" s="133" t="n">
        <f aca="false">BP156+$D156*Inputs!$E$13</f>
        <v>12000</v>
      </c>
      <c r="CE156" s="84" t="n">
        <f aca="false">MIN(CB156,CD156)</f>
        <v>0</v>
      </c>
      <c r="CF156" s="84" t="n">
        <f aca="false">CD156-CE156</f>
        <v>12000</v>
      </c>
      <c r="CG156" s="84" t="n">
        <f aca="false">BS156+$G156*(CD156+BS156)</f>
        <v>0</v>
      </c>
      <c r="CH156" s="84" t="n">
        <f aca="false">MIN(CB156-CE156,CG156)</f>
        <v>0</v>
      </c>
      <c r="CI156" s="84" t="n">
        <f aca="false">CG156-CH156</f>
        <v>0</v>
      </c>
      <c r="CJ156" s="84" t="n">
        <f aca="false">IF($H156=1,MIN(CB156-CE156-CH156,MAX(0,$F156/(1-$F156)*(BX156+CH156)-BY156)),0)</f>
        <v>0</v>
      </c>
      <c r="CK156" s="84" t="n">
        <f aca="false">CB156-CE156-CH156-CJ156</f>
        <v>0</v>
      </c>
      <c r="CL156" s="84" t="n">
        <f aca="false">CE156+CH156+(1-$F156)*CK156</f>
        <v>0</v>
      </c>
      <c r="CM156" s="84" t="n">
        <f aca="false">CJ156+$F156*CK156</f>
        <v>0</v>
      </c>
      <c r="CN156" s="84" t="n">
        <f aca="false">BX156+CH156+(1-$F156)*CK156</f>
        <v>0</v>
      </c>
      <c r="CO156" s="84" t="n">
        <f aca="false">BY156+CM156</f>
        <v>0</v>
      </c>
      <c r="CP156" s="133" t="n">
        <f aca="false">CC156+$D156*Inputs!$F$13-$D156*$E156</f>
        <v>17567.29663</v>
      </c>
      <c r="CQ156" s="84" t="n">
        <f aca="false">CP156*(1+$I156)</f>
        <v>19499.6992593</v>
      </c>
      <c r="CR156" s="133" t="n">
        <f aca="false">CQ156*Inputs!$F$14</f>
        <v>0</v>
      </c>
      <c r="CS156" s="84" t="n">
        <f aca="false">CQ156-CR156</f>
        <v>19499.6992593</v>
      </c>
      <c r="CT156" s="133" t="n">
        <f aca="false">CF156+$D156*Inputs!$F$13</f>
        <v>16000</v>
      </c>
      <c r="CU156" s="84" t="n">
        <f aca="false">MIN(CR156,CT156)</f>
        <v>0</v>
      </c>
      <c r="CV156" s="84" t="n">
        <f aca="false">CT156-CU156</f>
        <v>16000</v>
      </c>
      <c r="CW156" s="84" t="n">
        <f aca="false">CI156+$G156*(CT156+CI156)</f>
        <v>0</v>
      </c>
      <c r="CX156" s="84" t="n">
        <f aca="false">MIN(CR156-CU156,CW156)</f>
        <v>0</v>
      </c>
      <c r="CY156" s="84" t="n">
        <f aca="false">CW156-CX156</f>
        <v>0</v>
      </c>
      <c r="CZ156" s="84" t="n">
        <f aca="false">IF($H156=1,MIN(CR156-CU156-CX156,MAX(0,$F156/(1-$F156)*(CN156+CX156)-CO156)),0)</f>
        <v>0</v>
      </c>
      <c r="DA156" s="84" t="n">
        <f aca="false">CR156-CU156-CX156-CZ156</f>
        <v>0</v>
      </c>
      <c r="DB156" s="84" t="n">
        <f aca="false">CU156+CX156+(1-$F156)*DA156</f>
        <v>0</v>
      </c>
      <c r="DC156" s="84" t="n">
        <f aca="false">CZ156+$F156*DA156</f>
        <v>0</v>
      </c>
      <c r="DD156" s="84" t="n">
        <f aca="false">CN156+CX156+(1-$F156)*DA156</f>
        <v>0</v>
      </c>
      <c r="DE156" s="84" t="n">
        <f aca="false">CO156+DC156</f>
        <v>0</v>
      </c>
      <c r="DF156" s="133" t="n">
        <f aca="false">CS156+$D156*Inputs!$G$13-$D156*$E156</f>
        <v>23229.6992593</v>
      </c>
      <c r="DG156" s="84" t="n">
        <f aca="false">DF156*(1+$I156)</f>
        <v>25784.966177823</v>
      </c>
      <c r="DH156" s="133" t="n">
        <f aca="false">DG156*Inputs!$G$14</f>
        <v>5156.9932355646</v>
      </c>
      <c r="DI156" s="84" t="n">
        <f aca="false">DG156-DH156</f>
        <v>20627.9729422584</v>
      </c>
      <c r="DJ156" s="133" t="n">
        <f aca="false">CV156+$D156*Inputs!$G$13</f>
        <v>20000</v>
      </c>
      <c r="DK156" s="84" t="n">
        <f aca="false">MIN(DH156,DJ156)</f>
        <v>5156.9932355646</v>
      </c>
      <c r="DL156" s="84" t="n">
        <f aca="false">DJ156-DK156</f>
        <v>14843.0067644354</v>
      </c>
      <c r="DM156" s="84" t="n">
        <f aca="false">CY156+$G156*(DJ156+CY156)</f>
        <v>0</v>
      </c>
      <c r="DN156" s="84" t="n">
        <f aca="false">MIN(DH156-DK156,DM156)</f>
        <v>0</v>
      </c>
      <c r="DO156" s="84" t="n">
        <f aca="false">DM156-DN156</f>
        <v>0</v>
      </c>
      <c r="DP156" s="84" t="n">
        <f aca="false">IF($H156=1,MIN(DH156-DK156-DN156,MAX(0,$F156/(1-$F156)*(DD156+DN156)-DE156)),0)</f>
        <v>0</v>
      </c>
      <c r="DQ156" s="84" t="n">
        <f aca="false">DH156-DK156-DN156-DP156</f>
        <v>0</v>
      </c>
      <c r="DR156" s="84" t="n">
        <f aca="false">DK156+DN156+(1-$F156)*DQ156</f>
        <v>5156.9932355646</v>
      </c>
      <c r="DS156" s="84" t="n">
        <f aca="false">DP156+$F156*DQ156</f>
        <v>0</v>
      </c>
      <c r="DT156" s="84" t="n">
        <f aca="false">DD156+DN156+(1-$F156)*DQ156</f>
        <v>0</v>
      </c>
      <c r="DU156" s="84" t="n">
        <f aca="false">DE156+DS156</f>
        <v>0</v>
      </c>
      <c r="DV156" s="133" t="n">
        <f aca="false">DI156+$D156*Inputs!$H$13-$D156*$E156</f>
        <v>20357.9729422584</v>
      </c>
      <c r="DW156" s="84" t="n">
        <f aca="false">DV156*(1+$I156)</f>
        <v>22597.3499659068</v>
      </c>
      <c r="DX156" s="133" t="n">
        <f aca="false">DW156*Inputs!$H$14</f>
        <v>4519.46999318137</v>
      </c>
      <c r="DY156" s="84" t="n">
        <f aca="false">DW156-DX156</f>
        <v>18077.8799727255</v>
      </c>
      <c r="DZ156" s="133" t="n">
        <f aca="false">DL156+$D156*Inputs!$H$13</f>
        <v>14843.0067644354</v>
      </c>
      <c r="EA156" s="84" t="n">
        <f aca="false">MIN(DX156,DZ156)</f>
        <v>4519.46999318137</v>
      </c>
      <c r="EB156" s="84" t="n">
        <f aca="false">DZ156-EA156</f>
        <v>10323.536771254</v>
      </c>
      <c r="EC156" s="84" t="n">
        <f aca="false">DO156+$G156*(DZ156+DO156)</f>
        <v>0</v>
      </c>
      <c r="ED156" s="84" t="n">
        <f aca="false">MIN(DX156-EA156,EC156)</f>
        <v>0</v>
      </c>
      <c r="EE156" s="84" t="n">
        <f aca="false">EC156-ED156</f>
        <v>0</v>
      </c>
      <c r="EF156" s="84" t="n">
        <f aca="false">IF($H156=1,MIN(DX156-EA156-ED156,MAX(0,$F156/(1-$F156)*(DT156+ED156)-DU156)),0)</f>
        <v>0</v>
      </c>
      <c r="EG156" s="84" t="n">
        <f aca="false">DX156-EA156-ED156-EF156</f>
        <v>0</v>
      </c>
      <c r="EH156" s="84" t="n">
        <f aca="false">EA156+ED156+(1-$F156)*EG156</f>
        <v>4519.46999318137</v>
      </c>
      <c r="EI156" s="84" t="n">
        <f aca="false">EF156+$F156*EG156</f>
        <v>0</v>
      </c>
      <c r="EJ156" s="84" t="n">
        <f aca="false">DT156+ED156+(1-$F156)*EG156</f>
        <v>0</v>
      </c>
      <c r="EK156" s="84" t="n">
        <f aca="false">DU156+EI156</f>
        <v>0</v>
      </c>
      <c r="EL156" s="133" t="n">
        <f aca="false">DY156+$D156*Inputs!$I$13-$D156*$E156</f>
        <v>17807.8799727255</v>
      </c>
      <c r="EM156" s="84" t="n">
        <f aca="false">EL156*(1+$I156)</f>
        <v>19766.7467697253</v>
      </c>
      <c r="EN156" s="133" t="n">
        <f aca="false">EM156*Inputs!$I$14</f>
        <v>3953.34935394505</v>
      </c>
      <c r="EO156" s="84" t="n">
        <f aca="false">EM156-EN156</f>
        <v>15813.3974157802</v>
      </c>
      <c r="EP156" s="133" t="n">
        <f aca="false">EB156+$D156*Inputs!$I$13</f>
        <v>10323.536771254</v>
      </c>
      <c r="EQ156" s="84" t="n">
        <f aca="false">MIN(EN156,EP156)</f>
        <v>3953.34935394505</v>
      </c>
      <c r="ER156" s="84" t="n">
        <f aca="false">EP156-EQ156</f>
        <v>6370.18741730898</v>
      </c>
      <c r="ES156" s="84" t="n">
        <f aca="false">EE156+$G156*(EP156+EE156)</f>
        <v>0</v>
      </c>
      <c r="ET156" s="84" t="n">
        <f aca="false">MIN(EN156-EQ156,ES156)</f>
        <v>0</v>
      </c>
      <c r="EU156" s="84" t="n">
        <f aca="false">ES156-ET156</f>
        <v>0</v>
      </c>
      <c r="EV156" s="84" t="n">
        <f aca="false">IF($H156=1,MIN(EN156-EQ156-ET156,MAX(0,$F156/(1-$F156)*(EJ156+ET156)-EK156)),0)</f>
        <v>0</v>
      </c>
      <c r="EW156" s="84" t="n">
        <f aca="false">EN156-EQ156-ET156-EV156</f>
        <v>0</v>
      </c>
      <c r="EX156" s="84" t="n">
        <f aca="false">EQ156+ET156+(1-$F156)*EW156</f>
        <v>3953.34935394505</v>
      </c>
      <c r="EY156" s="84" t="n">
        <f aca="false">EV156+$F156*EW156</f>
        <v>0</v>
      </c>
      <c r="EZ156" s="84" t="n">
        <f aca="false">EJ156+ET156+(1-$F156)*EW156</f>
        <v>0</v>
      </c>
      <c r="FA156" s="84" t="n">
        <f aca="false">EK156+EY156</f>
        <v>0</v>
      </c>
      <c r="FB156" s="133" t="n">
        <f aca="false">EO156+$D156*Inputs!$J$13-$D156*$E156</f>
        <v>15543.3974157802</v>
      </c>
      <c r="FC156" s="84" t="n">
        <f aca="false">FB156*(1+$I156)</f>
        <v>17253.171131516</v>
      </c>
      <c r="FD156" s="133" t="n">
        <f aca="false">FC156*Inputs!$J$14</f>
        <v>3450.63422630321</v>
      </c>
      <c r="FE156" s="84" t="n">
        <f aca="false">FC156-FD156</f>
        <v>13802.5369052128</v>
      </c>
      <c r="FF156" s="133" t="n">
        <f aca="false">ER156+$D156*Inputs!$J$13</f>
        <v>6370.18741730898</v>
      </c>
      <c r="FG156" s="84" t="n">
        <f aca="false">MIN(FD156,FF156)</f>
        <v>3450.63422630321</v>
      </c>
      <c r="FH156" s="84" t="n">
        <f aca="false">FF156-FG156</f>
        <v>2919.55319100577</v>
      </c>
      <c r="FI156" s="84" t="n">
        <f aca="false">EU156+$G156*(FF156+EU156)</f>
        <v>0</v>
      </c>
      <c r="FJ156" s="84" t="n">
        <f aca="false">MIN(FD156-FG156,FI156)</f>
        <v>0</v>
      </c>
      <c r="FK156" s="84" t="n">
        <f aca="false">FI156-FJ156</f>
        <v>0</v>
      </c>
      <c r="FL156" s="84" t="n">
        <f aca="false">IF($H156=1,MIN(FD156-FG156-FJ156,MAX(0,$F156/(1-$F156)*(EZ156+FJ156)-FA156)),0)</f>
        <v>0</v>
      </c>
      <c r="FM156" s="84" t="n">
        <f aca="false">FD156-FG156-FJ156-FL156</f>
        <v>0</v>
      </c>
      <c r="FN156" s="84" t="n">
        <f aca="false">FG156+FJ156+(1-$F156)*FM156</f>
        <v>3450.63422630321</v>
      </c>
      <c r="FO156" s="84" t="n">
        <f aca="false">FL156+$F156*FM156</f>
        <v>0</v>
      </c>
      <c r="FP156" s="84" t="n">
        <f aca="false">EZ156+FJ156+(1-$F156)*FM156</f>
        <v>0</v>
      </c>
      <c r="FQ156" s="84" t="n">
        <f aca="false">FA156+FO156</f>
        <v>0</v>
      </c>
      <c r="FR156" s="133" t="n">
        <f aca="false">FE156+$D156*Inputs!$K$13-$D156*$E156</f>
        <v>13532.5369052128</v>
      </c>
      <c r="FS156" s="84" t="n">
        <f aca="false">FR156*(1+$I156)</f>
        <v>15021.1159647862</v>
      </c>
      <c r="FT156" s="133" t="n">
        <f aca="false">FS156*Inputs!$K$14</f>
        <v>3004.22319295725</v>
      </c>
      <c r="FU156" s="84" t="n">
        <f aca="false">FS156-FT156</f>
        <v>12016.892771829</v>
      </c>
      <c r="FV156" s="133" t="n">
        <f aca="false">FH156+$D156*Inputs!$K$13</f>
        <v>2919.55319100577</v>
      </c>
      <c r="FW156" s="84" t="n">
        <f aca="false">MIN(FT156,FV156)</f>
        <v>2919.55319100577</v>
      </c>
      <c r="FX156" s="84" t="n">
        <f aca="false">FV156-FW156</f>
        <v>0</v>
      </c>
      <c r="FY156" s="84" t="n">
        <f aca="false">FK156+$G156*(FV156+FK156)</f>
        <v>0</v>
      </c>
      <c r="FZ156" s="84" t="n">
        <f aca="false">MIN(FT156-FW156,FY156)</f>
        <v>0</v>
      </c>
      <c r="GA156" s="84" t="n">
        <f aca="false">FY156-FZ156</f>
        <v>0</v>
      </c>
      <c r="GB156" s="84" t="n">
        <f aca="false">IF($H156=1,MIN(FT156-FW156-FZ156,MAX(0,$F156/(1-$F156)*(FP156+FZ156)-FQ156)),0)</f>
        <v>0</v>
      </c>
      <c r="GC156" s="84" t="n">
        <f aca="false">FT156-FW156-FZ156-GB156</f>
        <v>84.670001951481</v>
      </c>
      <c r="GD156" s="84" t="n">
        <f aca="false">FW156+FZ156+(1-$F156)*GC156</f>
        <v>2991.52269266453</v>
      </c>
      <c r="GE156" s="84" t="n">
        <f aca="false">GB156+$F156*GC156</f>
        <v>12.7005002927222</v>
      </c>
      <c r="GF156" s="84" t="n">
        <f aca="false">FP156+FZ156+(1-$F156)*GC156</f>
        <v>71.9695016587589</v>
      </c>
      <c r="GG156" s="84" t="n">
        <f aca="false">FQ156+GE156</f>
        <v>12.7005002927222</v>
      </c>
      <c r="GH156" s="133" t="n">
        <f aca="false">FU156+$D156*Inputs!$L$13-$D156*$E156</f>
        <v>11746.892771829</v>
      </c>
      <c r="GI156" s="84" t="n">
        <f aca="false">GH156*(1+$I156)</f>
        <v>13039.0509767302</v>
      </c>
      <c r="GJ156" s="133" t="n">
        <f aca="false">GI156*Inputs!$L$14</f>
        <v>13039.0509767302</v>
      </c>
      <c r="GK156" s="84" t="n">
        <f aca="false">GI156-GJ156</f>
        <v>0</v>
      </c>
      <c r="GL156" s="133" t="n">
        <f aca="false">FX156+$D156*Inputs!$L$13</f>
        <v>0</v>
      </c>
      <c r="GM156" s="84" t="n">
        <f aca="false">MIN(GJ156,GL156)</f>
        <v>0</v>
      </c>
      <c r="GN156" s="84" t="n">
        <f aca="false">GL156-GM156</f>
        <v>0</v>
      </c>
      <c r="GO156" s="84" t="n">
        <f aca="false">GA156+$G156*(GL156+GA156)</f>
        <v>0</v>
      </c>
      <c r="GP156" s="84" t="n">
        <f aca="false">MIN(GJ156-GM156,GO156)</f>
        <v>0</v>
      </c>
      <c r="GQ156" s="84" t="n">
        <f aca="false">GO156-GP156</f>
        <v>0</v>
      </c>
      <c r="GR156" s="84" t="n">
        <f aca="false">IF($H156=1,MIN(GJ156-GM156-GP156,MAX(0,$F156/(1-$F156)*(GF156+GP156)-GG156)),0)</f>
        <v>0</v>
      </c>
      <c r="GS156" s="84" t="n">
        <f aca="false">GJ156-GM156-GP156-GR156</f>
        <v>13039.0509767302</v>
      </c>
      <c r="GT156" s="84" t="n">
        <f aca="false">GM156+GP156+(1-$F156)*GS156</f>
        <v>11083.1933302207</v>
      </c>
      <c r="GU156" s="84" t="n">
        <f aca="false">GR156+$F156*GS156</f>
        <v>1955.85764650953</v>
      </c>
      <c r="GV156" s="84" t="n">
        <f aca="false">GF156+GP156+(1-$F156)*GS156</f>
        <v>11155.1628318794</v>
      </c>
      <c r="GW156" s="84" t="n">
        <f aca="false">GG156+GU156</f>
        <v>1968.55814680225</v>
      </c>
    </row>
    <row r="157" customFormat="false" ht="15" hidden="false" customHeight="false" outlineLevel="0" collapsed="false">
      <c r="A157" s="5" t="s">
        <v>641</v>
      </c>
      <c r="B157" s="5" t="s">
        <v>429</v>
      </c>
      <c r="C157" s="135" t="n">
        <v>12</v>
      </c>
      <c r="D157" s="47" t="n">
        <f aca="false">Inputs!$C$6</f>
        <v>20000</v>
      </c>
      <c r="E157" s="35" t="n">
        <f aca="false">Inputs!$C$19</f>
        <v>0.0135</v>
      </c>
      <c r="F157" s="36" t="n">
        <f aca="false">Inputs!$C$21</f>
        <v>0.15</v>
      </c>
      <c r="G157" s="30" t="n">
        <v>0</v>
      </c>
      <c r="H157" s="27" t="n">
        <v>0</v>
      </c>
      <c r="I157" s="132" t="n">
        <f aca="false">Inputs!$C$38+$C157*Inputs!$C$39</f>
        <v>0.12</v>
      </c>
      <c r="J157" s="36" t="n">
        <f aca="false">Inputs!$C$9</f>
        <v>0.15</v>
      </c>
      <c r="K157" s="89" t="n">
        <f aca="false">IRR(W157:AG157,0.1)</f>
        <v>0.0884880383418139</v>
      </c>
      <c r="L157" s="45" t="n">
        <f aca="false">W157+NPV($J157,X157:AG157)</f>
        <v>-4165.04068568768</v>
      </c>
      <c r="M157" s="45" t="n">
        <f aca="false">SUM(BF157,BV157,CL157,DB157,DR157,EH157,EX157,FN157,GD157,GT157)</f>
        <v>32849.3309172262</v>
      </c>
      <c r="N157" s="43" t="n">
        <f aca="false">IF($D157*SUM(Inputs!$C$13:$L$13)=0,0,M157/($D157*SUM(Inputs!$C$13:$L$13)))</f>
        <v>1.64246654586131</v>
      </c>
      <c r="O157" s="42" t="n">
        <f aca="false">$D157*$E157*COLUMNS(Inputs!$C$13:$L$13)</f>
        <v>2700</v>
      </c>
      <c r="P157" s="45" t="n">
        <f aca="false">SUM(BG157,BW157,CM157,DC157,DS157,EI157,EY157,FO157,GE157,GU157)</f>
        <v>2267.52898539286</v>
      </c>
      <c r="Q157" s="42" t="n">
        <f aca="false">PV($J157,COLUMNS(Inputs!$C$13:$L$13),-$D157*$E157,0,1)</f>
        <v>1558.32765832774</v>
      </c>
      <c r="R157" s="45" t="n">
        <f aca="false">NPV($J157,BG157,BW157,CM157,DC157,DS157,EI157,EY157,FO157,GE157,GU157)</f>
        <v>566.166795455544</v>
      </c>
      <c r="S157" s="45" t="n">
        <f aca="false">Q157+R157</f>
        <v>2124.49445378328</v>
      </c>
      <c r="T157" s="32" t="n">
        <f aca="false">IF(S157=0,0,Q157/S157)</f>
        <v>0.733505166630433</v>
      </c>
      <c r="U157" s="45" t="n">
        <f aca="false">ROUND(ABS(GK157)+ABS(SUM(AV157,BL157,CB157,CR157,DH157,DX157,EN157,FD157,FT157,GJ157)-M157-P157)+ABS(S157-(AH157+NPV($J157,AI157:AR157))),6)</f>
        <v>0</v>
      </c>
      <c r="W157" s="133" t="n">
        <f aca="false">-$D157*Inputs!$C$13</f>
        <v>-4000</v>
      </c>
      <c r="X157" s="133" t="n">
        <f aca="false">BF157-$D157*Inputs!$D$13</f>
        <v>-4000</v>
      </c>
      <c r="Y157" s="133" t="n">
        <f aca="false">BV157-$D157*Inputs!$E$13</f>
        <v>-4000</v>
      </c>
      <c r="Z157" s="133" t="n">
        <f aca="false">CL157-$D157*Inputs!$F$13</f>
        <v>-4000</v>
      </c>
      <c r="AA157" s="133" t="n">
        <f aca="false">DB157-$D157*Inputs!$G$13</f>
        <v>-4000</v>
      </c>
      <c r="AB157" s="133" t="n">
        <f aca="false">DR157-$D157*Inputs!$H$13</f>
        <v>5307.9310262272</v>
      </c>
      <c r="AC157" s="133" t="n">
        <f aca="false">EH157-$D157*Inputs!$I$13</f>
        <v>4695.42619949957</v>
      </c>
      <c r="AD157" s="133" t="n">
        <f aca="false">EX157-$D157*Inputs!$J$13</f>
        <v>4146.62187475162</v>
      </c>
      <c r="AE157" s="133" t="n">
        <f aca="false">FN157-$D157*Inputs!$K$13</f>
        <v>3654.89319977745</v>
      </c>
      <c r="AF157" s="133" t="n">
        <f aca="false">GD157-$D157*Inputs!$L$13</f>
        <v>3061.42781591213</v>
      </c>
      <c r="AG157" s="84" t="n">
        <f aca="false">GT157</f>
        <v>11983.0308010583</v>
      </c>
      <c r="AH157" s="84" t="n">
        <f aca="false">$D157*$E157</f>
        <v>270</v>
      </c>
      <c r="AI157" s="84" t="n">
        <f aca="false">BG157+$D157*$E157</f>
        <v>270</v>
      </c>
      <c r="AJ157" s="84" t="n">
        <f aca="false">BW157+$D157*$E157</f>
        <v>270</v>
      </c>
      <c r="AK157" s="84" t="n">
        <f aca="false">CM157+$D157*$E157</f>
        <v>270</v>
      </c>
      <c r="AL157" s="84" t="n">
        <f aca="false">DC157+$D157*$E157</f>
        <v>270</v>
      </c>
      <c r="AM157" s="84" t="n">
        <f aca="false">DS157+$D157*$E157</f>
        <v>270</v>
      </c>
      <c r="AN157" s="84" t="n">
        <f aca="false">EI157+$D157*$E157</f>
        <v>270</v>
      </c>
      <c r="AO157" s="84" t="n">
        <f aca="false">EY157+$D157*$E157</f>
        <v>270</v>
      </c>
      <c r="AP157" s="84" t="n">
        <f aca="false">FO157+$D157*$E157</f>
        <v>270</v>
      </c>
      <c r="AQ157" s="84" t="n">
        <f aca="false">GE157+$D157*$E157</f>
        <v>422.876491088465</v>
      </c>
      <c r="AR157" s="84" t="n">
        <f aca="false">GU157</f>
        <v>2114.6524943044</v>
      </c>
      <c r="AT157" s="133" t="n">
        <f aca="false">$D157*Inputs!$C$13-$D157*$E157</f>
        <v>3730</v>
      </c>
      <c r="AU157" s="84" t="n">
        <f aca="false">AT157*(1+$I157)</f>
        <v>4177.6</v>
      </c>
      <c r="AV157" s="133" t="n">
        <f aca="false">AU157*Inputs!$C$14</f>
        <v>0</v>
      </c>
      <c r="AW157" s="84" t="n">
        <f aca="false">AU157-AV157</f>
        <v>4177.6</v>
      </c>
      <c r="AX157" s="133" t="n">
        <f aca="false">$D157*Inputs!$C$13</f>
        <v>4000</v>
      </c>
      <c r="AY157" s="84" t="n">
        <f aca="false">MIN(AV157,AX157)</f>
        <v>0</v>
      </c>
      <c r="AZ157" s="84" t="n">
        <f aca="false">AX157-AY157</f>
        <v>4000</v>
      </c>
      <c r="BA157" s="84" t="n">
        <f aca="false">$G157*AX157</f>
        <v>0</v>
      </c>
      <c r="BB157" s="84" t="n">
        <f aca="false">MIN(AV157-AY157,BA157)</f>
        <v>0</v>
      </c>
      <c r="BC157" s="84" t="n">
        <f aca="false">BA157-BB157</f>
        <v>0</v>
      </c>
      <c r="BD157" s="84" t="n">
        <f aca="false">IF($H157=1,MIN(AV157-AY157-BB157,MAX(0,$F157/(1-$F157)*BB157)),0)</f>
        <v>0</v>
      </c>
      <c r="BE157" s="84" t="n">
        <f aca="false">AV157-AY157-BB157-BD157</f>
        <v>0</v>
      </c>
      <c r="BF157" s="84" t="n">
        <f aca="false">AY157+BB157+(1-$F157)*BE157</f>
        <v>0</v>
      </c>
      <c r="BG157" s="84" t="n">
        <f aca="false">BD157+$F157*BE157</f>
        <v>0</v>
      </c>
      <c r="BH157" s="84" t="n">
        <f aca="false">BB157+(1-$F157)*BE157</f>
        <v>0</v>
      </c>
      <c r="BI157" s="84" t="n">
        <f aca="false">BG157</f>
        <v>0</v>
      </c>
      <c r="BJ157" s="133" t="n">
        <f aca="false">AW157+$D157*Inputs!$D$13-$D157*$E157</f>
        <v>7907.6</v>
      </c>
      <c r="BK157" s="84" t="n">
        <f aca="false">BJ157*(1+$I157)</f>
        <v>8856.512</v>
      </c>
      <c r="BL157" s="133" t="n">
        <f aca="false">BK157*Inputs!$D$14</f>
        <v>0</v>
      </c>
      <c r="BM157" s="84" t="n">
        <f aca="false">BK157-BL157</f>
        <v>8856.512</v>
      </c>
      <c r="BN157" s="133" t="n">
        <f aca="false">AZ157+$D157*Inputs!$D$13</f>
        <v>8000</v>
      </c>
      <c r="BO157" s="84" t="n">
        <f aca="false">MIN(BL157,BN157)</f>
        <v>0</v>
      </c>
      <c r="BP157" s="84" t="n">
        <f aca="false">BN157-BO157</f>
        <v>8000</v>
      </c>
      <c r="BQ157" s="84" t="n">
        <f aca="false">BC157+$G157*(BN157+BC157)</f>
        <v>0</v>
      </c>
      <c r="BR157" s="84" t="n">
        <f aca="false">MIN(BL157-BO157,BQ157)</f>
        <v>0</v>
      </c>
      <c r="BS157" s="84" t="n">
        <f aca="false">BQ157-BR157</f>
        <v>0</v>
      </c>
      <c r="BT157" s="84" t="n">
        <f aca="false">IF($H157=1,MIN(BL157-BO157-BR157,MAX(0,$F157/(1-$F157)*(BH157+BR157)-BI157)),0)</f>
        <v>0</v>
      </c>
      <c r="BU157" s="84" t="n">
        <f aca="false">BL157-BO157-BR157-BT157</f>
        <v>0</v>
      </c>
      <c r="BV157" s="84" t="n">
        <f aca="false">BO157+BR157+(1-$F157)*BU157</f>
        <v>0</v>
      </c>
      <c r="BW157" s="84" t="n">
        <f aca="false">BT157+$F157*BU157</f>
        <v>0</v>
      </c>
      <c r="BX157" s="84" t="n">
        <f aca="false">BH157+BR157+(1-$F157)*BU157</f>
        <v>0</v>
      </c>
      <c r="BY157" s="84" t="n">
        <f aca="false">BI157+BW157</f>
        <v>0</v>
      </c>
      <c r="BZ157" s="133" t="n">
        <f aca="false">BM157+$D157*Inputs!$E$13-$D157*$E157</f>
        <v>12586.512</v>
      </c>
      <c r="CA157" s="84" t="n">
        <f aca="false">BZ157*(1+$I157)</f>
        <v>14096.89344</v>
      </c>
      <c r="CB157" s="133" t="n">
        <f aca="false">CA157*Inputs!$E$14</f>
        <v>0</v>
      </c>
      <c r="CC157" s="84" t="n">
        <f aca="false">CA157-CB157</f>
        <v>14096.89344</v>
      </c>
      <c r="CD157" s="133" t="n">
        <f aca="false">BP157+$D157*Inputs!$E$13</f>
        <v>12000</v>
      </c>
      <c r="CE157" s="84" t="n">
        <f aca="false">MIN(CB157,CD157)</f>
        <v>0</v>
      </c>
      <c r="CF157" s="84" t="n">
        <f aca="false">CD157-CE157</f>
        <v>12000</v>
      </c>
      <c r="CG157" s="84" t="n">
        <f aca="false">BS157+$G157*(CD157+BS157)</f>
        <v>0</v>
      </c>
      <c r="CH157" s="84" t="n">
        <f aca="false">MIN(CB157-CE157,CG157)</f>
        <v>0</v>
      </c>
      <c r="CI157" s="84" t="n">
        <f aca="false">CG157-CH157</f>
        <v>0</v>
      </c>
      <c r="CJ157" s="84" t="n">
        <f aca="false">IF($H157=1,MIN(CB157-CE157-CH157,MAX(0,$F157/(1-$F157)*(BX157+CH157)-BY157)),0)</f>
        <v>0</v>
      </c>
      <c r="CK157" s="84" t="n">
        <f aca="false">CB157-CE157-CH157-CJ157</f>
        <v>0</v>
      </c>
      <c r="CL157" s="84" t="n">
        <f aca="false">CE157+CH157+(1-$F157)*CK157</f>
        <v>0</v>
      </c>
      <c r="CM157" s="84" t="n">
        <f aca="false">CJ157+$F157*CK157</f>
        <v>0</v>
      </c>
      <c r="CN157" s="84" t="n">
        <f aca="false">BX157+CH157+(1-$F157)*CK157</f>
        <v>0</v>
      </c>
      <c r="CO157" s="84" t="n">
        <f aca="false">BY157+CM157</f>
        <v>0</v>
      </c>
      <c r="CP157" s="133" t="n">
        <f aca="false">CC157+$D157*Inputs!$F$13-$D157*$E157</f>
        <v>17826.89344</v>
      </c>
      <c r="CQ157" s="84" t="n">
        <f aca="false">CP157*(1+$I157)</f>
        <v>19966.1206528</v>
      </c>
      <c r="CR157" s="133" t="n">
        <f aca="false">CQ157*Inputs!$F$14</f>
        <v>0</v>
      </c>
      <c r="CS157" s="84" t="n">
        <f aca="false">CQ157-CR157</f>
        <v>19966.1206528</v>
      </c>
      <c r="CT157" s="133" t="n">
        <f aca="false">CF157+$D157*Inputs!$F$13</f>
        <v>16000</v>
      </c>
      <c r="CU157" s="84" t="n">
        <f aca="false">MIN(CR157,CT157)</f>
        <v>0</v>
      </c>
      <c r="CV157" s="84" t="n">
        <f aca="false">CT157-CU157</f>
        <v>16000</v>
      </c>
      <c r="CW157" s="84" t="n">
        <f aca="false">CI157+$G157*(CT157+CI157)</f>
        <v>0</v>
      </c>
      <c r="CX157" s="84" t="n">
        <f aca="false">MIN(CR157-CU157,CW157)</f>
        <v>0</v>
      </c>
      <c r="CY157" s="84" t="n">
        <f aca="false">CW157-CX157</f>
        <v>0</v>
      </c>
      <c r="CZ157" s="84" t="n">
        <f aca="false">IF($H157=1,MIN(CR157-CU157-CX157,MAX(0,$F157/(1-$F157)*(CN157+CX157)-CO157)),0)</f>
        <v>0</v>
      </c>
      <c r="DA157" s="84" t="n">
        <f aca="false">CR157-CU157-CX157-CZ157</f>
        <v>0</v>
      </c>
      <c r="DB157" s="84" t="n">
        <f aca="false">CU157+CX157+(1-$F157)*DA157</f>
        <v>0</v>
      </c>
      <c r="DC157" s="84" t="n">
        <f aca="false">CZ157+$F157*DA157</f>
        <v>0</v>
      </c>
      <c r="DD157" s="84" t="n">
        <f aca="false">CN157+CX157+(1-$F157)*DA157</f>
        <v>0</v>
      </c>
      <c r="DE157" s="84" t="n">
        <f aca="false">CO157+DC157</f>
        <v>0</v>
      </c>
      <c r="DF157" s="133" t="n">
        <f aca="false">CS157+$D157*Inputs!$G$13-$D157*$E157</f>
        <v>23696.1206528</v>
      </c>
      <c r="DG157" s="84" t="n">
        <f aca="false">DF157*(1+$I157)</f>
        <v>26539.655131136</v>
      </c>
      <c r="DH157" s="133" t="n">
        <f aca="false">DG157*Inputs!$G$14</f>
        <v>5307.9310262272</v>
      </c>
      <c r="DI157" s="84" t="n">
        <f aca="false">DG157-DH157</f>
        <v>21231.7241049088</v>
      </c>
      <c r="DJ157" s="133" t="n">
        <f aca="false">CV157+$D157*Inputs!$G$13</f>
        <v>20000</v>
      </c>
      <c r="DK157" s="84" t="n">
        <f aca="false">MIN(DH157,DJ157)</f>
        <v>5307.9310262272</v>
      </c>
      <c r="DL157" s="84" t="n">
        <f aca="false">DJ157-DK157</f>
        <v>14692.0689737728</v>
      </c>
      <c r="DM157" s="84" t="n">
        <f aca="false">CY157+$G157*(DJ157+CY157)</f>
        <v>0</v>
      </c>
      <c r="DN157" s="84" t="n">
        <f aca="false">MIN(DH157-DK157,DM157)</f>
        <v>0</v>
      </c>
      <c r="DO157" s="84" t="n">
        <f aca="false">DM157-DN157</f>
        <v>0</v>
      </c>
      <c r="DP157" s="84" t="n">
        <f aca="false">IF($H157=1,MIN(DH157-DK157-DN157,MAX(0,$F157/(1-$F157)*(DD157+DN157)-DE157)),0)</f>
        <v>0</v>
      </c>
      <c r="DQ157" s="84" t="n">
        <f aca="false">DH157-DK157-DN157-DP157</f>
        <v>0</v>
      </c>
      <c r="DR157" s="84" t="n">
        <f aca="false">DK157+DN157+(1-$F157)*DQ157</f>
        <v>5307.9310262272</v>
      </c>
      <c r="DS157" s="84" t="n">
        <f aca="false">DP157+$F157*DQ157</f>
        <v>0</v>
      </c>
      <c r="DT157" s="84" t="n">
        <f aca="false">DD157+DN157+(1-$F157)*DQ157</f>
        <v>0</v>
      </c>
      <c r="DU157" s="84" t="n">
        <f aca="false">DE157+DS157</f>
        <v>0</v>
      </c>
      <c r="DV157" s="133" t="n">
        <f aca="false">DI157+$D157*Inputs!$H$13-$D157*$E157</f>
        <v>20961.7241049088</v>
      </c>
      <c r="DW157" s="84" t="n">
        <f aca="false">DV157*(1+$I157)</f>
        <v>23477.1309974979</v>
      </c>
      <c r="DX157" s="133" t="n">
        <f aca="false">DW157*Inputs!$H$14</f>
        <v>4695.42619949957</v>
      </c>
      <c r="DY157" s="84" t="n">
        <f aca="false">DW157-DX157</f>
        <v>18781.7047979983</v>
      </c>
      <c r="DZ157" s="133" t="n">
        <f aca="false">DL157+$D157*Inputs!$H$13</f>
        <v>14692.0689737728</v>
      </c>
      <c r="EA157" s="84" t="n">
        <f aca="false">MIN(DX157,DZ157)</f>
        <v>4695.42619949957</v>
      </c>
      <c r="EB157" s="84" t="n">
        <f aca="false">DZ157-EA157</f>
        <v>9996.64277427323</v>
      </c>
      <c r="EC157" s="84" t="n">
        <f aca="false">DO157+$G157*(DZ157+DO157)</f>
        <v>0</v>
      </c>
      <c r="ED157" s="84" t="n">
        <f aca="false">MIN(DX157-EA157,EC157)</f>
        <v>0</v>
      </c>
      <c r="EE157" s="84" t="n">
        <f aca="false">EC157-ED157</f>
        <v>0</v>
      </c>
      <c r="EF157" s="84" t="n">
        <f aca="false">IF($H157=1,MIN(DX157-EA157-ED157,MAX(0,$F157/(1-$F157)*(DT157+ED157)-DU157)),0)</f>
        <v>0</v>
      </c>
      <c r="EG157" s="84" t="n">
        <f aca="false">DX157-EA157-ED157-EF157</f>
        <v>0</v>
      </c>
      <c r="EH157" s="84" t="n">
        <f aca="false">EA157+ED157+(1-$F157)*EG157</f>
        <v>4695.42619949957</v>
      </c>
      <c r="EI157" s="84" t="n">
        <f aca="false">EF157+$F157*EG157</f>
        <v>0</v>
      </c>
      <c r="EJ157" s="84" t="n">
        <f aca="false">DT157+ED157+(1-$F157)*EG157</f>
        <v>0</v>
      </c>
      <c r="EK157" s="84" t="n">
        <f aca="false">DU157+EI157</f>
        <v>0</v>
      </c>
      <c r="EL157" s="133" t="n">
        <f aca="false">DY157+$D157*Inputs!$I$13-$D157*$E157</f>
        <v>18511.7047979983</v>
      </c>
      <c r="EM157" s="84" t="n">
        <f aca="false">EL157*(1+$I157)</f>
        <v>20733.1093737581</v>
      </c>
      <c r="EN157" s="133" t="n">
        <f aca="false">EM157*Inputs!$I$14</f>
        <v>4146.62187475162</v>
      </c>
      <c r="EO157" s="84" t="n">
        <f aca="false">EM157-EN157</f>
        <v>16586.4874990065</v>
      </c>
      <c r="EP157" s="133" t="n">
        <f aca="false">EB157+$D157*Inputs!$I$13</f>
        <v>9996.64277427323</v>
      </c>
      <c r="EQ157" s="84" t="n">
        <f aca="false">MIN(EN157,EP157)</f>
        <v>4146.62187475162</v>
      </c>
      <c r="ER157" s="84" t="n">
        <f aca="false">EP157-EQ157</f>
        <v>5850.02089952161</v>
      </c>
      <c r="ES157" s="84" t="n">
        <f aca="false">EE157+$G157*(EP157+EE157)</f>
        <v>0</v>
      </c>
      <c r="ET157" s="84" t="n">
        <f aca="false">MIN(EN157-EQ157,ES157)</f>
        <v>0</v>
      </c>
      <c r="EU157" s="84" t="n">
        <f aca="false">ES157-ET157</f>
        <v>0</v>
      </c>
      <c r="EV157" s="84" t="n">
        <f aca="false">IF($H157=1,MIN(EN157-EQ157-ET157,MAX(0,$F157/(1-$F157)*(EJ157+ET157)-EK157)),0)</f>
        <v>0</v>
      </c>
      <c r="EW157" s="84" t="n">
        <f aca="false">EN157-EQ157-ET157-EV157</f>
        <v>0</v>
      </c>
      <c r="EX157" s="84" t="n">
        <f aca="false">EQ157+ET157+(1-$F157)*EW157</f>
        <v>4146.62187475162</v>
      </c>
      <c r="EY157" s="84" t="n">
        <f aca="false">EV157+$F157*EW157</f>
        <v>0</v>
      </c>
      <c r="EZ157" s="84" t="n">
        <f aca="false">EJ157+ET157+(1-$F157)*EW157</f>
        <v>0</v>
      </c>
      <c r="FA157" s="84" t="n">
        <f aca="false">EK157+EY157</f>
        <v>0</v>
      </c>
      <c r="FB157" s="133" t="n">
        <f aca="false">EO157+$D157*Inputs!$J$13-$D157*$E157</f>
        <v>16316.4874990065</v>
      </c>
      <c r="FC157" s="84" t="n">
        <f aca="false">FB157*(1+$I157)</f>
        <v>18274.4659988872</v>
      </c>
      <c r="FD157" s="133" t="n">
        <f aca="false">FC157*Inputs!$J$14</f>
        <v>3654.89319977745</v>
      </c>
      <c r="FE157" s="84" t="n">
        <f aca="false">FC157-FD157</f>
        <v>14619.5727991098</v>
      </c>
      <c r="FF157" s="133" t="n">
        <f aca="false">ER157+$D157*Inputs!$J$13</f>
        <v>5850.02089952161</v>
      </c>
      <c r="FG157" s="84" t="n">
        <f aca="false">MIN(FD157,FF157)</f>
        <v>3654.89319977745</v>
      </c>
      <c r="FH157" s="84" t="n">
        <f aca="false">FF157-FG157</f>
        <v>2195.12769974416</v>
      </c>
      <c r="FI157" s="84" t="n">
        <f aca="false">EU157+$G157*(FF157+EU157)</f>
        <v>0</v>
      </c>
      <c r="FJ157" s="84" t="n">
        <f aca="false">MIN(FD157-FG157,FI157)</f>
        <v>0</v>
      </c>
      <c r="FK157" s="84" t="n">
        <f aca="false">FI157-FJ157</f>
        <v>0</v>
      </c>
      <c r="FL157" s="84" t="n">
        <f aca="false">IF($H157=1,MIN(FD157-FG157-FJ157,MAX(0,$F157/(1-$F157)*(EZ157+FJ157)-FA157)),0)</f>
        <v>0</v>
      </c>
      <c r="FM157" s="84" t="n">
        <f aca="false">FD157-FG157-FJ157-FL157</f>
        <v>0</v>
      </c>
      <c r="FN157" s="84" t="n">
        <f aca="false">FG157+FJ157+(1-$F157)*FM157</f>
        <v>3654.89319977745</v>
      </c>
      <c r="FO157" s="84" t="n">
        <f aca="false">FL157+$F157*FM157</f>
        <v>0</v>
      </c>
      <c r="FP157" s="84" t="n">
        <f aca="false">EZ157+FJ157+(1-$F157)*FM157</f>
        <v>0</v>
      </c>
      <c r="FQ157" s="84" t="n">
        <f aca="false">FA157+FO157</f>
        <v>0</v>
      </c>
      <c r="FR157" s="133" t="n">
        <f aca="false">FE157+$D157*Inputs!$K$13-$D157*$E157</f>
        <v>14349.5727991098</v>
      </c>
      <c r="FS157" s="84" t="n">
        <f aca="false">FR157*(1+$I157)</f>
        <v>16071.521535003</v>
      </c>
      <c r="FT157" s="133" t="n">
        <f aca="false">FS157*Inputs!$K$14</f>
        <v>3214.30430700059</v>
      </c>
      <c r="FU157" s="84" t="n">
        <f aca="false">FS157-FT157</f>
        <v>12857.2172280024</v>
      </c>
      <c r="FV157" s="133" t="n">
        <f aca="false">FH157+$D157*Inputs!$K$13</f>
        <v>2195.12769974416</v>
      </c>
      <c r="FW157" s="84" t="n">
        <f aca="false">MIN(FT157,FV157)</f>
        <v>2195.12769974416</v>
      </c>
      <c r="FX157" s="84" t="n">
        <f aca="false">FV157-FW157</f>
        <v>0</v>
      </c>
      <c r="FY157" s="84" t="n">
        <f aca="false">FK157+$G157*(FV157+FK157)</f>
        <v>0</v>
      </c>
      <c r="FZ157" s="84" t="n">
        <f aca="false">MIN(FT157-FW157,FY157)</f>
        <v>0</v>
      </c>
      <c r="GA157" s="84" t="n">
        <f aca="false">FY157-FZ157</f>
        <v>0</v>
      </c>
      <c r="GB157" s="84" t="n">
        <f aca="false">IF($H157=1,MIN(FT157-FW157-FZ157,MAX(0,$F157/(1-$F157)*(FP157+FZ157)-FQ157)),0)</f>
        <v>0</v>
      </c>
      <c r="GC157" s="84" t="n">
        <f aca="false">FT157-FW157-FZ157-GB157</f>
        <v>1019.17660725643</v>
      </c>
      <c r="GD157" s="84" t="n">
        <f aca="false">FW157+FZ157+(1-$F157)*GC157</f>
        <v>3061.42781591213</v>
      </c>
      <c r="GE157" s="84" t="n">
        <f aca="false">GB157+$F157*GC157</f>
        <v>152.876491088465</v>
      </c>
      <c r="GF157" s="84" t="n">
        <f aca="false">FP157+FZ157+(1-$F157)*GC157</f>
        <v>866.300116167968</v>
      </c>
      <c r="GG157" s="84" t="n">
        <f aca="false">FQ157+GE157</f>
        <v>152.876491088465</v>
      </c>
      <c r="GH157" s="133" t="n">
        <f aca="false">FU157+$D157*Inputs!$L$13-$D157*$E157</f>
        <v>12587.2172280024</v>
      </c>
      <c r="GI157" s="84" t="n">
        <f aca="false">GH157*(1+$I157)</f>
        <v>14097.6832953627</v>
      </c>
      <c r="GJ157" s="133" t="n">
        <f aca="false">GI157*Inputs!$L$14</f>
        <v>14097.6832953627</v>
      </c>
      <c r="GK157" s="84" t="n">
        <f aca="false">GI157-GJ157</f>
        <v>0</v>
      </c>
      <c r="GL157" s="133" t="n">
        <f aca="false">FX157+$D157*Inputs!$L$13</f>
        <v>0</v>
      </c>
      <c r="GM157" s="84" t="n">
        <f aca="false">MIN(GJ157,GL157)</f>
        <v>0</v>
      </c>
      <c r="GN157" s="84" t="n">
        <f aca="false">GL157-GM157</f>
        <v>0</v>
      </c>
      <c r="GO157" s="84" t="n">
        <f aca="false">GA157+$G157*(GL157+GA157)</f>
        <v>0</v>
      </c>
      <c r="GP157" s="84" t="n">
        <f aca="false">MIN(GJ157-GM157,GO157)</f>
        <v>0</v>
      </c>
      <c r="GQ157" s="84" t="n">
        <f aca="false">GO157-GP157</f>
        <v>0</v>
      </c>
      <c r="GR157" s="84" t="n">
        <f aca="false">IF($H157=1,MIN(GJ157-GM157-GP157,MAX(0,$F157/(1-$F157)*(GF157+GP157)-GG157)),0)</f>
        <v>0</v>
      </c>
      <c r="GS157" s="84" t="n">
        <f aca="false">GJ157-GM157-GP157-GR157</f>
        <v>14097.6832953627</v>
      </c>
      <c r="GT157" s="84" t="n">
        <f aca="false">GM157+GP157+(1-$F157)*GS157</f>
        <v>11983.0308010583</v>
      </c>
      <c r="GU157" s="84" t="n">
        <f aca="false">GR157+$F157*GS157</f>
        <v>2114.6524943044</v>
      </c>
      <c r="GV157" s="84" t="n">
        <f aca="false">GF157+GP157+(1-$F157)*GS157</f>
        <v>12849.3309172262</v>
      </c>
      <c r="GW157" s="84" t="n">
        <f aca="false">GG157+GU157</f>
        <v>2267.52898539286</v>
      </c>
    </row>
    <row r="158" customFormat="false" ht="15" hidden="false" customHeight="false" outlineLevel="0" collapsed="false">
      <c r="A158" s="5" t="s">
        <v>641</v>
      </c>
      <c r="B158" s="5" t="s">
        <v>429</v>
      </c>
      <c r="C158" s="135" t="n">
        <v>13</v>
      </c>
      <c r="D158" s="47" t="n">
        <f aca="false">Inputs!$C$6</f>
        <v>20000</v>
      </c>
      <c r="E158" s="35" t="n">
        <f aca="false">Inputs!$C$19</f>
        <v>0.0135</v>
      </c>
      <c r="F158" s="36" t="n">
        <f aca="false">Inputs!$C$21</f>
        <v>0.15</v>
      </c>
      <c r="G158" s="30" t="n">
        <v>0</v>
      </c>
      <c r="H158" s="27" t="n">
        <v>0</v>
      </c>
      <c r="I158" s="132" t="n">
        <f aca="false">Inputs!$C$38+$C158*Inputs!$C$39</f>
        <v>0.13</v>
      </c>
      <c r="J158" s="36" t="n">
        <f aca="false">Inputs!$C$9</f>
        <v>0.15</v>
      </c>
      <c r="K158" s="89" t="n">
        <f aca="false">IRR(W158:AG158,0.1)</f>
        <v>0.097987849171541</v>
      </c>
      <c r="L158" s="45" t="n">
        <f aca="false">W158+NPV($J158,X158:AG158)</f>
        <v>-3603.73959393938</v>
      </c>
      <c r="M158" s="45" t="n">
        <f aca="false">SUM(BF158,BV158,CL158,DB158,DR158,EH158,EX158,FN158,GD158,GT158)</f>
        <v>34641.6783667806</v>
      </c>
      <c r="N158" s="43" t="n">
        <f aca="false">IF($D158*SUM(Inputs!$C$13:$L$13)=0,0,M158/($D158*SUM(Inputs!$C$13:$L$13)))</f>
        <v>1.73208391833903</v>
      </c>
      <c r="O158" s="42" t="n">
        <f aca="false">$D158*$E158*COLUMNS(Inputs!$C$13:$L$13)</f>
        <v>2700</v>
      </c>
      <c r="P158" s="45" t="n">
        <f aca="false">SUM(BG158,BW158,CM158,DC158,DS158,EI158,EY158,FO158,GE158,GU158)</f>
        <v>2583.82559413775</v>
      </c>
      <c r="Q158" s="42" t="n">
        <f aca="false">PV($J158,COLUMNS(Inputs!$C$13:$L$13),-$D158*$E158,0,1)</f>
        <v>1558.32765832774</v>
      </c>
      <c r="R158" s="45" t="n">
        <f aca="false">NPV($J158,BG158,BW158,CM158,DC158,DS158,EI158,EY158,FO158,GE158,GU158)</f>
        <v>649.776725677764</v>
      </c>
      <c r="S158" s="45" t="n">
        <f aca="false">Q158+R158</f>
        <v>2208.1043840055</v>
      </c>
      <c r="T158" s="32" t="n">
        <f aca="false">IF(S158=0,0,Q158/S158)</f>
        <v>0.705730974321482</v>
      </c>
      <c r="U158" s="45" t="n">
        <f aca="false">ROUND(ABS(GK158)+ABS(SUM(AV158,BL158,CB158,CR158,DH158,DX158,EN158,FD158,FT158,GJ158)-M158-P158)+ABS(S158-(AH158+NPV($J158,AI158:AR158))),6)</f>
        <v>0</v>
      </c>
      <c r="W158" s="133" t="n">
        <f aca="false">-$D158*Inputs!$C$13</f>
        <v>-4000</v>
      </c>
      <c r="X158" s="133" t="n">
        <f aca="false">BF158-$D158*Inputs!$D$13</f>
        <v>-4000</v>
      </c>
      <c r="Y158" s="133" t="n">
        <f aca="false">BV158-$D158*Inputs!$E$13</f>
        <v>-4000</v>
      </c>
      <c r="Z158" s="133" t="n">
        <f aca="false">CL158-$D158*Inputs!$F$13</f>
        <v>-4000</v>
      </c>
      <c r="AA158" s="133" t="n">
        <f aca="false">DB158-$D158*Inputs!$G$13</f>
        <v>-4000</v>
      </c>
      <c r="AB158" s="133" t="n">
        <f aca="false">DR158-$D158*Inputs!$H$13</f>
        <v>5462.7385188178</v>
      </c>
      <c r="AC158" s="133" t="n">
        <f aca="false">EH158-$D158*Inputs!$I$13</f>
        <v>4877.29562101129</v>
      </c>
      <c r="AD158" s="133" t="n">
        <f aca="false">EX158-$D158*Inputs!$J$13</f>
        <v>4348.05524139421</v>
      </c>
      <c r="AE158" s="133" t="n">
        <f aca="false">FN158-$D158*Inputs!$K$13</f>
        <v>3869.62193822036</v>
      </c>
      <c r="AF158" s="133" t="n">
        <f aca="false">GD158-$D158*Inputs!$L$13</f>
        <v>3137.89379941198</v>
      </c>
      <c r="AG158" s="84" t="n">
        <f aca="false">GT158</f>
        <v>12946.0732479249</v>
      </c>
      <c r="AH158" s="84" t="n">
        <f aca="false">$D158*$E158</f>
        <v>270</v>
      </c>
      <c r="AI158" s="84" t="n">
        <f aca="false">BG158+$D158*$E158</f>
        <v>270</v>
      </c>
      <c r="AJ158" s="84" t="n">
        <f aca="false">BW158+$D158*$E158</f>
        <v>270</v>
      </c>
      <c r="AK158" s="84" t="n">
        <f aca="false">CM158+$D158*$E158</f>
        <v>270</v>
      </c>
      <c r="AL158" s="84" t="n">
        <f aca="false">DC158+$D158*$E158</f>
        <v>270</v>
      </c>
      <c r="AM158" s="84" t="n">
        <f aca="false">DS158+$D158*$E158</f>
        <v>270</v>
      </c>
      <c r="AN158" s="84" t="n">
        <f aca="false">EI158+$D158*$E158</f>
        <v>270</v>
      </c>
      <c r="AO158" s="84" t="n">
        <f aca="false">EY158+$D158*$E158</f>
        <v>270</v>
      </c>
      <c r="AP158" s="84" t="n">
        <f aca="false">FO158+$D158*$E158</f>
        <v>270</v>
      </c>
      <c r="AQ158" s="84" t="n">
        <f aca="false">GE158+$D158*$E158</f>
        <v>569.224432739229</v>
      </c>
      <c r="AR158" s="84" t="n">
        <f aca="false">GU158</f>
        <v>2284.60116139852</v>
      </c>
      <c r="AT158" s="133" t="n">
        <f aca="false">$D158*Inputs!$C$13-$D158*$E158</f>
        <v>3730</v>
      </c>
      <c r="AU158" s="84" t="n">
        <f aca="false">AT158*(1+$I158)</f>
        <v>4214.9</v>
      </c>
      <c r="AV158" s="133" t="n">
        <f aca="false">AU158*Inputs!$C$14</f>
        <v>0</v>
      </c>
      <c r="AW158" s="84" t="n">
        <f aca="false">AU158-AV158</f>
        <v>4214.9</v>
      </c>
      <c r="AX158" s="133" t="n">
        <f aca="false">$D158*Inputs!$C$13</f>
        <v>4000</v>
      </c>
      <c r="AY158" s="84" t="n">
        <f aca="false">MIN(AV158,AX158)</f>
        <v>0</v>
      </c>
      <c r="AZ158" s="84" t="n">
        <f aca="false">AX158-AY158</f>
        <v>4000</v>
      </c>
      <c r="BA158" s="84" t="n">
        <f aca="false">$G158*AX158</f>
        <v>0</v>
      </c>
      <c r="BB158" s="84" t="n">
        <f aca="false">MIN(AV158-AY158,BA158)</f>
        <v>0</v>
      </c>
      <c r="BC158" s="84" t="n">
        <f aca="false">BA158-BB158</f>
        <v>0</v>
      </c>
      <c r="BD158" s="84" t="n">
        <f aca="false">IF($H158=1,MIN(AV158-AY158-BB158,MAX(0,$F158/(1-$F158)*BB158)),0)</f>
        <v>0</v>
      </c>
      <c r="BE158" s="84" t="n">
        <f aca="false">AV158-AY158-BB158-BD158</f>
        <v>0</v>
      </c>
      <c r="BF158" s="84" t="n">
        <f aca="false">AY158+BB158+(1-$F158)*BE158</f>
        <v>0</v>
      </c>
      <c r="BG158" s="84" t="n">
        <f aca="false">BD158+$F158*BE158</f>
        <v>0</v>
      </c>
      <c r="BH158" s="84" t="n">
        <f aca="false">BB158+(1-$F158)*BE158</f>
        <v>0</v>
      </c>
      <c r="BI158" s="84" t="n">
        <f aca="false">BG158</f>
        <v>0</v>
      </c>
      <c r="BJ158" s="133" t="n">
        <f aca="false">AW158+$D158*Inputs!$D$13-$D158*$E158</f>
        <v>7944.9</v>
      </c>
      <c r="BK158" s="84" t="n">
        <f aca="false">BJ158*(1+$I158)</f>
        <v>8977.737</v>
      </c>
      <c r="BL158" s="133" t="n">
        <f aca="false">BK158*Inputs!$D$14</f>
        <v>0</v>
      </c>
      <c r="BM158" s="84" t="n">
        <f aca="false">BK158-BL158</f>
        <v>8977.737</v>
      </c>
      <c r="BN158" s="133" t="n">
        <f aca="false">AZ158+$D158*Inputs!$D$13</f>
        <v>8000</v>
      </c>
      <c r="BO158" s="84" t="n">
        <f aca="false">MIN(BL158,BN158)</f>
        <v>0</v>
      </c>
      <c r="BP158" s="84" t="n">
        <f aca="false">BN158-BO158</f>
        <v>8000</v>
      </c>
      <c r="BQ158" s="84" t="n">
        <f aca="false">BC158+$G158*(BN158+BC158)</f>
        <v>0</v>
      </c>
      <c r="BR158" s="84" t="n">
        <f aca="false">MIN(BL158-BO158,BQ158)</f>
        <v>0</v>
      </c>
      <c r="BS158" s="84" t="n">
        <f aca="false">BQ158-BR158</f>
        <v>0</v>
      </c>
      <c r="BT158" s="84" t="n">
        <f aca="false">IF($H158=1,MIN(BL158-BO158-BR158,MAX(0,$F158/(1-$F158)*(BH158+BR158)-BI158)),0)</f>
        <v>0</v>
      </c>
      <c r="BU158" s="84" t="n">
        <f aca="false">BL158-BO158-BR158-BT158</f>
        <v>0</v>
      </c>
      <c r="BV158" s="84" t="n">
        <f aca="false">BO158+BR158+(1-$F158)*BU158</f>
        <v>0</v>
      </c>
      <c r="BW158" s="84" t="n">
        <f aca="false">BT158+$F158*BU158</f>
        <v>0</v>
      </c>
      <c r="BX158" s="84" t="n">
        <f aca="false">BH158+BR158+(1-$F158)*BU158</f>
        <v>0</v>
      </c>
      <c r="BY158" s="84" t="n">
        <f aca="false">BI158+BW158</f>
        <v>0</v>
      </c>
      <c r="BZ158" s="133" t="n">
        <f aca="false">BM158+$D158*Inputs!$E$13-$D158*$E158</f>
        <v>12707.737</v>
      </c>
      <c r="CA158" s="84" t="n">
        <f aca="false">BZ158*(1+$I158)</f>
        <v>14359.74281</v>
      </c>
      <c r="CB158" s="133" t="n">
        <f aca="false">CA158*Inputs!$E$14</f>
        <v>0</v>
      </c>
      <c r="CC158" s="84" t="n">
        <f aca="false">CA158-CB158</f>
        <v>14359.74281</v>
      </c>
      <c r="CD158" s="133" t="n">
        <f aca="false">BP158+$D158*Inputs!$E$13</f>
        <v>12000</v>
      </c>
      <c r="CE158" s="84" t="n">
        <f aca="false">MIN(CB158,CD158)</f>
        <v>0</v>
      </c>
      <c r="CF158" s="84" t="n">
        <f aca="false">CD158-CE158</f>
        <v>12000</v>
      </c>
      <c r="CG158" s="84" t="n">
        <f aca="false">BS158+$G158*(CD158+BS158)</f>
        <v>0</v>
      </c>
      <c r="CH158" s="84" t="n">
        <f aca="false">MIN(CB158-CE158,CG158)</f>
        <v>0</v>
      </c>
      <c r="CI158" s="84" t="n">
        <f aca="false">CG158-CH158</f>
        <v>0</v>
      </c>
      <c r="CJ158" s="84" t="n">
        <f aca="false">IF($H158=1,MIN(CB158-CE158-CH158,MAX(0,$F158/(1-$F158)*(BX158+CH158)-BY158)),0)</f>
        <v>0</v>
      </c>
      <c r="CK158" s="84" t="n">
        <f aca="false">CB158-CE158-CH158-CJ158</f>
        <v>0</v>
      </c>
      <c r="CL158" s="84" t="n">
        <f aca="false">CE158+CH158+(1-$F158)*CK158</f>
        <v>0</v>
      </c>
      <c r="CM158" s="84" t="n">
        <f aca="false">CJ158+$F158*CK158</f>
        <v>0</v>
      </c>
      <c r="CN158" s="84" t="n">
        <f aca="false">BX158+CH158+(1-$F158)*CK158</f>
        <v>0</v>
      </c>
      <c r="CO158" s="84" t="n">
        <f aca="false">BY158+CM158</f>
        <v>0</v>
      </c>
      <c r="CP158" s="133" t="n">
        <f aca="false">CC158+$D158*Inputs!$F$13-$D158*$E158</f>
        <v>18089.74281</v>
      </c>
      <c r="CQ158" s="84" t="n">
        <f aca="false">CP158*(1+$I158)</f>
        <v>20441.4093753</v>
      </c>
      <c r="CR158" s="133" t="n">
        <f aca="false">CQ158*Inputs!$F$14</f>
        <v>0</v>
      </c>
      <c r="CS158" s="84" t="n">
        <f aca="false">CQ158-CR158</f>
        <v>20441.4093753</v>
      </c>
      <c r="CT158" s="133" t="n">
        <f aca="false">CF158+$D158*Inputs!$F$13</f>
        <v>16000</v>
      </c>
      <c r="CU158" s="84" t="n">
        <f aca="false">MIN(CR158,CT158)</f>
        <v>0</v>
      </c>
      <c r="CV158" s="84" t="n">
        <f aca="false">CT158-CU158</f>
        <v>16000</v>
      </c>
      <c r="CW158" s="84" t="n">
        <f aca="false">CI158+$G158*(CT158+CI158)</f>
        <v>0</v>
      </c>
      <c r="CX158" s="84" t="n">
        <f aca="false">MIN(CR158-CU158,CW158)</f>
        <v>0</v>
      </c>
      <c r="CY158" s="84" t="n">
        <f aca="false">CW158-CX158</f>
        <v>0</v>
      </c>
      <c r="CZ158" s="84" t="n">
        <f aca="false">IF($H158=1,MIN(CR158-CU158-CX158,MAX(0,$F158/(1-$F158)*(CN158+CX158)-CO158)),0)</f>
        <v>0</v>
      </c>
      <c r="DA158" s="84" t="n">
        <f aca="false">CR158-CU158-CX158-CZ158</f>
        <v>0</v>
      </c>
      <c r="DB158" s="84" t="n">
        <f aca="false">CU158+CX158+(1-$F158)*DA158</f>
        <v>0</v>
      </c>
      <c r="DC158" s="84" t="n">
        <f aca="false">CZ158+$F158*DA158</f>
        <v>0</v>
      </c>
      <c r="DD158" s="84" t="n">
        <f aca="false">CN158+CX158+(1-$F158)*DA158</f>
        <v>0</v>
      </c>
      <c r="DE158" s="84" t="n">
        <f aca="false">CO158+DC158</f>
        <v>0</v>
      </c>
      <c r="DF158" s="133" t="n">
        <f aca="false">CS158+$D158*Inputs!$G$13-$D158*$E158</f>
        <v>24171.4093753</v>
      </c>
      <c r="DG158" s="84" t="n">
        <f aca="false">DF158*(1+$I158)</f>
        <v>27313.692594089</v>
      </c>
      <c r="DH158" s="133" t="n">
        <f aca="false">DG158*Inputs!$G$14</f>
        <v>5462.7385188178</v>
      </c>
      <c r="DI158" s="84" t="n">
        <f aca="false">DG158-DH158</f>
        <v>21850.9540752712</v>
      </c>
      <c r="DJ158" s="133" t="n">
        <f aca="false">CV158+$D158*Inputs!$G$13</f>
        <v>20000</v>
      </c>
      <c r="DK158" s="84" t="n">
        <f aca="false">MIN(DH158,DJ158)</f>
        <v>5462.7385188178</v>
      </c>
      <c r="DL158" s="84" t="n">
        <f aca="false">DJ158-DK158</f>
        <v>14537.2614811822</v>
      </c>
      <c r="DM158" s="84" t="n">
        <f aca="false">CY158+$G158*(DJ158+CY158)</f>
        <v>0</v>
      </c>
      <c r="DN158" s="84" t="n">
        <f aca="false">MIN(DH158-DK158,DM158)</f>
        <v>0</v>
      </c>
      <c r="DO158" s="84" t="n">
        <f aca="false">DM158-DN158</f>
        <v>0</v>
      </c>
      <c r="DP158" s="84" t="n">
        <f aca="false">IF($H158=1,MIN(DH158-DK158-DN158,MAX(0,$F158/(1-$F158)*(DD158+DN158)-DE158)),0)</f>
        <v>0</v>
      </c>
      <c r="DQ158" s="84" t="n">
        <f aca="false">DH158-DK158-DN158-DP158</f>
        <v>0</v>
      </c>
      <c r="DR158" s="84" t="n">
        <f aca="false">DK158+DN158+(1-$F158)*DQ158</f>
        <v>5462.7385188178</v>
      </c>
      <c r="DS158" s="84" t="n">
        <f aca="false">DP158+$F158*DQ158</f>
        <v>0</v>
      </c>
      <c r="DT158" s="84" t="n">
        <f aca="false">DD158+DN158+(1-$F158)*DQ158</f>
        <v>0</v>
      </c>
      <c r="DU158" s="84" t="n">
        <f aca="false">DE158+DS158</f>
        <v>0</v>
      </c>
      <c r="DV158" s="133" t="n">
        <f aca="false">DI158+$D158*Inputs!$H$13-$D158*$E158</f>
        <v>21580.9540752712</v>
      </c>
      <c r="DW158" s="84" t="n">
        <f aca="false">DV158*(1+$I158)</f>
        <v>24386.4781050565</v>
      </c>
      <c r="DX158" s="133" t="n">
        <f aca="false">DW158*Inputs!$H$14</f>
        <v>4877.29562101129</v>
      </c>
      <c r="DY158" s="84" t="n">
        <f aca="false">DW158-DX158</f>
        <v>19509.1824840452</v>
      </c>
      <c r="DZ158" s="133" t="n">
        <f aca="false">DL158+$D158*Inputs!$H$13</f>
        <v>14537.2614811822</v>
      </c>
      <c r="EA158" s="84" t="n">
        <f aca="false">MIN(DX158,DZ158)</f>
        <v>4877.29562101129</v>
      </c>
      <c r="EB158" s="84" t="n">
        <f aca="false">DZ158-EA158</f>
        <v>9659.96586017091</v>
      </c>
      <c r="EC158" s="84" t="n">
        <f aca="false">DO158+$G158*(DZ158+DO158)</f>
        <v>0</v>
      </c>
      <c r="ED158" s="84" t="n">
        <f aca="false">MIN(DX158-EA158,EC158)</f>
        <v>0</v>
      </c>
      <c r="EE158" s="84" t="n">
        <f aca="false">EC158-ED158</f>
        <v>0</v>
      </c>
      <c r="EF158" s="84" t="n">
        <f aca="false">IF($H158=1,MIN(DX158-EA158-ED158,MAX(0,$F158/(1-$F158)*(DT158+ED158)-DU158)),0)</f>
        <v>0</v>
      </c>
      <c r="EG158" s="84" t="n">
        <f aca="false">DX158-EA158-ED158-EF158</f>
        <v>0</v>
      </c>
      <c r="EH158" s="84" t="n">
        <f aca="false">EA158+ED158+(1-$F158)*EG158</f>
        <v>4877.29562101129</v>
      </c>
      <c r="EI158" s="84" t="n">
        <f aca="false">EF158+$F158*EG158</f>
        <v>0</v>
      </c>
      <c r="EJ158" s="84" t="n">
        <f aca="false">DT158+ED158+(1-$F158)*EG158</f>
        <v>0</v>
      </c>
      <c r="EK158" s="84" t="n">
        <f aca="false">DU158+EI158</f>
        <v>0</v>
      </c>
      <c r="EL158" s="133" t="n">
        <f aca="false">DY158+$D158*Inputs!$I$13-$D158*$E158</f>
        <v>19239.1824840452</v>
      </c>
      <c r="EM158" s="84" t="n">
        <f aca="false">EL158*(1+$I158)</f>
        <v>21740.276206971</v>
      </c>
      <c r="EN158" s="133" t="n">
        <f aca="false">EM158*Inputs!$I$14</f>
        <v>4348.05524139421</v>
      </c>
      <c r="EO158" s="84" t="n">
        <f aca="false">EM158-EN158</f>
        <v>17392.2209655768</v>
      </c>
      <c r="EP158" s="133" t="n">
        <f aca="false">EB158+$D158*Inputs!$I$13</f>
        <v>9659.96586017091</v>
      </c>
      <c r="EQ158" s="84" t="n">
        <f aca="false">MIN(EN158,EP158)</f>
        <v>4348.05524139421</v>
      </c>
      <c r="ER158" s="84" t="n">
        <f aca="false">EP158-EQ158</f>
        <v>5311.91061877671</v>
      </c>
      <c r="ES158" s="84" t="n">
        <f aca="false">EE158+$G158*(EP158+EE158)</f>
        <v>0</v>
      </c>
      <c r="ET158" s="84" t="n">
        <f aca="false">MIN(EN158-EQ158,ES158)</f>
        <v>0</v>
      </c>
      <c r="EU158" s="84" t="n">
        <f aca="false">ES158-ET158</f>
        <v>0</v>
      </c>
      <c r="EV158" s="84" t="n">
        <f aca="false">IF($H158=1,MIN(EN158-EQ158-ET158,MAX(0,$F158/(1-$F158)*(EJ158+ET158)-EK158)),0)</f>
        <v>0</v>
      </c>
      <c r="EW158" s="84" t="n">
        <f aca="false">EN158-EQ158-ET158-EV158</f>
        <v>0</v>
      </c>
      <c r="EX158" s="84" t="n">
        <f aca="false">EQ158+ET158+(1-$F158)*EW158</f>
        <v>4348.05524139421</v>
      </c>
      <c r="EY158" s="84" t="n">
        <f aca="false">EV158+$F158*EW158</f>
        <v>0</v>
      </c>
      <c r="EZ158" s="84" t="n">
        <f aca="false">EJ158+ET158+(1-$F158)*EW158</f>
        <v>0</v>
      </c>
      <c r="FA158" s="84" t="n">
        <f aca="false">EK158+EY158</f>
        <v>0</v>
      </c>
      <c r="FB158" s="133" t="n">
        <f aca="false">EO158+$D158*Inputs!$J$13-$D158*$E158</f>
        <v>17122.2209655768</v>
      </c>
      <c r="FC158" s="84" t="n">
        <f aca="false">FB158*(1+$I158)</f>
        <v>19348.1096911018</v>
      </c>
      <c r="FD158" s="133" t="n">
        <f aca="false">FC158*Inputs!$J$14</f>
        <v>3869.62193822036</v>
      </c>
      <c r="FE158" s="84" t="n">
        <f aca="false">FC158-FD158</f>
        <v>15478.4877528814</v>
      </c>
      <c r="FF158" s="133" t="n">
        <f aca="false">ER158+$D158*Inputs!$J$13</f>
        <v>5311.91061877671</v>
      </c>
      <c r="FG158" s="84" t="n">
        <f aca="false">MIN(FD158,FF158)</f>
        <v>3869.62193822036</v>
      </c>
      <c r="FH158" s="84" t="n">
        <f aca="false">FF158-FG158</f>
        <v>1442.28868055635</v>
      </c>
      <c r="FI158" s="84" t="n">
        <f aca="false">EU158+$G158*(FF158+EU158)</f>
        <v>0</v>
      </c>
      <c r="FJ158" s="84" t="n">
        <f aca="false">MIN(FD158-FG158,FI158)</f>
        <v>0</v>
      </c>
      <c r="FK158" s="84" t="n">
        <f aca="false">FI158-FJ158</f>
        <v>0</v>
      </c>
      <c r="FL158" s="84" t="n">
        <f aca="false">IF($H158=1,MIN(FD158-FG158-FJ158,MAX(0,$F158/(1-$F158)*(EZ158+FJ158)-FA158)),0)</f>
        <v>0</v>
      </c>
      <c r="FM158" s="84" t="n">
        <f aca="false">FD158-FG158-FJ158-FL158</f>
        <v>0</v>
      </c>
      <c r="FN158" s="84" t="n">
        <f aca="false">FG158+FJ158+(1-$F158)*FM158</f>
        <v>3869.62193822036</v>
      </c>
      <c r="FO158" s="84" t="n">
        <f aca="false">FL158+$F158*FM158</f>
        <v>0</v>
      </c>
      <c r="FP158" s="84" t="n">
        <f aca="false">EZ158+FJ158+(1-$F158)*FM158</f>
        <v>0</v>
      </c>
      <c r="FQ158" s="84" t="n">
        <f aca="false">FA158+FO158</f>
        <v>0</v>
      </c>
      <c r="FR158" s="133" t="n">
        <f aca="false">FE158+$D158*Inputs!$K$13-$D158*$E158</f>
        <v>15208.4877528814</v>
      </c>
      <c r="FS158" s="84" t="n">
        <f aca="false">FR158*(1+$I158)</f>
        <v>17185.591160756</v>
      </c>
      <c r="FT158" s="133" t="n">
        <f aca="false">FS158*Inputs!$K$14</f>
        <v>3437.11823215121</v>
      </c>
      <c r="FU158" s="84" t="n">
        <f aca="false">FS158-FT158</f>
        <v>13748.4729286048</v>
      </c>
      <c r="FV158" s="133" t="n">
        <f aca="false">FH158+$D158*Inputs!$K$13</f>
        <v>1442.28868055635</v>
      </c>
      <c r="FW158" s="84" t="n">
        <f aca="false">MIN(FT158,FV158)</f>
        <v>1442.28868055635</v>
      </c>
      <c r="FX158" s="84" t="n">
        <f aca="false">FV158-FW158</f>
        <v>0</v>
      </c>
      <c r="FY158" s="84" t="n">
        <f aca="false">FK158+$G158*(FV158+FK158)</f>
        <v>0</v>
      </c>
      <c r="FZ158" s="84" t="n">
        <f aca="false">MIN(FT158-FW158,FY158)</f>
        <v>0</v>
      </c>
      <c r="GA158" s="84" t="n">
        <f aca="false">FY158-FZ158</f>
        <v>0</v>
      </c>
      <c r="GB158" s="84" t="n">
        <f aca="false">IF($H158=1,MIN(FT158-FW158-FZ158,MAX(0,$F158/(1-$F158)*(FP158+FZ158)-FQ158)),0)</f>
        <v>0</v>
      </c>
      <c r="GC158" s="84" t="n">
        <f aca="false">FT158-FW158-FZ158-GB158</f>
        <v>1994.82955159486</v>
      </c>
      <c r="GD158" s="84" t="n">
        <f aca="false">FW158+FZ158+(1-$F158)*GC158</f>
        <v>3137.89379941198</v>
      </c>
      <c r="GE158" s="84" t="n">
        <f aca="false">GB158+$F158*GC158</f>
        <v>299.224432739229</v>
      </c>
      <c r="GF158" s="84" t="n">
        <f aca="false">FP158+FZ158+(1-$F158)*GC158</f>
        <v>1695.60511885563</v>
      </c>
      <c r="GG158" s="84" t="n">
        <f aca="false">FQ158+GE158</f>
        <v>299.224432739229</v>
      </c>
      <c r="GH158" s="133" t="n">
        <f aca="false">FU158+$D158*Inputs!$L$13-$D158*$E158</f>
        <v>13478.4729286048</v>
      </c>
      <c r="GI158" s="84" t="n">
        <f aca="false">GH158*(1+$I158)</f>
        <v>15230.6744093235</v>
      </c>
      <c r="GJ158" s="133" t="n">
        <f aca="false">GI158*Inputs!$L$14</f>
        <v>15230.6744093235</v>
      </c>
      <c r="GK158" s="84" t="n">
        <f aca="false">GI158-GJ158</f>
        <v>0</v>
      </c>
      <c r="GL158" s="133" t="n">
        <f aca="false">FX158+$D158*Inputs!$L$13</f>
        <v>0</v>
      </c>
      <c r="GM158" s="84" t="n">
        <f aca="false">MIN(GJ158,GL158)</f>
        <v>0</v>
      </c>
      <c r="GN158" s="84" t="n">
        <f aca="false">GL158-GM158</f>
        <v>0</v>
      </c>
      <c r="GO158" s="84" t="n">
        <f aca="false">GA158+$G158*(GL158+GA158)</f>
        <v>0</v>
      </c>
      <c r="GP158" s="84" t="n">
        <f aca="false">MIN(GJ158-GM158,GO158)</f>
        <v>0</v>
      </c>
      <c r="GQ158" s="84" t="n">
        <f aca="false">GO158-GP158</f>
        <v>0</v>
      </c>
      <c r="GR158" s="84" t="n">
        <f aca="false">IF($H158=1,MIN(GJ158-GM158-GP158,MAX(0,$F158/(1-$F158)*(GF158+GP158)-GG158)),0)</f>
        <v>0</v>
      </c>
      <c r="GS158" s="84" t="n">
        <f aca="false">GJ158-GM158-GP158-GR158</f>
        <v>15230.6744093235</v>
      </c>
      <c r="GT158" s="84" t="n">
        <f aca="false">GM158+GP158+(1-$F158)*GS158</f>
        <v>12946.0732479249</v>
      </c>
      <c r="GU158" s="84" t="n">
        <f aca="false">GR158+$F158*GS158</f>
        <v>2284.60116139852</v>
      </c>
      <c r="GV158" s="84" t="n">
        <f aca="false">GF158+GP158+(1-$F158)*GS158</f>
        <v>14641.6783667806</v>
      </c>
      <c r="GW158" s="84" t="n">
        <f aca="false">GG158+GU158</f>
        <v>2583.82559413775</v>
      </c>
    </row>
    <row r="159" customFormat="false" ht="15" hidden="false" customHeight="false" outlineLevel="0" collapsed="false">
      <c r="A159" s="5" t="s">
        <v>641</v>
      </c>
      <c r="B159" s="5" t="s">
        <v>429</v>
      </c>
      <c r="C159" s="135" t="n">
        <v>14</v>
      </c>
      <c r="D159" s="47" t="n">
        <f aca="false">Inputs!$C$6</f>
        <v>20000</v>
      </c>
      <c r="E159" s="35" t="n">
        <f aca="false">Inputs!$C$19</f>
        <v>0.0135</v>
      </c>
      <c r="F159" s="36" t="n">
        <f aca="false">Inputs!$C$21</f>
        <v>0.15</v>
      </c>
      <c r="G159" s="30" t="n">
        <v>0</v>
      </c>
      <c r="H159" s="27" t="n">
        <v>0</v>
      </c>
      <c r="I159" s="132" t="n">
        <f aca="false">Inputs!$C$38+$C159*Inputs!$C$39</f>
        <v>0.14</v>
      </c>
      <c r="J159" s="36" t="n">
        <f aca="false">Inputs!$C$9</f>
        <v>0.15</v>
      </c>
      <c r="K159" s="89" t="n">
        <f aca="false">IRR(W159:AG159,0.1)</f>
        <v>0.107521304535196</v>
      </c>
      <c r="L159" s="45" t="n">
        <f aca="false">W159+NPV($J159,X159:AG159)</f>
        <v>-3012.5168842693</v>
      </c>
      <c r="M159" s="45" t="n">
        <f aca="false">SUM(BF159,BV159,CL159,DB159,DR159,EH159,EX159,FN159,GD159,GT159)</f>
        <v>36537.5477776375</v>
      </c>
      <c r="N159" s="43" t="n">
        <f aca="false">IF($D159*SUM(Inputs!$C$13:$L$13)=0,0,M159/($D159*SUM(Inputs!$C$13:$L$13)))</f>
        <v>1.82687738888188</v>
      </c>
      <c r="O159" s="42" t="n">
        <f aca="false">$D159*$E159*COLUMNS(Inputs!$C$13:$L$13)</f>
        <v>2700</v>
      </c>
      <c r="P159" s="45" t="n">
        <f aca="false">SUM(BG159,BW159,CM159,DC159,DS159,EI159,EY159,FO159,GE159,GU159)</f>
        <v>2918.39078428898</v>
      </c>
      <c r="Q159" s="42" t="n">
        <f aca="false">PV($J159,COLUMNS(Inputs!$C$13:$L$13),-$D159*$E159,0,1)</f>
        <v>1558.32765832774</v>
      </c>
      <c r="R159" s="45" t="n">
        <f aca="false">NPV($J159,BG159,BW159,CM159,DC159,DS159,EI159,EY159,FO159,GE159,GU159)</f>
        <v>738.140562190455</v>
      </c>
      <c r="S159" s="45" t="n">
        <f aca="false">Q159+R159</f>
        <v>2296.46822051819</v>
      </c>
      <c r="T159" s="32" t="n">
        <f aca="false">IF(S159=0,0,Q159/S159)</f>
        <v>0.678575755764695</v>
      </c>
      <c r="U159" s="45" t="n">
        <f aca="false">ROUND(ABS(GK159)+ABS(SUM(AV159,BL159,CB159,CR159,DH159,DX159,EN159,FD159,FT159,GJ159)-M159-P159)+ABS(S159-(AH159+NPV($J159,AI159:AR159))),6)</f>
        <v>0</v>
      </c>
      <c r="W159" s="133" t="n">
        <f aca="false">-$D159*Inputs!$C$13</f>
        <v>-4000</v>
      </c>
      <c r="X159" s="133" t="n">
        <f aca="false">BF159-$D159*Inputs!$D$13</f>
        <v>-4000</v>
      </c>
      <c r="Y159" s="133" t="n">
        <f aca="false">BV159-$D159*Inputs!$E$13</f>
        <v>-4000</v>
      </c>
      <c r="Z159" s="133" t="n">
        <f aca="false">CL159-$D159*Inputs!$F$13</f>
        <v>-4000</v>
      </c>
      <c r="AA159" s="133" t="n">
        <f aca="false">DB159-$D159*Inputs!$G$13</f>
        <v>-4000</v>
      </c>
      <c r="AB159" s="133" t="n">
        <f aca="false">DR159-$D159*Inputs!$H$13</f>
        <v>5621.4969818304</v>
      </c>
      <c r="AC159" s="133" t="n">
        <f aca="false">EH159-$D159*Inputs!$I$13</f>
        <v>5065.24524742933</v>
      </c>
      <c r="AD159" s="133" t="n">
        <f aca="false">EX159-$D159*Inputs!$J$13</f>
        <v>4557.94366565555</v>
      </c>
      <c r="AE159" s="133" t="n">
        <f aca="false">FN159-$D159*Inputs!$K$13</f>
        <v>4095.28462307786</v>
      </c>
      <c r="AF159" s="133" t="n">
        <f aca="false">GD159-$D159*Inputs!$L$13</f>
        <v>3221.34306211099</v>
      </c>
      <c r="AG159" s="84" t="n">
        <f aca="false">GT159</f>
        <v>13976.2341975334</v>
      </c>
      <c r="AH159" s="84" t="n">
        <f aca="false">$D159*$E159</f>
        <v>270</v>
      </c>
      <c r="AI159" s="84" t="n">
        <f aca="false">BG159+$D159*$E159</f>
        <v>270</v>
      </c>
      <c r="AJ159" s="84" t="n">
        <f aca="false">BW159+$D159*$E159</f>
        <v>270</v>
      </c>
      <c r="AK159" s="84" t="n">
        <f aca="false">CM159+$D159*$E159</f>
        <v>270</v>
      </c>
      <c r="AL159" s="84" t="n">
        <f aca="false">DC159+$D159*$E159</f>
        <v>270</v>
      </c>
      <c r="AM159" s="84" t="n">
        <f aca="false">DS159+$D159*$E159</f>
        <v>270</v>
      </c>
      <c r="AN159" s="84" t="n">
        <f aca="false">EI159+$D159*$E159</f>
        <v>270</v>
      </c>
      <c r="AO159" s="84" t="n">
        <f aca="false">EY159+$D159*$E159</f>
        <v>270</v>
      </c>
      <c r="AP159" s="84" t="n">
        <f aca="false">FO159+$D159*$E159</f>
        <v>270</v>
      </c>
      <c r="AQ159" s="84" t="n">
        <f aca="false">GE159+$D159*$E159</f>
        <v>721.996514136022</v>
      </c>
      <c r="AR159" s="84" t="n">
        <f aca="false">GU159</f>
        <v>2466.39427015295</v>
      </c>
      <c r="AT159" s="133" t="n">
        <f aca="false">$D159*Inputs!$C$13-$D159*$E159</f>
        <v>3730</v>
      </c>
      <c r="AU159" s="84" t="n">
        <f aca="false">AT159*(1+$I159)</f>
        <v>4252.2</v>
      </c>
      <c r="AV159" s="133" t="n">
        <f aca="false">AU159*Inputs!$C$14</f>
        <v>0</v>
      </c>
      <c r="AW159" s="84" t="n">
        <f aca="false">AU159-AV159</f>
        <v>4252.2</v>
      </c>
      <c r="AX159" s="133" t="n">
        <f aca="false">$D159*Inputs!$C$13</f>
        <v>4000</v>
      </c>
      <c r="AY159" s="84" t="n">
        <f aca="false">MIN(AV159,AX159)</f>
        <v>0</v>
      </c>
      <c r="AZ159" s="84" t="n">
        <f aca="false">AX159-AY159</f>
        <v>4000</v>
      </c>
      <c r="BA159" s="84" t="n">
        <f aca="false">$G159*AX159</f>
        <v>0</v>
      </c>
      <c r="BB159" s="84" t="n">
        <f aca="false">MIN(AV159-AY159,BA159)</f>
        <v>0</v>
      </c>
      <c r="BC159" s="84" t="n">
        <f aca="false">BA159-BB159</f>
        <v>0</v>
      </c>
      <c r="BD159" s="84" t="n">
        <f aca="false">IF($H159=1,MIN(AV159-AY159-BB159,MAX(0,$F159/(1-$F159)*BB159)),0)</f>
        <v>0</v>
      </c>
      <c r="BE159" s="84" t="n">
        <f aca="false">AV159-AY159-BB159-BD159</f>
        <v>0</v>
      </c>
      <c r="BF159" s="84" t="n">
        <f aca="false">AY159+BB159+(1-$F159)*BE159</f>
        <v>0</v>
      </c>
      <c r="BG159" s="84" t="n">
        <f aca="false">BD159+$F159*BE159</f>
        <v>0</v>
      </c>
      <c r="BH159" s="84" t="n">
        <f aca="false">BB159+(1-$F159)*BE159</f>
        <v>0</v>
      </c>
      <c r="BI159" s="84" t="n">
        <f aca="false">BG159</f>
        <v>0</v>
      </c>
      <c r="BJ159" s="133" t="n">
        <f aca="false">AW159+$D159*Inputs!$D$13-$D159*$E159</f>
        <v>7982.2</v>
      </c>
      <c r="BK159" s="84" t="n">
        <f aca="false">BJ159*(1+$I159)</f>
        <v>9099.708</v>
      </c>
      <c r="BL159" s="133" t="n">
        <f aca="false">BK159*Inputs!$D$14</f>
        <v>0</v>
      </c>
      <c r="BM159" s="84" t="n">
        <f aca="false">BK159-BL159</f>
        <v>9099.708</v>
      </c>
      <c r="BN159" s="133" t="n">
        <f aca="false">AZ159+$D159*Inputs!$D$13</f>
        <v>8000</v>
      </c>
      <c r="BO159" s="84" t="n">
        <f aca="false">MIN(BL159,BN159)</f>
        <v>0</v>
      </c>
      <c r="BP159" s="84" t="n">
        <f aca="false">BN159-BO159</f>
        <v>8000</v>
      </c>
      <c r="BQ159" s="84" t="n">
        <f aca="false">BC159+$G159*(BN159+BC159)</f>
        <v>0</v>
      </c>
      <c r="BR159" s="84" t="n">
        <f aca="false">MIN(BL159-BO159,BQ159)</f>
        <v>0</v>
      </c>
      <c r="BS159" s="84" t="n">
        <f aca="false">BQ159-BR159</f>
        <v>0</v>
      </c>
      <c r="BT159" s="84" t="n">
        <f aca="false">IF($H159=1,MIN(BL159-BO159-BR159,MAX(0,$F159/(1-$F159)*(BH159+BR159)-BI159)),0)</f>
        <v>0</v>
      </c>
      <c r="BU159" s="84" t="n">
        <f aca="false">BL159-BO159-BR159-BT159</f>
        <v>0</v>
      </c>
      <c r="BV159" s="84" t="n">
        <f aca="false">BO159+BR159+(1-$F159)*BU159</f>
        <v>0</v>
      </c>
      <c r="BW159" s="84" t="n">
        <f aca="false">BT159+$F159*BU159</f>
        <v>0</v>
      </c>
      <c r="BX159" s="84" t="n">
        <f aca="false">BH159+BR159+(1-$F159)*BU159</f>
        <v>0</v>
      </c>
      <c r="BY159" s="84" t="n">
        <f aca="false">BI159+BW159</f>
        <v>0</v>
      </c>
      <c r="BZ159" s="133" t="n">
        <f aca="false">BM159+$D159*Inputs!$E$13-$D159*$E159</f>
        <v>12829.708</v>
      </c>
      <c r="CA159" s="84" t="n">
        <f aca="false">BZ159*(1+$I159)</f>
        <v>14625.86712</v>
      </c>
      <c r="CB159" s="133" t="n">
        <f aca="false">CA159*Inputs!$E$14</f>
        <v>0</v>
      </c>
      <c r="CC159" s="84" t="n">
        <f aca="false">CA159-CB159</f>
        <v>14625.86712</v>
      </c>
      <c r="CD159" s="133" t="n">
        <f aca="false">BP159+$D159*Inputs!$E$13</f>
        <v>12000</v>
      </c>
      <c r="CE159" s="84" t="n">
        <f aca="false">MIN(CB159,CD159)</f>
        <v>0</v>
      </c>
      <c r="CF159" s="84" t="n">
        <f aca="false">CD159-CE159</f>
        <v>12000</v>
      </c>
      <c r="CG159" s="84" t="n">
        <f aca="false">BS159+$G159*(CD159+BS159)</f>
        <v>0</v>
      </c>
      <c r="CH159" s="84" t="n">
        <f aca="false">MIN(CB159-CE159,CG159)</f>
        <v>0</v>
      </c>
      <c r="CI159" s="84" t="n">
        <f aca="false">CG159-CH159</f>
        <v>0</v>
      </c>
      <c r="CJ159" s="84" t="n">
        <f aca="false">IF($H159=1,MIN(CB159-CE159-CH159,MAX(0,$F159/(1-$F159)*(BX159+CH159)-BY159)),0)</f>
        <v>0</v>
      </c>
      <c r="CK159" s="84" t="n">
        <f aca="false">CB159-CE159-CH159-CJ159</f>
        <v>0</v>
      </c>
      <c r="CL159" s="84" t="n">
        <f aca="false">CE159+CH159+(1-$F159)*CK159</f>
        <v>0</v>
      </c>
      <c r="CM159" s="84" t="n">
        <f aca="false">CJ159+$F159*CK159</f>
        <v>0</v>
      </c>
      <c r="CN159" s="84" t="n">
        <f aca="false">BX159+CH159+(1-$F159)*CK159</f>
        <v>0</v>
      </c>
      <c r="CO159" s="84" t="n">
        <f aca="false">BY159+CM159</f>
        <v>0</v>
      </c>
      <c r="CP159" s="133" t="n">
        <f aca="false">CC159+$D159*Inputs!$F$13-$D159*$E159</f>
        <v>18355.86712</v>
      </c>
      <c r="CQ159" s="84" t="n">
        <f aca="false">CP159*(1+$I159)</f>
        <v>20925.6885168</v>
      </c>
      <c r="CR159" s="133" t="n">
        <f aca="false">CQ159*Inputs!$F$14</f>
        <v>0</v>
      </c>
      <c r="CS159" s="84" t="n">
        <f aca="false">CQ159-CR159</f>
        <v>20925.6885168</v>
      </c>
      <c r="CT159" s="133" t="n">
        <f aca="false">CF159+$D159*Inputs!$F$13</f>
        <v>16000</v>
      </c>
      <c r="CU159" s="84" t="n">
        <f aca="false">MIN(CR159,CT159)</f>
        <v>0</v>
      </c>
      <c r="CV159" s="84" t="n">
        <f aca="false">CT159-CU159</f>
        <v>16000</v>
      </c>
      <c r="CW159" s="84" t="n">
        <f aca="false">CI159+$G159*(CT159+CI159)</f>
        <v>0</v>
      </c>
      <c r="CX159" s="84" t="n">
        <f aca="false">MIN(CR159-CU159,CW159)</f>
        <v>0</v>
      </c>
      <c r="CY159" s="84" t="n">
        <f aca="false">CW159-CX159</f>
        <v>0</v>
      </c>
      <c r="CZ159" s="84" t="n">
        <f aca="false">IF($H159=1,MIN(CR159-CU159-CX159,MAX(0,$F159/(1-$F159)*(CN159+CX159)-CO159)),0)</f>
        <v>0</v>
      </c>
      <c r="DA159" s="84" t="n">
        <f aca="false">CR159-CU159-CX159-CZ159</f>
        <v>0</v>
      </c>
      <c r="DB159" s="84" t="n">
        <f aca="false">CU159+CX159+(1-$F159)*DA159</f>
        <v>0</v>
      </c>
      <c r="DC159" s="84" t="n">
        <f aca="false">CZ159+$F159*DA159</f>
        <v>0</v>
      </c>
      <c r="DD159" s="84" t="n">
        <f aca="false">CN159+CX159+(1-$F159)*DA159</f>
        <v>0</v>
      </c>
      <c r="DE159" s="84" t="n">
        <f aca="false">CO159+DC159</f>
        <v>0</v>
      </c>
      <c r="DF159" s="133" t="n">
        <f aca="false">CS159+$D159*Inputs!$G$13-$D159*$E159</f>
        <v>24655.6885168</v>
      </c>
      <c r="DG159" s="84" t="n">
        <f aca="false">DF159*(1+$I159)</f>
        <v>28107.484909152</v>
      </c>
      <c r="DH159" s="133" t="n">
        <f aca="false">DG159*Inputs!$G$14</f>
        <v>5621.4969818304</v>
      </c>
      <c r="DI159" s="84" t="n">
        <f aca="false">DG159-DH159</f>
        <v>22485.9879273216</v>
      </c>
      <c r="DJ159" s="133" t="n">
        <f aca="false">CV159+$D159*Inputs!$G$13</f>
        <v>20000</v>
      </c>
      <c r="DK159" s="84" t="n">
        <f aca="false">MIN(DH159,DJ159)</f>
        <v>5621.4969818304</v>
      </c>
      <c r="DL159" s="84" t="n">
        <f aca="false">DJ159-DK159</f>
        <v>14378.5030181696</v>
      </c>
      <c r="DM159" s="84" t="n">
        <f aca="false">CY159+$G159*(DJ159+CY159)</f>
        <v>0</v>
      </c>
      <c r="DN159" s="84" t="n">
        <f aca="false">MIN(DH159-DK159,DM159)</f>
        <v>0</v>
      </c>
      <c r="DO159" s="84" t="n">
        <f aca="false">DM159-DN159</f>
        <v>0</v>
      </c>
      <c r="DP159" s="84" t="n">
        <f aca="false">IF($H159=1,MIN(DH159-DK159-DN159,MAX(0,$F159/(1-$F159)*(DD159+DN159)-DE159)),0)</f>
        <v>0</v>
      </c>
      <c r="DQ159" s="84" t="n">
        <f aca="false">DH159-DK159-DN159-DP159</f>
        <v>0</v>
      </c>
      <c r="DR159" s="84" t="n">
        <f aca="false">DK159+DN159+(1-$F159)*DQ159</f>
        <v>5621.4969818304</v>
      </c>
      <c r="DS159" s="84" t="n">
        <f aca="false">DP159+$F159*DQ159</f>
        <v>0</v>
      </c>
      <c r="DT159" s="84" t="n">
        <f aca="false">DD159+DN159+(1-$F159)*DQ159</f>
        <v>0</v>
      </c>
      <c r="DU159" s="84" t="n">
        <f aca="false">DE159+DS159</f>
        <v>0</v>
      </c>
      <c r="DV159" s="133" t="n">
        <f aca="false">DI159+$D159*Inputs!$H$13-$D159*$E159</f>
        <v>22215.9879273216</v>
      </c>
      <c r="DW159" s="84" t="n">
        <f aca="false">DV159*(1+$I159)</f>
        <v>25326.2262371466</v>
      </c>
      <c r="DX159" s="133" t="n">
        <f aca="false">DW159*Inputs!$H$14</f>
        <v>5065.24524742933</v>
      </c>
      <c r="DY159" s="84" t="n">
        <f aca="false">DW159-DX159</f>
        <v>20260.9809897173</v>
      </c>
      <c r="DZ159" s="133" t="n">
        <f aca="false">DL159+$D159*Inputs!$H$13</f>
        <v>14378.5030181696</v>
      </c>
      <c r="EA159" s="84" t="n">
        <f aca="false">MIN(DX159,DZ159)</f>
        <v>5065.24524742933</v>
      </c>
      <c r="EB159" s="84" t="n">
        <f aca="false">DZ159-EA159</f>
        <v>9313.25777074027</v>
      </c>
      <c r="EC159" s="84" t="n">
        <f aca="false">DO159+$G159*(DZ159+DO159)</f>
        <v>0</v>
      </c>
      <c r="ED159" s="84" t="n">
        <f aca="false">MIN(DX159-EA159,EC159)</f>
        <v>0</v>
      </c>
      <c r="EE159" s="84" t="n">
        <f aca="false">EC159-ED159</f>
        <v>0</v>
      </c>
      <c r="EF159" s="84" t="n">
        <f aca="false">IF($H159=1,MIN(DX159-EA159-ED159,MAX(0,$F159/(1-$F159)*(DT159+ED159)-DU159)),0)</f>
        <v>0</v>
      </c>
      <c r="EG159" s="84" t="n">
        <f aca="false">DX159-EA159-ED159-EF159</f>
        <v>0</v>
      </c>
      <c r="EH159" s="84" t="n">
        <f aca="false">EA159+ED159+(1-$F159)*EG159</f>
        <v>5065.24524742933</v>
      </c>
      <c r="EI159" s="84" t="n">
        <f aca="false">EF159+$F159*EG159</f>
        <v>0</v>
      </c>
      <c r="EJ159" s="84" t="n">
        <f aca="false">DT159+ED159+(1-$F159)*EG159</f>
        <v>0</v>
      </c>
      <c r="EK159" s="84" t="n">
        <f aca="false">DU159+EI159</f>
        <v>0</v>
      </c>
      <c r="EL159" s="133" t="n">
        <f aca="false">DY159+$D159*Inputs!$I$13-$D159*$E159</f>
        <v>19990.9809897173</v>
      </c>
      <c r="EM159" s="84" t="n">
        <f aca="false">EL159*(1+$I159)</f>
        <v>22789.7183282777</v>
      </c>
      <c r="EN159" s="133" t="n">
        <f aca="false">EM159*Inputs!$I$14</f>
        <v>4557.94366565555</v>
      </c>
      <c r="EO159" s="84" t="n">
        <f aca="false">EM159-EN159</f>
        <v>18231.7746626222</v>
      </c>
      <c r="EP159" s="133" t="n">
        <f aca="false">EB159+$D159*Inputs!$I$13</f>
        <v>9313.25777074027</v>
      </c>
      <c r="EQ159" s="84" t="n">
        <f aca="false">MIN(EN159,EP159)</f>
        <v>4557.94366565555</v>
      </c>
      <c r="ER159" s="84" t="n">
        <f aca="false">EP159-EQ159</f>
        <v>4755.31410508472</v>
      </c>
      <c r="ES159" s="84" t="n">
        <f aca="false">EE159+$G159*(EP159+EE159)</f>
        <v>0</v>
      </c>
      <c r="ET159" s="84" t="n">
        <f aca="false">MIN(EN159-EQ159,ES159)</f>
        <v>0</v>
      </c>
      <c r="EU159" s="84" t="n">
        <f aca="false">ES159-ET159</f>
        <v>0</v>
      </c>
      <c r="EV159" s="84" t="n">
        <f aca="false">IF($H159=1,MIN(EN159-EQ159-ET159,MAX(0,$F159/(1-$F159)*(EJ159+ET159)-EK159)),0)</f>
        <v>0</v>
      </c>
      <c r="EW159" s="84" t="n">
        <f aca="false">EN159-EQ159-ET159-EV159</f>
        <v>0</v>
      </c>
      <c r="EX159" s="84" t="n">
        <f aca="false">EQ159+ET159+(1-$F159)*EW159</f>
        <v>4557.94366565555</v>
      </c>
      <c r="EY159" s="84" t="n">
        <f aca="false">EV159+$F159*EW159</f>
        <v>0</v>
      </c>
      <c r="EZ159" s="84" t="n">
        <f aca="false">EJ159+ET159+(1-$F159)*EW159</f>
        <v>0</v>
      </c>
      <c r="FA159" s="84" t="n">
        <f aca="false">EK159+EY159</f>
        <v>0</v>
      </c>
      <c r="FB159" s="133" t="n">
        <f aca="false">EO159+$D159*Inputs!$J$13-$D159*$E159</f>
        <v>17961.7746626222</v>
      </c>
      <c r="FC159" s="84" t="n">
        <f aca="false">FB159*(1+$I159)</f>
        <v>20476.4231153893</v>
      </c>
      <c r="FD159" s="133" t="n">
        <f aca="false">FC159*Inputs!$J$14</f>
        <v>4095.28462307786</v>
      </c>
      <c r="FE159" s="84" t="n">
        <f aca="false">FC159-FD159</f>
        <v>16381.1384923114</v>
      </c>
      <c r="FF159" s="133" t="n">
        <f aca="false">ER159+$D159*Inputs!$J$13</f>
        <v>4755.31410508472</v>
      </c>
      <c r="FG159" s="84" t="n">
        <f aca="false">MIN(FD159,FF159)</f>
        <v>4095.28462307786</v>
      </c>
      <c r="FH159" s="84" t="n">
        <f aca="false">FF159-FG159</f>
        <v>660.029482006864</v>
      </c>
      <c r="FI159" s="84" t="n">
        <f aca="false">EU159+$G159*(FF159+EU159)</f>
        <v>0</v>
      </c>
      <c r="FJ159" s="84" t="n">
        <f aca="false">MIN(FD159-FG159,FI159)</f>
        <v>0</v>
      </c>
      <c r="FK159" s="84" t="n">
        <f aca="false">FI159-FJ159</f>
        <v>0</v>
      </c>
      <c r="FL159" s="84" t="n">
        <f aca="false">IF($H159=1,MIN(FD159-FG159-FJ159,MAX(0,$F159/(1-$F159)*(EZ159+FJ159)-FA159)),0)</f>
        <v>0</v>
      </c>
      <c r="FM159" s="84" t="n">
        <f aca="false">FD159-FG159-FJ159-FL159</f>
        <v>0</v>
      </c>
      <c r="FN159" s="84" t="n">
        <f aca="false">FG159+FJ159+(1-$F159)*FM159</f>
        <v>4095.28462307786</v>
      </c>
      <c r="FO159" s="84" t="n">
        <f aca="false">FL159+$F159*FM159</f>
        <v>0</v>
      </c>
      <c r="FP159" s="84" t="n">
        <f aca="false">EZ159+FJ159+(1-$F159)*FM159</f>
        <v>0</v>
      </c>
      <c r="FQ159" s="84" t="n">
        <f aca="false">FA159+FO159</f>
        <v>0</v>
      </c>
      <c r="FR159" s="133" t="n">
        <f aca="false">FE159+$D159*Inputs!$K$13-$D159*$E159</f>
        <v>16111.1384923114</v>
      </c>
      <c r="FS159" s="84" t="n">
        <f aca="false">FR159*(1+$I159)</f>
        <v>18366.697881235</v>
      </c>
      <c r="FT159" s="133" t="n">
        <f aca="false">FS159*Inputs!$K$14</f>
        <v>3673.33957624701</v>
      </c>
      <c r="FU159" s="84" t="n">
        <f aca="false">FS159-FT159</f>
        <v>14693.358304988</v>
      </c>
      <c r="FV159" s="133" t="n">
        <f aca="false">FH159+$D159*Inputs!$K$13</f>
        <v>660.029482006864</v>
      </c>
      <c r="FW159" s="84" t="n">
        <f aca="false">MIN(FT159,FV159)</f>
        <v>660.029482006864</v>
      </c>
      <c r="FX159" s="84" t="n">
        <f aca="false">FV159-FW159</f>
        <v>0</v>
      </c>
      <c r="FY159" s="84" t="n">
        <f aca="false">FK159+$G159*(FV159+FK159)</f>
        <v>0</v>
      </c>
      <c r="FZ159" s="84" t="n">
        <f aca="false">MIN(FT159-FW159,FY159)</f>
        <v>0</v>
      </c>
      <c r="GA159" s="84" t="n">
        <f aca="false">FY159-FZ159</f>
        <v>0</v>
      </c>
      <c r="GB159" s="84" t="n">
        <f aca="false">IF($H159=1,MIN(FT159-FW159-FZ159,MAX(0,$F159/(1-$F159)*(FP159+FZ159)-FQ159)),0)</f>
        <v>0</v>
      </c>
      <c r="GC159" s="84" t="n">
        <f aca="false">FT159-FW159-FZ159-GB159</f>
        <v>3013.31009424014</v>
      </c>
      <c r="GD159" s="84" t="n">
        <f aca="false">FW159+FZ159+(1-$F159)*GC159</f>
        <v>3221.34306211099</v>
      </c>
      <c r="GE159" s="84" t="n">
        <f aca="false">GB159+$F159*GC159</f>
        <v>451.996514136022</v>
      </c>
      <c r="GF159" s="84" t="n">
        <f aca="false">FP159+FZ159+(1-$F159)*GC159</f>
        <v>2561.31358010412</v>
      </c>
      <c r="GG159" s="84" t="n">
        <f aca="false">FQ159+GE159</f>
        <v>451.996514136022</v>
      </c>
      <c r="GH159" s="133" t="n">
        <f aca="false">FU159+$D159*Inputs!$L$13-$D159*$E159</f>
        <v>14423.358304988</v>
      </c>
      <c r="GI159" s="84" t="n">
        <f aca="false">GH159*(1+$I159)</f>
        <v>16442.6284676864</v>
      </c>
      <c r="GJ159" s="133" t="n">
        <f aca="false">GI159*Inputs!$L$14</f>
        <v>16442.6284676864</v>
      </c>
      <c r="GK159" s="84" t="n">
        <f aca="false">GI159-GJ159</f>
        <v>0</v>
      </c>
      <c r="GL159" s="133" t="n">
        <f aca="false">FX159+$D159*Inputs!$L$13</f>
        <v>0</v>
      </c>
      <c r="GM159" s="84" t="n">
        <f aca="false">MIN(GJ159,GL159)</f>
        <v>0</v>
      </c>
      <c r="GN159" s="84" t="n">
        <f aca="false">GL159-GM159</f>
        <v>0</v>
      </c>
      <c r="GO159" s="84" t="n">
        <f aca="false">GA159+$G159*(GL159+GA159)</f>
        <v>0</v>
      </c>
      <c r="GP159" s="84" t="n">
        <f aca="false">MIN(GJ159-GM159,GO159)</f>
        <v>0</v>
      </c>
      <c r="GQ159" s="84" t="n">
        <f aca="false">GO159-GP159</f>
        <v>0</v>
      </c>
      <c r="GR159" s="84" t="n">
        <f aca="false">IF($H159=1,MIN(GJ159-GM159-GP159,MAX(0,$F159/(1-$F159)*(GF159+GP159)-GG159)),0)</f>
        <v>0</v>
      </c>
      <c r="GS159" s="84" t="n">
        <f aca="false">GJ159-GM159-GP159-GR159</f>
        <v>16442.6284676864</v>
      </c>
      <c r="GT159" s="84" t="n">
        <f aca="false">GM159+GP159+(1-$F159)*GS159</f>
        <v>13976.2341975334</v>
      </c>
      <c r="GU159" s="84" t="n">
        <f aca="false">GR159+$F159*GS159</f>
        <v>2466.39427015295</v>
      </c>
      <c r="GV159" s="84" t="n">
        <f aca="false">GF159+GP159+(1-$F159)*GS159</f>
        <v>16537.5477776375</v>
      </c>
      <c r="GW159" s="84" t="n">
        <f aca="false">GG159+GU159</f>
        <v>2918.39078428898</v>
      </c>
    </row>
    <row r="160" customFormat="false" ht="15" hidden="false" customHeight="false" outlineLevel="0" collapsed="false">
      <c r="A160" s="5" t="s">
        <v>641</v>
      </c>
      <c r="B160" s="5" t="s">
        <v>429</v>
      </c>
      <c r="C160" s="135" t="n">
        <v>15</v>
      </c>
      <c r="D160" s="47" t="n">
        <f aca="false">Inputs!$C$6</f>
        <v>20000</v>
      </c>
      <c r="E160" s="35" t="n">
        <f aca="false">Inputs!$C$19</f>
        <v>0.0135</v>
      </c>
      <c r="F160" s="36" t="n">
        <f aca="false">Inputs!$C$21</f>
        <v>0.15</v>
      </c>
      <c r="G160" s="30" t="n">
        <v>0</v>
      </c>
      <c r="H160" s="27" t="n">
        <v>0</v>
      </c>
      <c r="I160" s="132" t="n">
        <f aca="false">Inputs!$C$38+$C160*Inputs!$C$39</f>
        <v>0.15</v>
      </c>
      <c r="J160" s="36" t="n">
        <f aca="false">Inputs!$C$9</f>
        <v>0.15</v>
      </c>
      <c r="K160" s="89" t="n">
        <f aca="false">IRR(W160:AG160,0.1)</f>
        <v>0.117074129762284</v>
      </c>
      <c r="L160" s="45" t="n">
        <f aca="false">W160+NPV($J160,X160:AG160)</f>
        <v>-2390.81685690455</v>
      </c>
      <c r="M160" s="45" t="n">
        <f aca="false">SUM(BF160,BV160,CL160,DB160,DR160,EH160,EX160,FN160,GD160,GT160)</f>
        <v>38542.5470813431</v>
      </c>
      <c r="N160" s="43" t="n">
        <f aca="false">IF($D160*SUM(Inputs!$C$13:$L$13)=0,0,M160/($D160*SUM(Inputs!$C$13:$L$13)))</f>
        <v>1.92712735406715</v>
      </c>
      <c r="O160" s="42" t="n">
        <f aca="false">$D160*$E160*COLUMNS(Inputs!$C$13:$L$13)</f>
        <v>2700</v>
      </c>
      <c r="P160" s="45" t="n">
        <f aca="false">SUM(BG160,BW160,CM160,DC160,DS160,EI160,EY160,FO160,GE160,GU160)</f>
        <v>3272.21419082525</v>
      </c>
      <c r="Q160" s="42" t="n">
        <f aca="false">PV($J160,COLUMNS(Inputs!$C$13:$L$13),-$D160*$E160,0,1)</f>
        <v>1558.32765832774</v>
      </c>
      <c r="R160" s="45" t="n">
        <f aca="false">NPV($J160,BG160,BW160,CM160,DC160,DS160,EI160,EY160,FO160,GE160,GU160)</f>
        <v>832.489198576813</v>
      </c>
      <c r="S160" s="45" t="n">
        <f aca="false">Q160+R160</f>
        <v>2390.81685690455</v>
      </c>
      <c r="T160" s="32" t="n">
        <f aca="false">IF(S160=0,0,Q160/S160)</f>
        <v>0.651797168748987</v>
      </c>
      <c r="U160" s="45" t="n">
        <f aca="false">ROUND(ABS(GK160)+ABS(SUM(AV160,BL160,CB160,CR160,DH160,DX160,EN160,FD160,FT160,GJ160)-M160-P160)+ABS(S160-(AH160+NPV($J160,AI160:AR160))),6)</f>
        <v>0</v>
      </c>
      <c r="W160" s="133" t="n">
        <f aca="false">-$D160*Inputs!$C$13</f>
        <v>-4000</v>
      </c>
      <c r="X160" s="133" t="n">
        <f aca="false">BF160-$D160*Inputs!$D$13</f>
        <v>-4000</v>
      </c>
      <c r="Y160" s="133" t="n">
        <f aca="false">BV160-$D160*Inputs!$E$13</f>
        <v>-4000</v>
      </c>
      <c r="Z160" s="133" t="n">
        <f aca="false">CL160-$D160*Inputs!$F$13</f>
        <v>-4000</v>
      </c>
      <c r="AA160" s="133" t="n">
        <f aca="false">DB160-$D160*Inputs!$G$13</f>
        <v>-4000</v>
      </c>
      <c r="AB160" s="133" t="n">
        <f aca="false">DR160-$D160*Inputs!$H$13</f>
        <v>5784.288874375</v>
      </c>
      <c r="AC160" s="133" t="n">
        <f aca="false">EH160-$D160*Inputs!$I$13</f>
        <v>5259.445764425</v>
      </c>
      <c r="AD160" s="133" t="n">
        <f aca="false">EX160-$D160*Inputs!$J$13</f>
        <v>4776.590103271</v>
      </c>
      <c r="AE160" s="133" t="n">
        <f aca="false">FN160-$D160*Inputs!$K$13</f>
        <v>4309.45974944727</v>
      </c>
      <c r="AF160" s="133" t="n">
        <f aca="false">GD160-$D160*Inputs!$L$13</f>
        <v>3335.12278389729</v>
      </c>
      <c r="AG160" s="84" t="n">
        <f aca="false">GT160</f>
        <v>15077.6398059275</v>
      </c>
      <c r="AH160" s="84" t="n">
        <f aca="false">$D160*$E160</f>
        <v>270</v>
      </c>
      <c r="AI160" s="84" t="n">
        <f aca="false">BG160+$D160*$E160</f>
        <v>270</v>
      </c>
      <c r="AJ160" s="84" t="n">
        <f aca="false">BW160+$D160*$E160</f>
        <v>270</v>
      </c>
      <c r="AK160" s="84" t="n">
        <f aca="false">CM160+$D160*$E160</f>
        <v>270</v>
      </c>
      <c r="AL160" s="84" t="n">
        <f aca="false">DC160+$D160*$E160</f>
        <v>270</v>
      </c>
      <c r="AM160" s="84" t="n">
        <f aca="false">DS160+$D160*$E160</f>
        <v>270</v>
      </c>
      <c r="AN160" s="84" t="n">
        <f aca="false">EI160+$D160*$E160</f>
        <v>270</v>
      </c>
      <c r="AO160" s="84" t="n">
        <f aca="false">EY160+$D160*$E160</f>
        <v>270</v>
      </c>
      <c r="AP160" s="84" t="n">
        <f aca="false">FO160+$D160*$E160</f>
        <v>292.903145562047</v>
      </c>
      <c r="AQ160" s="84" t="n">
        <f aca="false">GE160+$D160*$E160</f>
        <v>858.551079511286</v>
      </c>
      <c r="AR160" s="84" t="n">
        <f aca="false">GU160</f>
        <v>2660.75996575191</v>
      </c>
      <c r="AT160" s="133" t="n">
        <f aca="false">$D160*Inputs!$C$13-$D160*$E160</f>
        <v>3730</v>
      </c>
      <c r="AU160" s="84" t="n">
        <f aca="false">AT160*(1+$I160)</f>
        <v>4289.5</v>
      </c>
      <c r="AV160" s="133" t="n">
        <f aca="false">AU160*Inputs!$C$14</f>
        <v>0</v>
      </c>
      <c r="AW160" s="84" t="n">
        <f aca="false">AU160-AV160</f>
        <v>4289.5</v>
      </c>
      <c r="AX160" s="133" t="n">
        <f aca="false">$D160*Inputs!$C$13</f>
        <v>4000</v>
      </c>
      <c r="AY160" s="84" t="n">
        <f aca="false">MIN(AV160,AX160)</f>
        <v>0</v>
      </c>
      <c r="AZ160" s="84" t="n">
        <f aca="false">AX160-AY160</f>
        <v>4000</v>
      </c>
      <c r="BA160" s="84" t="n">
        <f aca="false">$G160*AX160</f>
        <v>0</v>
      </c>
      <c r="BB160" s="84" t="n">
        <f aca="false">MIN(AV160-AY160,BA160)</f>
        <v>0</v>
      </c>
      <c r="BC160" s="84" t="n">
        <f aca="false">BA160-BB160</f>
        <v>0</v>
      </c>
      <c r="BD160" s="84" t="n">
        <f aca="false">IF($H160=1,MIN(AV160-AY160-BB160,MAX(0,$F160/(1-$F160)*BB160)),0)</f>
        <v>0</v>
      </c>
      <c r="BE160" s="84" t="n">
        <f aca="false">AV160-AY160-BB160-BD160</f>
        <v>0</v>
      </c>
      <c r="BF160" s="84" t="n">
        <f aca="false">AY160+BB160+(1-$F160)*BE160</f>
        <v>0</v>
      </c>
      <c r="BG160" s="84" t="n">
        <f aca="false">BD160+$F160*BE160</f>
        <v>0</v>
      </c>
      <c r="BH160" s="84" t="n">
        <f aca="false">BB160+(1-$F160)*BE160</f>
        <v>0</v>
      </c>
      <c r="BI160" s="84" t="n">
        <f aca="false">BG160</f>
        <v>0</v>
      </c>
      <c r="BJ160" s="133" t="n">
        <f aca="false">AW160+$D160*Inputs!$D$13-$D160*$E160</f>
        <v>8019.5</v>
      </c>
      <c r="BK160" s="84" t="n">
        <f aca="false">BJ160*(1+$I160)</f>
        <v>9222.425</v>
      </c>
      <c r="BL160" s="133" t="n">
        <f aca="false">BK160*Inputs!$D$14</f>
        <v>0</v>
      </c>
      <c r="BM160" s="84" t="n">
        <f aca="false">BK160-BL160</f>
        <v>9222.425</v>
      </c>
      <c r="BN160" s="133" t="n">
        <f aca="false">AZ160+$D160*Inputs!$D$13</f>
        <v>8000</v>
      </c>
      <c r="BO160" s="84" t="n">
        <f aca="false">MIN(BL160,BN160)</f>
        <v>0</v>
      </c>
      <c r="BP160" s="84" t="n">
        <f aca="false">BN160-BO160</f>
        <v>8000</v>
      </c>
      <c r="BQ160" s="84" t="n">
        <f aca="false">BC160+$G160*(BN160+BC160)</f>
        <v>0</v>
      </c>
      <c r="BR160" s="84" t="n">
        <f aca="false">MIN(BL160-BO160,BQ160)</f>
        <v>0</v>
      </c>
      <c r="BS160" s="84" t="n">
        <f aca="false">BQ160-BR160</f>
        <v>0</v>
      </c>
      <c r="BT160" s="84" t="n">
        <f aca="false">IF($H160=1,MIN(BL160-BO160-BR160,MAX(0,$F160/(1-$F160)*(BH160+BR160)-BI160)),0)</f>
        <v>0</v>
      </c>
      <c r="BU160" s="84" t="n">
        <f aca="false">BL160-BO160-BR160-BT160</f>
        <v>0</v>
      </c>
      <c r="BV160" s="84" t="n">
        <f aca="false">BO160+BR160+(1-$F160)*BU160</f>
        <v>0</v>
      </c>
      <c r="BW160" s="84" t="n">
        <f aca="false">BT160+$F160*BU160</f>
        <v>0</v>
      </c>
      <c r="BX160" s="84" t="n">
        <f aca="false">BH160+BR160+(1-$F160)*BU160</f>
        <v>0</v>
      </c>
      <c r="BY160" s="84" t="n">
        <f aca="false">BI160+BW160</f>
        <v>0</v>
      </c>
      <c r="BZ160" s="133" t="n">
        <f aca="false">BM160+$D160*Inputs!$E$13-$D160*$E160</f>
        <v>12952.425</v>
      </c>
      <c r="CA160" s="84" t="n">
        <f aca="false">BZ160*(1+$I160)</f>
        <v>14895.28875</v>
      </c>
      <c r="CB160" s="133" t="n">
        <f aca="false">CA160*Inputs!$E$14</f>
        <v>0</v>
      </c>
      <c r="CC160" s="84" t="n">
        <f aca="false">CA160-CB160</f>
        <v>14895.28875</v>
      </c>
      <c r="CD160" s="133" t="n">
        <f aca="false">BP160+$D160*Inputs!$E$13</f>
        <v>12000</v>
      </c>
      <c r="CE160" s="84" t="n">
        <f aca="false">MIN(CB160,CD160)</f>
        <v>0</v>
      </c>
      <c r="CF160" s="84" t="n">
        <f aca="false">CD160-CE160</f>
        <v>12000</v>
      </c>
      <c r="CG160" s="84" t="n">
        <f aca="false">BS160+$G160*(CD160+BS160)</f>
        <v>0</v>
      </c>
      <c r="CH160" s="84" t="n">
        <f aca="false">MIN(CB160-CE160,CG160)</f>
        <v>0</v>
      </c>
      <c r="CI160" s="84" t="n">
        <f aca="false">CG160-CH160</f>
        <v>0</v>
      </c>
      <c r="CJ160" s="84" t="n">
        <f aca="false">IF($H160=1,MIN(CB160-CE160-CH160,MAX(0,$F160/(1-$F160)*(BX160+CH160)-BY160)),0)</f>
        <v>0</v>
      </c>
      <c r="CK160" s="84" t="n">
        <f aca="false">CB160-CE160-CH160-CJ160</f>
        <v>0</v>
      </c>
      <c r="CL160" s="84" t="n">
        <f aca="false">CE160+CH160+(1-$F160)*CK160</f>
        <v>0</v>
      </c>
      <c r="CM160" s="84" t="n">
        <f aca="false">CJ160+$F160*CK160</f>
        <v>0</v>
      </c>
      <c r="CN160" s="84" t="n">
        <f aca="false">BX160+CH160+(1-$F160)*CK160</f>
        <v>0</v>
      </c>
      <c r="CO160" s="84" t="n">
        <f aca="false">BY160+CM160</f>
        <v>0</v>
      </c>
      <c r="CP160" s="133" t="n">
        <f aca="false">CC160+$D160*Inputs!$F$13-$D160*$E160</f>
        <v>18625.28875</v>
      </c>
      <c r="CQ160" s="84" t="n">
        <f aca="false">CP160*(1+$I160)</f>
        <v>21419.0820625</v>
      </c>
      <c r="CR160" s="133" t="n">
        <f aca="false">CQ160*Inputs!$F$14</f>
        <v>0</v>
      </c>
      <c r="CS160" s="84" t="n">
        <f aca="false">CQ160-CR160</f>
        <v>21419.0820625</v>
      </c>
      <c r="CT160" s="133" t="n">
        <f aca="false">CF160+$D160*Inputs!$F$13</f>
        <v>16000</v>
      </c>
      <c r="CU160" s="84" t="n">
        <f aca="false">MIN(CR160,CT160)</f>
        <v>0</v>
      </c>
      <c r="CV160" s="84" t="n">
        <f aca="false">CT160-CU160</f>
        <v>16000</v>
      </c>
      <c r="CW160" s="84" t="n">
        <f aca="false">CI160+$G160*(CT160+CI160)</f>
        <v>0</v>
      </c>
      <c r="CX160" s="84" t="n">
        <f aca="false">MIN(CR160-CU160,CW160)</f>
        <v>0</v>
      </c>
      <c r="CY160" s="84" t="n">
        <f aca="false">CW160-CX160</f>
        <v>0</v>
      </c>
      <c r="CZ160" s="84" t="n">
        <f aca="false">IF($H160=1,MIN(CR160-CU160-CX160,MAX(0,$F160/(1-$F160)*(CN160+CX160)-CO160)),0)</f>
        <v>0</v>
      </c>
      <c r="DA160" s="84" t="n">
        <f aca="false">CR160-CU160-CX160-CZ160</f>
        <v>0</v>
      </c>
      <c r="DB160" s="84" t="n">
        <f aca="false">CU160+CX160+(1-$F160)*DA160</f>
        <v>0</v>
      </c>
      <c r="DC160" s="84" t="n">
        <f aca="false">CZ160+$F160*DA160</f>
        <v>0</v>
      </c>
      <c r="DD160" s="84" t="n">
        <f aca="false">CN160+CX160+(1-$F160)*DA160</f>
        <v>0</v>
      </c>
      <c r="DE160" s="84" t="n">
        <f aca="false">CO160+DC160</f>
        <v>0</v>
      </c>
      <c r="DF160" s="133" t="n">
        <f aca="false">CS160+$D160*Inputs!$G$13-$D160*$E160</f>
        <v>25149.0820625</v>
      </c>
      <c r="DG160" s="84" t="n">
        <f aca="false">DF160*(1+$I160)</f>
        <v>28921.444371875</v>
      </c>
      <c r="DH160" s="133" t="n">
        <f aca="false">DG160*Inputs!$G$14</f>
        <v>5784.288874375</v>
      </c>
      <c r="DI160" s="84" t="n">
        <f aca="false">DG160-DH160</f>
        <v>23137.1554975</v>
      </c>
      <c r="DJ160" s="133" t="n">
        <f aca="false">CV160+$D160*Inputs!$G$13</f>
        <v>20000</v>
      </c>
      <c r="DK160" s="84" t="n">
        <f aca="false">MIN(DH160,DJ160)</f>
        <v>5784.288874375</v>
      </c>
      <c r="DL160" s="84" t="n">
        <f aca="false">DJ160-DK160</f>
        <v>14215.711125625</v>
      </c>
      <c r="DM160" s="84" t="n">
        <f aca="false">CY160+$G160*(DJ160+CY160)</f>
        <v>0</v>
      </c>
      <c r="DN160" s="84" t="n">
        <f aca="false">MIN(DH160-DK160,DM160)</f>
        <v>0</v>
      </c>
      <c r="DO160" s="84" t="n">
        <f aca="false">DM160-DN160</f>
        <v>0</v>
      </c>
      <c r="DP160" s="84" t="n">
        <f aca="false">IF($H160=1,MIN(DH160-DK160-DN160,MAX(0,$F160/(1-$F160)*(DD160+DN160)-DE160)),0)</f>
        <v>0</v>
      </c>
      <c r="DQ160" s="84" t="n">
        <f aca="false">DH160-DK160-DN160-DP160</f>
        <v>0</v>
      </c>
      <c r="DR160" s="84" t="n">
        <f aca="false">DK160+DN160+(1-$F160)*DQ160</f>
        <v>5784.288874375</v>
      </c>
      <c r="DS160" s="84" t="n">
        <f aca="false">DP160+$F160*DQ160</f>
        <v>0</v>
      </c>
      <c r="DT160" s="84" t="n">
        <f aca="false">DD160+DN160+(1-$F160)*DQ160</f>
        <v>0</v>
      </c>
      <c r="DU160" s="84" t="n">
        <f aca="false">DE160+DS160</f>
        <v>0</v>
      </c>
      <c r="DV160" s="133" t="n">
        <f aca="false">DI160+$D160*Inputs!$H$13-$D160*$E160</f>
        <v>22867.1554975</v>
      </c>
      <c r="DW160" s="84" t="n">
        <f aca="false">DV160*(1+$I160)</f>
        <v>26297.228822125</v>
      </c>
      <c r="DX160" s="133" t="n">
        <f aca="false">DW160*Inputs!$H$14</f>
        <v>5259.445764425</v>
      </c>
      <c r="DY160" s="84" t="n">
        <f aca="false">DW160-DX160</f>
        <v>21037.7830577</v>
      </c>
      <c r="DZ160" s="133" t="n">
        <f aca="false">DL160+$D160*Inputs!$H$13</f>
        <v>14215.711125625</v>
      </c>
      <c r="EA160" s="84" t="n">
        <f aca="false">MIN(DX160,DZ160)</f>
        <v>5259.445764425</v>
      </c>
      <c r="EB160" s="84" t="n">
        <f aca="false">DZ160-EA160</f>
        <v>8956.2653612</v>
      </c>
      <c r="EC160" s="84" t="n">
        <f aca="false">DO160+$G160*(DZ160+DO160)</f>
        <v>0</v>
      </c>
      <c r="ED160" s="84" t="n">
        <f aca="false">MIN(DX160-EA160,EC160)</f>
        <v>0</v>
      </c>
      <c r="EE160" s="84" t="n">
        <f aca="false">EC160-ED160</f>
        <v>0</v>
      </c>
      <c r="EF160" s="84" t="n">
        <f aca="false">IF($H160=1,MIN(DX160-EA160-ED160,MAX(0,$F160/(1-$F160)*(DT160+ED160)-DU160)),0)</f>
        <v>0</v>
      </c>
      <c r="EG160" s="84" t="n">
        <f aca="false">DX160-EA160-ED160-EF160</f>
        <v>0</v>
      </c>
      <c r="EH160" s="84" t="n">
        <f aca="false">EA160+ED160+(1-$F160)*EG160</f>
        <v>5259.445764425</v>
      </c>
      <c r="EI160" s="84" t="n">
        <f aca="false">EF160+$F160*EG160</f>
        <v>0</v>
      </c>
      <c r="EJ160" s="84" t="n">
        <f aca="false">DT160+ED160+(1-$F160)*EG160</f>
        <v>0</v>
      </c>
      <c r="EK160" s="84" t="n">
        <f aca="false">DU160+EI160</f>
        <v>0</v>
      </c>
      <c r="EL160" s="133" t="n">
        <f aca="false">DY160+$D160*Inputs!$I$13-$D160*$E160</f>
        <v>20767.7830577</v>
      </c>
      <c r="EM160" s="84" t="n">
        <f aca="false">EL160*(1+$I160)</f>
        <v>23882.950516355</v>
      </c>
      <c r="EN160" s="133" t="n">
        <f aca="false">EM160*Inputs!$I$14</f>
        <v>4776.590103271</v>
      </c>
      <c r="EO160" s="84" t="n">
        <f aca="false">EM160-EN160</f>
        <v>19106.360413084</v>
      </c>
      <c r="EP160" s="133" t="n">
        <f aca="false">EB160+$D160*Inputs!$I$13</f>
        <v>8956.2653612</v>
      </c>
      <c r="EQ160" s="84" t="n">
        <f aca="false">MIN(EN160,EP160)</f>
        <v>4776.590103271</v>
      </c>
      <c r="ER160" s="84" t="n">
        <f aca="false">EP160-EQ160</f>
        <v>4179.675257929</v>
      </c>
      <c r="ES160" s="84" t="n">
        <f aca="false">EE160+$G160*(EP160+EE160)</f>
        <v>0</v>
      </c>
      <c r="ET160" s="84" t="n">
        <f aca="false">MIN(EN160-EQ160,ES160)</f>
        <v>0</v>
      </c>
      <c r="EU160" s="84" t="n">
        <f aca="false">ES160-ET160</f>
        <v>0</v>
      </c>
      <c r="EV160" s="84" t="n">
        <f aca="false">IF($H160=1,MIN(EN160-EQ160-ET160,MAX(0,$F160/(1-$F160)*(EJ160+ET160)-EK160)),0)</f>
        <v>0</v>
      </c>
      <c r="EW160" s="84" t="n">
        <f aca="false">EN160-EQ160-ET160-EV160</f>
        <v>0</v>
      </c>
      <c r="EX160" s="84" t="n">
        <f aca="false">EQ160+ET160+(1-$F160)*EW160</f>
        <v>4776.590103271</v>
      </c>
      <c r="EY160" s="84" t="n">
        <f aca="false">EV160+$F160*EW160</f>
        <v>0</v>
      </c>
      <c r="EZ160" s="84" t="n">
        <f aca="false">EJ160+ET160+(1-$F160)*EW160</f>
        <v>0</v>
      </c>
      <c r="FA160" s="84" t="n">
        <f aca="false">EK160+EY160</f>
        <v>0</v>
      </c>
      <c r="FB160" s="133" t="n">
        <f aca="false">EO160+$D160*Inputs!$J$13-$D160*$E160</f>
        <v>18836.360413084</v>
      </c>
      <c r="FC160" s="84" t="n">
        <f aca="false">FB160*(1+$I160)</f>
        <v>21661.8144750466</v>
      </c>
      <c r="FD160" s="133" t="n">
        <f aca="false">FC160*Inputs!$J$14</f>
        <v>4332.36289500932</v>
      </c>
      <c r="FE160" s="84" t="n">
        <f aca="false">FC160-FD160</f>
        <v>17329.4515800373</v>
      </c>
      <c r="FF160" s="133" t="n">
        <f aca="false">ER160+$D160*Inputs!$J$13</f>
        <v>4179.675257929</v>
      </c>
      <c r="FG160" s="84" t="n">
        <f aca="false">MIN(FD160,FF160)</f>
        <v>4179.675257929</v>
      </c>
      <c r="FH160" s="84" t="n">
        <f aca="false">FF160-FG160</f>
        <v>0</v>
      </c>
      <c r="FI160" s="84" t="n">
        <f aca="false">EU160+$G160*(FF160+EU160)</f>
        <v>0</v>
      </c>
      <c r="FJ160" s="84" t="n">
        <f aca="false">MIN(FD160-FG160,FI160)</f>
        <v>0</v>
      </c>
      <c r="FK160" s="84" t="n">
        <f aca="false">FI160-FJ160</f>
        <v>0</v>
      </c>
      <c r="FL160" s="84" t="n">
        <f aca="false">IF($H160=1,MIN(FD160-FG160-FJ160,MAX(0,$F160/(1-$F160)*(EZ160+FJ160)-FA160)),0)</f>
        <v>0</v>
      </c>
      <c r="FM160" s="84" t="n">
        <f aca="false">FD160-FG160-FJ160-FL160</f>
        <v>152.687637080315</v>
      </c>
      <c r="FN160" s="84" t="n">
        <f aca="false">FG160+FJ160+(1-$F160)*FM160</f>
        <v>4309.45974944727</v>
      </c>
      <c r="FO160" s="84" t="n">
        <f aca="false">FL160+$F160*FM160</f>
        <v>22.9031455620472</v>
      </c>
      <c r="FP160" s="84" t="n">
        <f aca="false">EZ160+FJ160+(1-$F160)*FM160</f>
        <v>129.784491518268</v>
      </c>
      <c r="FQ160" s="84" t="n">
        <f aca="false">FA160+FO160</f>
        <v>22.9031455620472</v>
      </c>
      <c r="FR160" s="133" t="n">
        <f aca="false">FE160+$D160*Inputs!$K$13-$D160*$E160</f>
        <v>17059.4515800373</v>
      </c>
      <c r="FS160" s="84" t="n">
        <f aca="false">FR160*(1+$I160)</f>
        <v>19618.3693170429</v>
      </c>
      <c r="FT160" s="133" t="n">
        <f aca="false">FS160*Inputs!$K$14</f>
        <v>3923.67386340857</v>
      </c>
      <c r="FU160" s="84" t="n">
        <f aca="false">FS160-FT160</f>
        <v>15694.6954536343</v>
      </c>
      <c r="FV160" s="133" t="n">
        <f aca="false">FH160+$D160*Inputs!$K$13</f>
        <v>0</v>
      </c>
      <c r="FW160" s="84" t="n">
        <f aca="false">MIN(FT160,FV160)</f>
        <v>0</v>
      </c>
      <c r="FX160" s="84" t="n">
        <f aca="false">FV160-FW160</f>
        <v>0</v>
      </c>
      <c r="FY160" s="84" t="n">
        <f aca="false">FK160+$G160*(FV160+FK160)</f>
        <v>0</v>
      </c>
      <c r="FZ160" s="84" t="n">
        <f aca="false">MIN(FT160-FW160,FY160)</f>
        <v>0</v>
      </c>
      <c r="GA160" s="84" t="n">
        <f aca="false">FY160-FZ160</f>
        <v>0</v>
      </c>
      <c r="GB160" s="84" t="n">
        <f aca="false">IF($H160=1,MIN(FT160-FW160-FZ160,MAX(0,$F160/(1-$F160)*(FP160+FZ160)-FQ160)),0)</f>
        <v>0</v>
      </c>
      <c r="GC160" s="84" t="n">
        <f aca="false">FT160-FW160-FZ160-GB160</f>
        <v>3923.67386340857</v>
      </c>
      <c r="GD160" s="84" t="n">
        <f aca="false">FW160+FZ160+(1-$F160)*GC160</f>
        <v>3335.12278389729</v>
      </c>
      <c r="GE160" s="84" t="n">
        <f aca="false">GB160+$F160*GC160</f>
        <v>588.551079511286</v>
      </c>
      <c r="GF160" s="84" t="n">
        <f aca="false">FP160+FZ160+(1-$F160)*GC160</f>
        <v>3464.90727541555</v>
      </c>
      <c r="GG160" s="84" t="n">
        <f aca="false">FQ160+GE160</f>
        <v>611.454225073333</v>
      </c>
      <c r="GH160" s="133" t="n">
        <f aca="false">FU160+$D160*Inputs!$L$13-$D160*$E160</f>
        <v>15424.6954536343</v>
      </c>
      <c r="GI160" s="84" t="n">
        <f aca="false">GH160*(1+$I160)</f>
        <v>17738.3997716794</v>
      </c>
      <c r="GJ160" s="133" t="n">
        <f aca="false">GI160*Inputs!$L$14</f>
        <v>17738.3997716794</v>
      </c>
      <c r="GK160" s="84" t="n">
        <f aca="false">GI160-GJ160</f>
        <v>0</v>
      </c>
      <c r="GL160" s="133" t="n">
        <f aca="false">FX160+$D160*Inputs!$L$13</f>
        <v>0</v>
      </c>
      <c r="GM160" s="84" t="n">
        <f aca="false">MIN(GJ160,GL160)</f>
        <v>0</v>
      </c>
      <c r="GN160" s="84" t="n">
        <f aca="false">GL160-GM160</f>
        <v>0</v>
      </c>
      <c r="GO160" s="84" t="n">
        <f aca="false">GA160+$G160*(GL160+GA160)</f>
        <v>0</v>
      </c>
      <c r="GP160" s="84" t="n">
        <f aca="false">MIN(GJ160-GM160,GO160)</f>
        <v>0</v>
      </c>
      <c r="GQ160" s="84" t="n">
        <f aca="false">GO160-GP160</f>
        <v>0</v>
      </c>
      <c r="GR160" s="84" t="n">
        <f aca="false">IF($H160=1,MIN(GJ160-GM160-GP160,MAX(0,$F160/(1-$F160)*(GF160+GP160)-GG160)),0)</f>
        <v>0</v>
      </c>
      <c r="GS160" s="84" t="n">
        <f aca="false">GJ160-GM160-GP160-GR160</f>
        <v>17738.3997716794</v>
      </c>
      <c r="GT160" s="84" t="n">
        <f aca="false">GM160+GP160+(1-$F160)*GS160</f>
        <v>15077.6398059275</v>
      </c>
      <c r="GU160" s="84" t="n">
        <f aca="false">GR160+$F160*GS160</f>
        <v>2660.75996575191</v>
      </c>
      <c r="GV160" s="84" t="n">
        <f aca="false">GF160+GP160+(1-$F160)*GS160</f>
        <v>18542.5470813431</v>
      </c>
      <c r="GW160" s="84" t="n">
        <f aca="false">GG160+GU160</f>
        <v>3272.21419082525</v>
      </c>
    </row>
    <row r="161" customFormat="false" ht="15" hidden="false" customHeight="false" outlineLevel="0" collapsed="false">
      <c r="A161" s="5" t="s">
        <v>641</v>
      </c>
      <c r="B161" s="5" t="s">
        <v>429</v>
      </c>
      <c r="C161" s="135" t="n">
        <v>16</v>
      </c>
      <c r="D161" s="47" t="n">
        <f aca="false">Inputs!$C$6</f>
        <v>20000</v>
      </c>
      <c r="E161" s="35" t="n">
        <f aca="false">Inputs!$C$19</f>
        <v>0.0135</v>
      </c>
      <c r="F161" s="36" t="n">
        <f aca="false">Inputs!$C$21</f>
        <v>0.15</v>
      </c>
      <c r="G161" s="30" t="n">
        <v>0</v>
      </c>
      <c r="H161" s="27" t="n">
        <v>0</v>
      </c>
      <c r="I161" s="132" t="n">
        <f aca="false">Inputs!$C$38+$C161*Inputs!$C$39</f>
        <v>0.16</v>
      </c>
      <c r="J161" s="36" t="n">
        <f aca="false">Inputs!$C$9</f>
        <v>0.15</v>
      </c>
      <c r="K161" s="89" t="n">
        <f aca="false">IRR(W161:AG161,0.1)</f>
        <v>0.126600910348475</v>
      </c>
      <c r="L161" s="45" t="n">
        <f aca="false">W161+NPV($J161,X161:AG161)</f>
        <v>-1740.48090864967</v>
      </c>
      <c r="M161" s="45" t="n">
        <f aca="false">SUM(BF161,BV161,CL161,DB161,DR161,EH161,EX161,FN161,GD161,GT161)</f>
        <v>40662.5612080852</v>
      </c>
      <c r="N161" s="43" t="n">
        <f aca="false">IF($D161*SUM(Inputs!$C$13:$L$13)=0,0,M161/($D161*SUM(Inputs!$C$13:$L$13)))</f>
        <v>2.03312806040426</v>
      </c>
      <c r="O161" s="42" t="n">
        <f aca="false">$D161*$E161*COLUMNS(Inputs!$C$13:$L$13)</f>
        <v>2700</v>
      </c>
      <c r="P161" s="45" t="n">
        <f aca="false">SUM(BG161,BW161,CM161,DC161,DS161,EI161,EY161,FO161,GE161,GU161)</f>
        <v>3646.33433083856</v>
      </c>
      <c r="Q161" s="42" t="n">
        <f aca="false">PV($J161,COLUMNS(Inputs!$C$13:$L$13),-$D161*$E161,0,1)</f>
        <v>1558.32765832774</v>
      </c>
      <c r="R161" s="45" t="n">
        <f aca="false">NPV($J161,BG161,BW161,CM161,DC161,DS161,EI161,EY161,FO161,GE161,GU161)</f>
        <v>936.535948842922</v>
      </c>
      <c r="S161" s="45" t="n">
        <f aca="false">Q161+R161</f>
        <v>2494.86360717066</v>
      </c>
      <c r="T161" s="32" t="n">
        <f aca="false">IF(S161=0,0,Q161/S161)</f>
        <v>0.624614369237998</v>
      </c>
      <c r="U161" s="45" t="n">
        <f aca="false">ROUND(ABS(GK161)+ABS(SUM(AV161,BL161,CB161,CR161,DH161,DX161,EN161,FD161,FT161,GJ161)-M161-P161)+ABS(S161-(AH161+NPV($J161,AI161:AR161))),6)</f>
        <v>0</v>
      </c>
      <c r="W161" s="133" t="n">
        <f aca="false">-$D161*Inputs!$C$13</f>
        <v>-4000</v>
      </c>
      <c r="X161" s="133" t="n">
        <f aca="false">BF161-$D161*Inputs!$D$13</f>
        <v>-4000</v>
      </c>
      <c r="Y161" s="133" t="n">
        <f aca="false">BV161-$D161*Inputs!$E$13</f>
        <v>-4000</v>
      </c>
      <c r="Z161" s="133" t="n">
        <f aca="false">CL161-$D161*Inputs!$F$13</f>
        <v>-4000</v>
      </c>
      <c r="AA161" s="133" t="n">
        <f aca="false">DB161-$D161*Inputs!$G$13</f>
        <v>-4000</v>
      </c>
      <c r="AB161" s="133" t="n">
        <f aca="false">DR161-$D161*Inputs!$H$13</f>
        <v>5951.1978551296</v>
      </c>
      <c r="AC161" s="133" t="n">
        <f aca="false">EH161-$D161*Inputs!$I$13</f>
        <v>5460.07160956027</v>
      </c>
      <c r="AD161" s="133" t="n">
        <f aca="false">EX161-$D161*Inputs!$J$13</f>
        <v>5004.30645367193</v>
      </c>
      <c r="AE161" s="133" t="n">
        <f aca="false">FN161-$D161*Inputs!$K$13</f>
        <v>4431.81654290215</v>
      </c>
      <c r="AF161" s="133" t="n">
        <f aca="false">GD161-$D161*Inputs!$L$13</f>
        <v>3560.52991964915</v>
      </c>
      <c r="AG161" s="84" t="n">
        <f aca="false">GT161</f>
        <v>16254.6388271721</v>
      </c>
      <c r="AH161" s="84" t="n">
        <f aca="false">$D161*$E161</f>
        <v>270</v>
      </c>
      <c r="AI161" s="84" t="n">
        <f aca="false">BG161+$D161*$E161</f>
        <v>270</v>
      </c>
      <c r="AJ161" s="84" t="n">
        <f aca="false">BW161+$D161*$E161</f>
        <v>270</v>
      </c>
      <c r="AK161" s="84" t="n">
        <f aca="false">CM161+$D161*$E161</f>
        <v>270</v>
      </c>
      <c r="AL161" s="84" t="n">
        <f aca="false">DC161+$D161*$E161</f>
        <v>270</v>
      </c>
      <c r="AM161" s="84" t="n">
        <f aca="false">DS161+$D161*$E161</f>
        <v>270</v>
      </c>
      <c r="AN161" s="84" t="n">
        <f aca="false">EI161+$D161*$E161</f>
        <v>270</v>
      </c>
      <c r="AO161" s="84" t="n">
        <f aca="false">EY161+$D161*$E161</f>
        <v>270</v>
      </c>
      <c r="AP161" s="84" t="n">
        <f aca="false">FO161+$D161*$E161</f>
        <v>419.539846105401</v>
      </c>
      <c r="AQ161" s="84" t="n">
        <f aca="false">GE161+$D161*$E161</f>
        <v>898.328809349851</v>
      </c>
      <c r="AR161" s="84" t="n">
        <f aca="false">GU161</f>
        <v>2868.46567538331</v>
      </c>
      <c r="AT161" s="133" t="n">
        <f aca="false">$D161*Inputs!$C$13-$D161*$E161</f>
        <v>3730</v>
      </c>
      <c r="AU161" s="84" t="n">
        <f aca="false">AT161*(1+$I161)</f>
        <v>4326.8</v>
      </c>
      <c r="AV161" s="133" t="n">
        <f aca="false">AU161*Inputs!$C$14</f>
        <v>0</v>
      </c>
      <c r="AW161" s="84" t="n">
        <f aca="false">AU161-AV161</f>
        <v>4326.8</v>
      </c>
      <c r="AX161" s="133" t="n">
        <f aca="false">$D161*Inputs!$C$13</f>
        <v>4000</v>
      </c>
      <c r="AY161" s="84" t="n">
        <f aca="false">MIN(AV161,AX161)</f>
        <v>0</v>
      </c>
      <c r="AZ161" s="84" t="n">
        <f aca="false">AX161-AY161</f>
        <v>4000</v>
      </c>
      <c r="BA161" s="84" t="n">
        <f aca="false">$G161*AX161</f>
        <v>0</v>
      </c>
      <c r="BB161" s="84" t="n">
        <f aca="false">MIN(AV161-AY161,BA161)</f>
        <v>0</v>
      </c>
      <c r="BC161" s="84" t="n">
        <f aca="false">BA161-BB161</f>
        <v>0</v>
      </c>
      <c r="BD161" s="84" t="n">
        <f aca="false">IF($H161=1,MIN(AV161-AY161-BB161,MAX(0,$F161/(1-$F161)*BB161)),0)</f>
        <v>0</v>
      </c>
      <c r="BE161" s="84" t="n">
        <f aca="false">AV161-AY161-BB161-BD161</f>
        <v>0</v>
      </c>
      <c r="BF161" s="84" t="n">
        <f aca="false">AY161+BB161+(1-$F161)*BE161</f>
        <v>0</v>
      </c>
      <c r="BG161" s="84" t="n">
        <f aca="false">BD161+$F161*BE161</f>
        <v>0</v>
      </c>
      <c r="BH161" s="84" t="n">
        <f aca="false">BB161+(1-$F161)*BE161</f>
        <v>0</v>
      </c>
      <c r="BI161" s="84" t="n">
        <f aca="false">BG161</f>
        <v>0</v>
      </c>
      <c r="BJ161" s="133" t="n">
        <f aca="false">AW161+$D161*Inputs!$D$13-$D161*$E161</f>
        <v>8056.8</v>
      </c>
      <c r="BK161" s="84" t="n">
        <f aca="false">BJ161*(1+$I161)</f>
        <v>9345.888</v>
      </c>
      <c r="BL161" s="133" t="n">
        <f aca="false">BK161*Inputs!$D$14</f>
        <v>0</v>
      </c>
      <c r="BM161" s="84" t="n">
        <f aca="false">BK161-BL161</f>
        <v>9345.888</v>
      </c>
      <c r="BN161" s="133" t="n">
        <f aca="false">AZ161+$D161*Inputs!$D$13</f>
        <v>8000</v>
      </c>
      <c r="BO161" s="84" t="n">
        <f aca="false">MIN(BL161,BN161)</f>
        <v>0</v>
      </c>
      <c r="BP161" s="84" t="n">
        <f aca="false">BN161-BO161</f>
        <v>8000</v>
      </c>
      <c r="BQ161" s="84" t="n">
        <f aca="false">BC161+$G161*(BN161+BC161)</f>
        <v>0</v>
      </c>
      <c r="BR161" s="84" t="n">
        <f aca="false">MIN(BL161-BO161,BQ161)</f>
        <v>0</v>
      </c>
      <c r="BS161" s="84" t="n">
        <f aca="false">BQ161-BR161</f>
        <v>0</v>
      </c>
      <c r="BT161" s="84" t="n">
        <f aca="false">IF($H161=1,MIN(BL161-BO161-BR161,MAX(0,$F161/(1-$F161)*(BH161+BR161)-BI161)),0)</f>
        <v>0</v>
      </c>
      <c r="BU161" s="84" t="n">
        <f aca="false">BL161-BO161-BR161-BT161</f>
        <v>0</v>
      </c>
      <c r="BV161" s="84" t="n">
        <f aca="false">BO161+BR161+(1-$F161)*BU161</f>
        <v>0</v>
      </c>
      <c r="BW161" s="84" t="n">
        <f aca="false">BT161+$F161*BU161</f>
        <v>0</v>
      </c>
      <c r="BX161" s="84" t="n">
        <f aca="false">BH161+BR161+(1-$F161)*BU161</f>
        <v>0</v>
      </c>
      <c r="BY161" s="84" t="n">
        <f aca="false">BI161+BW161</f>
        <v>0</v>
      </c>
      <c r="BZ161" s="133" t="n">
        <f aca="false">BM161+$D161*Inputs!$E$13-$D161*$E161</f>
        <v>13075.888</v>
      </c>
      <c r="CA161" s="84" t="n">
        <f aca="false">BZ161*(1+$I161)</f>
        <v>15168.03008</v>
      </c>
      <c r="CB161" s="133" t="n">
        <f aca="false">CA161*Inputs!$E$14</f>
        <v>0</v>
      </c>
      <c r="CC161" s="84" t="n">
        <f aca="false">CA161-CB161</f>
        <v>15168.03008</v>
      </c>
      <c r="CD161" s="133" t="n">
        <f aca="false">BP161+$D161*Inputs!$E$13</f>
        <v>12000</v>
      </c>
      <c r="CE161" s="84" t="n">
        <f aca="false">MIN(CB161,CD161)</f>
        <v>0</v>
      </c>
      <c r="CF161" s="84" t="n">
        <f aca="false">CD161-CE161</f>
        <v>12000</v>
      </c>
      <c r="CG161" s="84" t="n">
        <f aca="false">BS161+$G161*(CD161+BS161)</f>
        <v>0</v>
      </c>
      <c r="CH161" s="84" t="n">
        <f aca="false">MIN(CB161-CE161,CG161)</f>
        <v>0</v>
      </c>
      <c r="CI161" s="84" t="n">
        <f aca="false">CG161-CH161</f>
        <v>0</v>
      </c>
      <c r="CJ161" s="84" t="n">
        <f aca="false">IF($H161=1,MIN(CB161-CE161-CH161,MAX(0,$F161/(1-$F161)*(BX161+CH161)-BY161)),0)</f>
        <v>0</v>
      </c>
      <c r="CK161" s="84" t="n">
        <f aca="false">CB161-CE161-CH161-CJ161</f>
        <v>0</v>
      </c>
      <c r="CL161" s="84" t="n">
        <f aca="false">CE161+CH161+(1-$F161)*CK161</f>
        <v>0</v>
      </c>
      <c r="CM161" s="84" t="n">
        <f aca="false">CJ161+$F161*CK161</f>
        <v>0</v>
      </c>
      <c r="CN161" s="84" t="n">
        <f aca="false">BX161+CH161+(1-$F161)*CK161</f>
        <v>0</v>
      </c>
      <c r="CO161" s="84" t="n">
        <f aca="false">BY161+CM161</f>
        <v>0</v>
      </c>
      <c r="CP161" s="133" t="n">
        <f aca="false">CC161+$D161*Inputs!$F$13-$D161*$E161</f>
        <v>18898.03008</v>
      </c>
      <c r="CQ161" s="84" t="n">
        <f aca="false">CP161*(1+$I161)</f>
        <v>21921.7148928</v>
      </c>
      <c r="CR161" s="133" t="n">
        <f aca="false">CQ161*Inputs!$F$14</f>
        <v>0</v>
      </c>
      <c r="CS161" s="84" t="n">
        <f aca="false">CQ161-CR161</f>
        <v>21921.7148928</v>
      </c>
      <c r="CT161" s="133" t="n">
        <f aca="false">CF161+$D161*Inputs!$F$13</f>
        <v>16000</v>
      </c>
      <c r="CU161" s="84" t="n">
        <f aca="false">MIN(CR161,CT161)</f>
        <v>0</v>
      </c>
      <c r="CV161" s="84" t="n">
        <f aca="false">CT161-CU161</f>
        <v>16000</v>
      </c>
      <c r="CW161" s="84" t="n">
        <f aca="false">CI161+$G161*(CT161+CI161)</f>
        <v>0</v>
      </c>
      <c r="CX161" s="84" t="n">
        <f aca="false">MIN(CR161-CU161,CW161)</f>
        <v>0</v>
      </c>
      <c r="CY161" s="84" t="n">
        <f aca="false">CW161-CX161</f>
        <v>0</v>
      </c>
      <c r="CZ161" s="84" t="n">
        <f aca="false">IF($H161=1,MIN(CR161-CU161-CX161,MAX(0,$F161/(1-$F161)*(CN161+CX161)-CO161)),0)</f>
        <v>0</v>
      </c>
      <c r="DA161" s="84" t="n">
        <f aca="false">CR161-CU161-CX161-CZ161</f>
        <v>0</v>
      </c>
      <c r="DB161" s="84" t="n">
        <f aca="false">CU161+CX161+(1-$F161)*DA161</f>
        <v>0</v>
      </c>
      <c r="DC161" s="84" t="n">
        <f aca="false">CZ161+$F161*DA161</f>
        <v>0</v>
      </c>
      <c r="DD161" s="84" t="n">
        <f aca="false">CN161+CX161+(1-$F161)*DA161</f>
        <v>0</v>
      </c>
      <c r="DE161" s="84" t="n">
        <f aca="false">CO161+DC161</f>
        <v>0</v>
      </c>
      <c r="DF161" s="133" t="n">
        <f aca="false">CS161+$D161*Inputs!$G$13-$D161*$E161</f>
        <v>25651.7148928</v>
      </c>
      <c r="DG161" s="84" t="n">
        <f aca="false">DF161*(1+$I161)</f>
        <v>29755.989275648</v>
      </c>
      <c r="DH161" s="133" t="n">
        <f aca="false">DG161*Inputs!$G$14</f>
        <v>5951.1978551296</v>
      </c>
      <c r="DI161" s="84" t="n">
        <f aca="false">DG161-DH161</f>
        <v>23804.7914205184</v>
      </c>
      <c r="DJ161" s="133" t="n">
        <f aca="false">CV161+$D161*Inputs!$G$13</f>
        <v>20000</v>
      </c>
      <c r="DK161" s="84" t="n">
        <f aca="false">MIN(DH161,DJ161)</f>
        <v>5951.1978551296</v>
      </c>
      <c r="DL161" s="84" t="n">
        <f aca="false">DJ161-DK161</f>
        <v>14048.8021448704</v>
      </c>
      <c r="DM161" s="84" t="n">
        <f aca="false">CY161+$G161*(DJ161+CY161)</f>
        <v>0</v>
      </c>
      <c r="DN161" s="84" t="n">
        <f aca="false">MIN(DH161-DK161,DM161)</f>
        <v>0</v>
      </c>
      <c r="DO161" s="84" t="n">
        <f aca="false">DM161-DN161</f>
        <v>0</v>
      </c>
      <c r="DP161" s="84" t="n">
        <f aca="false">IF($H161=1,MIN(DH161-DK161-DN161,MAX(0,$F161/(1-$F161)*(DD161+DN161)-DE161)),0)</f>
        <v>0</v>
      </c>
      <c r="DQ161" s="84" t="n">
        <f aca="false">DH161-DK161-DN161-DP161</f>
        <v>0</v>
      </c>
      <c r="DR161" s="84" t="n">
        <f aca="false">DK161+DN161+(1-$F161)*DQ161</f>
        <v>5951.1978551296</v>
      </c>
      <c r="DS161" s="84" t="n">
        <f aca="false">DP161+$F161*DQ161</f>
        <v>0</v>
      </c>
      <c r="DT161" s="84" t="n">
        <f aca="false">DD161+DN161+(1-$F161)*DQ161</f>
        <v>0</v>
      </c>
      <c r="DU161" s="84" t="n">
        <f aca="false">DE161+DS161</f>
        <v>0</v>
      </c>
      <c r="DV161" s="133" t="n">
        <f aca="false">DI161+$D161*Inputs!$H$13-$D161*$E161</f>
        <v>23534.7914205184</v>
      </c>
      <c r="DW161" s="84" t="n">
        <f aca="false">DV161*(1+$I161)</f>
        <v>27300.3580478013</v>
      </c>
      <c r="DX161" s="133" t="n">
        <f aca="false">DW161*Inputs!$H$14</f>
        <v>5460.07160956027</v>
      </c>
      <c r="DY161" s="84" t="n">
        <f aca="false">DW161-DX161</f>
        <v>21840.2864382411</v>
      </c>
      <c r="DZ161" s="133" t="n">
        <f aca="false">DL161+$D161*Inputs!$H$13</f>
        <v>14048.8021448704</v>
      </c>
      <c r="EA161" s="84" t="n">
        <f aca="false">MIN(DX161,DZ161)</f>
        <v>5460.07160956027</v>
      </c>
      <c r="EB161" s="84" t="n">
        <f aca="false">DZ161-EA161</f>
        <v>8588.73053531014</v>
      </c>
      <c r="EC161" s="84" t="n">
        <f aca="false">DO161+$G161*(DZ161+DO161)</f>
        <v>0</v>
      </c>
      <c r="ED161" s="84" t="n">
        <f aca="false">MIN(DX161-EA161,EC161)</f>
        <v>0</v>
      </c>
      <c r="EE161" s="84" t="n">
        <f aca="false">EC161-ED161</f>
        <v>0</v>
      </c>
      <c r="EF161" s="84" t="n">
        <f aca="false">IF($H161=1,MIN(DX161-EA161-ED161,MAX(0,$F161/(1-$F161)*(DT161+ED161)-DU161)),0)</f>
        <v>0</v>
      </c>
      <c r="EG161" s="84" t="n">
        <f aca="false">DX161-EA161-ED161-EF161</f>
        <v>0</v>
      </c>
      <c r="EH161" s="84" t="n">
        <f aca="false">EA161+ED161+(1-$F161)*EG161</f>
        <v>5460.07160956027</v>
      </c>
      <c r="EI161" s="84" t="n">
        <f aca="false">EF161+$F161*EG161</f>
        <v>0</v>
      </c>
      <c r="EJ161" s="84" t="n">
        <f aca="false">DT161+ED161+(1-$F161)*EG161</f>
        <v>0</v>
      </c>
      <c r="EK161" s="84" t="n">
        <f aca="false">DU161+EI161</f>
        <v>0</v>
      </c>
      <c r="EL161" s="133" t="n">
        <f aca="false">DY161+$D161*Inputs!$I$13-$D161*$E161</f>
        <v>21570.2864382411</v>
      </c>
      <c r="EM161" s="84" t="n">
        <f aca="false">EL161*(1+$I161)</f>
        <v>25021.5322683596</v>
      </c>
      <c r="EN161" s="133" t="n">
        <f aca="false">EM161*Inputs!$I$14</f>
        <v>5004.30645367193</v>
      </c>
      <c r="EO161" s="84" t="n">
        <f aca="false">EM161-EN161</f>
        <v>20017.2258146877</v>
      </c>
      <c r="EP161" s="133" t="n">
        <f aca="false">EB161+$D161*Inputs!$I$13</f>
        <v>8588.73053531014</v>
      </c>
      <c r="EQ161" s="84" t="n">
        <f aca="false">MIN(EN161,EP161)</f>
        <v>5004.30645367193</v>
      </c>
      <c r="ER161" s="84" t="n">
        <f aca="false">EP161-EQ161</f>
        <v>3584.42408163821</v>
      </c>
      <c r="ES161" s="84" t="n">
        <f aca="false">EE161+$G161*(EP161+EE161)</f>
        <v>0</v>
      </c>
      <c r="ET161" s="84" t="n">
        <f aca="false">MIN(EN161-EQ161,ES161)</f>
        <v>0</v>
      </c>
      <c r="EU161" s="84" t="n">
        <f aca="false">ES161-ET161</f>
        <v>0</v>
      </c>
      <c r="EV161" s="84" t="n">
        <f aca="false">IF($H161=1,MIN(EN161-EQ161-ET161,MAX(0,$F161/(1-$F161)*(EJ161+ET161)-EK161)),0)</f>
        <v>0</v>
      </c>
      <c r="EW161" s="84" t="n">
        <f aca="false">EN161-EQ161-ET161-EV161</f>
        <v>0</v>
      </c>
      <c r="EX161" s="84" t="n">
        <f aca="false">EQ161+ET161+(1-$F161)*EW161</f>
        <v>5004.30645367193</v>
      </c>
      <c r="EY161" s="84" t="n">
        <f aca="false">EV161+$F161*EW161</f>
        <v>0</v>
      </c>
      <c r="EZ161" s="84" t="n">
        <f aca="false">EJ161+ET161+(1-$F161)*EW161</f>
        <v>0</v>
      </c>
      <c r="FA161" s="84" t="n">
        <f aca="false">EK161+EY161</f>
        <v>0</v>
      </c>
      <c r="FB161" s="133" t="n">
        <f aca="false">EO161+$D161*Inputs!$J$13-$D161*$E161</f>
        <v>19747.2258146877</v>
      </c>
      <c r="FC161" s="84" t="n">
        <f aca="false">FB161*(1+$I161)</f>
        <v>22906.7819450377</v>
      </c>
      <c r="FD161" s="133" t="n">
        <f aca="false">FC161*Inputs!$J$14</f>
        <v>4581.35638900755</v>
      </c>
      <c r="FE161" s="84" t="n">
        <f aca="false">FC161-FD161</f>
        <v>18325.4255560302</v>
      </c>
      <c r="FF161" s="133" t="n">
        <f aca="false">ER161+$D161*Inputs!$J$13</f>
        <v>3584.42408163821</v>
      </c>
      <c r="FG161" s="84" t="n">
        <f aca="false">MIN(FD161,FF161)</f>
        <v>3584.42408163821</v>
      </c>
      <c r="FH161" s="84" t="n">
        <f aca="false">FF161-FG161</f>
        <v>0</v>
      </c>
      <c r="FI161" s="84" t="n">
        <f aca="false">EU161+$G161*(FF161+EU161)</f>
        <v>0</v>
      </c>
      <c r="FJ161" s="84" t="n">
        <f aca="false">MIN(FD161-FG161,FI161)</f>
        <v>0</v>
      </c>
      <c r="FK161" s="84" t="n">
        <f aca="false">FI161-FJ161</f>
        <v>0</v>
      </c>
      <c r="FL161" s="84" t="n">
        <f aca="false">IF($H161=1,MIN(FD161-FG161-FJ161,MAX(0,$F161/(1-$F161)*(EZ161+FJ161)-FA161)),0)</f>
        <v>0</v>
      </c>
      <c r="FM161" s="84" t="n">
        <f aca="false">FD161-FG161-FJ161-FL161</f>
        <v>996.932307369342</v>
      </c>
      <c r="FN161" s="84" t="n">
        <f aca="false">FG161+FJ161+(1-$F161)*FM161</f>
        <v>4431.81654290215</v>
      </c>
      <c r="FO161" s="84" t="n">
        <f aca="false">FL161+$F161*FM161</f>
        <v>149.539846105401</v>
      </c>
      <c r="FP161" s="84" t="n">
        <f aca="false">EZ161+FJ161+(1-$F161)*FM161</f>
        <v>847.392461263941</v>
      </c>
      <c r="FQ161" s="84" t="n">
        <f aca="false">FA161+FO161</f>
        <v>149.539846105401</v>
      </c>
      <c r="FR161" s="133" t="n">
        <f aca="false">FE161+$D161*Inputs!$K$13-$D161*$E161</f>
        <v>18055.4255560302</v>
      </c>
      <c r="FS161" s="84" t="n">
        <f aca="false">FR161*(1+$I161)</f>
        <v>20944.293644995</v>
      </c>
      <c r="FT161" s="133" t="n">
        <f aca="false">FS161*Inputs!$K$14</f>
        <v>4188.85872899901</v>
      </c>
      <c r="FU161" s="84" t="n">
        <f aca="false">FS161-FT161</f>
        <v>16755.434915996</v>
      </c>
      <c r="FV161" s="133" t="n">
        <f aca="false">FH161+$D161*Inputs!$K$13</f>
        <v>0</v>
      </c>
      <c r="FW161" s="84" t="n">
        <f aca="false">MIN(FT161,FV161)</f>
        <v>0</v>
      </c>
      <c r="FX161" s="84" t="n">
        <f aca="false">FV161-FW161</f>
        <v>0</v>
      </c>
      <c r="FY161" s="84" t="n">
        <f aca="false">FK161+$G161*(FV161+FK161)</f>
        <v>0</v>
      </c>
      <c r="FZ161" s="84" t="n">
        <f aca="false">MIN(FT161-FW161,FY161)</f>
        <v>0</v>
      </c>
      <c r="GA161" s="84" t="n">
        <f aca="false">FY161-FZ161</f>
        <v>0</v>
      </c>
      <c r="GB161" s="84" t="n">
        <f aca="false">IF($H161=1,MIN(FT161-FW161-FZ161,MAX(0,$F161/(1-$F161)*(FP161+FZ161)-FQ161)),0)</f>
        <v>0</v>
      </c>
      <c r="GC161" s="84" t="n">
        <f aca="false">FT161-FW161-FZ161-GB161</f>
        <v>4188.85872899901</v>
      </c>
      <c r="GD161" s="84" t="n">
        <f aca="false">FW161+FZ161+(1-$F161)*GC161</f>
        <v>3560.52991964915</v>
      </c>
      <c r="GE161" s="84" t="n">
        <f aca="false">GB161+$F161*GC161</f>
        <v>628.328809349851</v>
      </c>
      <c r="GF161" s="84" t="n">
        <f aca="false">FP161+FZ161+(1-$F161)*GC161</f>
        <v>4407.9223809131</v>
      </c>
      <c r="GG161" s="84" t="n">
        <f aca="false">FQ161+GE161</f>
        <v>777.868655455252</v>
      </c>
      <c r="GH161" s="133" t="n">
        <f aca="false">FU161+$D161*Inputs!$L$13-$D161*$E161</f>
        <v>16485.434915996</v>
      </c>
      <c r="GI161" s="84" t="n">
        <f aca="false">GH161*(1+$I161)</f>
        <v>19123.1045025554</v>
      </c>
      <c r="GJ161" s="133" t="n">
        <f aca="false">GI161*Inputs!$L$14</f>
        <v>19123.1045025554</v>
      </c>
      <c r="GK161" s="84" t="n">
        <f aca="false">GI161-GJ161</f>
        <v>0</v>
      </c>
      <c r="GL161" s="133" t="n">
        <f aca="false">FX161+$D161*Inputs!$L$13</f>
        <v>0</v>
      </c>
      <c r="GM161" s="84" t="n">
        <f aca="false">MIN(GJ161,GL161)</f>
        <v>0</v>
      </c>
      <c r="GN161" s="84" t="n">
        <f aca="false">GL161-GM161</f>
        <v>0</v>
      </c>
      <c r="GO161" s="84" t="n">
        <f aca="false">GA161+$G161*(GL161+GA161)</f>
        <v>0</v>
      </c>
      <c r="GP161" s="84" t="n">
        <f aca="false">MIN(GJ161-GM161,GO161)</f>
        <v>0</v>
      </c>
      <c r="GQ161" s="84" t="n">
        <f aca="false">GO161-GP161</f>
        <v>0</v>
      </c>
      <c r="GR161" s="84" t="n">
        <f aca="false">IF($H161=1,MIN(GJ161-GM161-GP161,MAX(0,$F161/(1-$F161)*(GF161+GP161)-GG161)),0)</f>
        <v>0</v>
      </c>
      <c r="GS161" s="84" t="n">
        <f aca="false">GJ161-GM161-GP161-GR161</f>
        <v>19123.1045025554</v>
      </c>
      <c r="GT161" s="84" t="n">
        <f aca="false">GM161+GP161+(1-$F161)*GS161</f>
        <v>16254.6388271721</v>
      </c>
      <c r="GU161" s="84" t="n">
        <f aca="false">GR161+$F161*GS161</f>
        <v>2868.46567538331</v>
      </c>
      <c r="GV161" s="84" t="n">
        <f aca="false">GF161+GP161+(1-$F161)*GS161</f>
        <v>20662.5612080852</v>
      </c>
      <c r="GW161" s="84" t="n">
        <f aca="false">GG161+GU161</f>
        <v>3646.33433083856</v>
      </c>
    </row>
    <row r="162" customFormat="false" ht="15" hidden="false" customHeight="false" outlineLevel="0" collapsed="false">
      <c r="A162" s="5" t="s">
        <v>641</v>
      </c>
      <c r="B162" s="5" t="s">
        <v>429</v>
      </c>
      <c r="C162" s="135" t="n">
        <v>17</v>
      </c>
      <c r="D162" s="47" t="n">
        <f aca="false">Inputs!$C$6</f>
        <v>20000</v>
      </c>
      <c r="E162" s="35" t="n">
        <f aca="false">Inputs!$C$19</f>
        <v>0.0135</v>
      </c>
      <c r="F162" s="36" t="n">
        <f aca="false">Inputs!$C$21</f>
        <v>0.15</v>
      </c>
      <c r="G162" s="30" t="n">
        <v>0</v>
      </c>
      <c r="H162" s="27" t="n">
        <v>0</v>
      </c>
      <c r="I162" s="132" t="n">
        <f aca="false">Inputs!$C$38+$C162*Inputs!$C$39</f>
        <v>0.17</v>
      </c>
      <c r="J162" s="36" t="n">
        <f aca="false">Inputs!$C$9</f>
        <v>0.15</v>
      </c>
      <c r="K162" s="89" t="n">
        <f aca="false">IRR(W162:AG162,0.1)</f>
        <v>0.136149321452382</v>
      </c>
      <c r="L162" s="45" t="n">
        <f aca="false">W162+NPV($J162,X162:AG162)</f>
        <v>-1055.61345114534</v>
      </c>
      <c r="M162" s="45" t="n">
        <f aca="false">SUM(BF162,BV162,CL162,DB162,DR162,EH162,EX162,FN162,GD162,GT162)</f>
        <v>42903.7641886452</v>
      </c>
      <c r="N162" s="43" t="n">
        <f aca="false">IF($D162*SUM(Inputs!$C$13:$L$13)=0,0,M162/($D162*SUM(Inputs!$C$13:$L$13)))</f>
        <v>2.14518820943226</v>
      </c>
      <c r="O162" s="42" t="n">
        <f aca="false">$D162*$E162*COLUMNS(Inputs!$C$13:$L$13)</f>
        <v>2700</v>
      </c>
      <c r="P162" s="45" t="n">
        <f aca="false">SUM(BG162,BW162,CM162,DC162,DS162,EI162,EY162,FO162,GE162,GU162)</f>
        <v>4041.84073917268</v>
      </c>
      <c r="Q162" s="42" t="n">
        <f aca="false">PV($J162,COLUMNS(Inputs!$C$13:$L$13),-$D162*$E162,0,1)</f>
        <v>1558.32765832774</v>
      </c>
      <c r="R162" s="45" t="n">
        <f aca="false">NPV($J162,BG162,BW162,CM162,DC162,DS162,EI162,EY162,FO162,GE162,GU162)</f>
        <v>1046.34611312332</v>
      </c>
      <c r="S162" s="45" t="n">
        <f aca="false">Q162+R162</f>
        <v>2604.67377145106</v>
      </c>
      <c r="T162" s="32" t="n">
        <f aca="false">IF(S162=0,0,Q162/S162)</f>
        <v>0.59828131853134</v>
      </c>
      <c r="U162" s="45" t="n">
        <f aca="false">ROUND(ABS(GK162)+ABS(SUM(AV162,BL162,CB162,CR162,DH162,DX162,EN162,FD162,FT162,GJ162)-M162-P162)+ABS(S162-(AH162+NPV($J162,AI162:AR162))),6)</f>
        <v>0</v>
      </c>
      <c r="W162" s="133" t="n">
        <f aca="false">-$D162*Inputs!$C$13</f>
        <v>-4000</v>
      </c>
      <c r="X162" s="133" t="n">
        <f aca="false">BF162-$D162*Inputs!$D$13</f>
        <v>-4000</v>
      </c>
      <c r="Y162" s="133" t="n">
        <f aca="false">BV162-$D162*Inputs!$E$13</f>
        <v>-4000</v>
      </c>
      <c r="Z162" s="133" t="n">
        <f aca="false">CL162-$D162*Inputs!$F$13</f>
        <v>-4000</v>
      </c>
      <c r="AA162" s="133" t="n">
        <f aca="false">DB162-$D162*Inputs!$G$13</f>
        <v>-4000</v>
      </c>
      <c r="AB162" s="133" t="n">
        <f aca="false">DR162-$D162*Inputs!$H$13</f>
        <v>6122.3087912922</v>
      </c>
      <c r="AC162" s="133" t="n">
        <f aca="false">EH162-$D162*Inputs!$I$13</f>
        <v>5667.3010286495</v>
      </c>
      <c r="AD162" s="133" t="n">
        <f aca="false">EX162-$D162*Inputs!$J$13</f>
        <v>5241.41376281593</v>
      </c>
      <c r="AE162" s="133" t="n">
        <f aca="false">FN162-$D162*Inputs!$K$13</f>
        <v>4561.71225228271</v>
      </c>
      <c r="AF162" s="133" t="n">
        <f aca="false">GD162-$D162*Inputs!$L$13</f>
        <v>3799.21537915579</v>
      </c>
      <c r="AG162" s="84" t="n">
        <f aca="false">GT162</f>
        <v>17511.8129744491</v>
      </c>
      <c r="AH162" s="84" t="n">
        <f aca="false">$D162*$E162</f>
        <v>270</v>
      </c>
      <c r="AI162" s="84" t="n">
        <f aca="false">BG162+$D162*$E162</f>
        <v>270</v>
      </c>
      <c r="AJ162" s="84" t="n">
        <f aca="false">BW162+$D162*$E162</f>
        <v>270</v>
      </c>
      <c r="AK162" s="84" t="n">
        <f aca="false">CM162+$D162*$E162</f>
        <v>270</v>
      </c>
      <c r="AL162" s="84" t="n">
        <f aca="false">DC162+$D162*$E162</f>
        <v>270</v>
      </c>
      <c r="AM162" s="84" t="n">
        <f aca="false">DS162+$D162*$E162</f>
        <v>270</v>
      </c>
      <c r="AN162" s="84" t="n">
        <f aca="false">EI162+$D162*$E162</f>
        <v>270</v>
      </c>
      <c r="AO162" s="84" t="n">
        <f aca="false">EY162+$D162*$E162</f>
        <v>270</v>
      </c>
      <c r="AP162" s="84" t="n">
        <f aca="false">FO162+$D162*$E162</f>
        <v>551.071029713</v>
      </c>
      <c r="AQ162" s="84" t="n">
        <f aca="false">GE162+$D162*$E162</f>
        <v>940.449772792198</v>
      </c>
      <c r="AR162" s="84" t="n">
        <f aca="false">GU162</f>
        <v>3090.31993666748</v>
      </c>
      <c r="AT162" s="133" t="n">
        <f aca="false">$D162*Inputs!$C$13-$D162*$E162</f>
        <v>3730</v>
      </c>
      <c r="AU162" s="84" t="n">
        <f aca="false">AT162*(1+$I162)</f>
        <v>4364.1</v>
      </c>
      <c r="AV162" s="133" t="n">
        <f aca="false">AU162*Inputs!$C$14</f>
        <v>0</v>
      </c>
      <c r="AW162" s="84" t="n">
        <f aca="false">AU162-AV162</f>
        <v>4364.1</v>
      </c>
      <c r="AX162" s="133" t="n">
        <f aca="false">$D162*Inputs!$C$13</f>
        <v>4000</v>
      </c>
      <c r="AY162" s="84" t="n">
        <f aca="false">MIN(AV162,AX162)</f>
        <v>0</v>
      </c>
      <c r="AZ162" s="84" t="n">
        <f aca="false">AX162-AY162</f>
        <v>4000</v>
      </c>
      <c r="BA162" s="84" t="n">
        <f aca="false">$G162*AX162</f>
        <v>0</v>
      </c>
      <c r="BB162" s="84" t="n">
        <f aca="false">MIN(AV162-AY162,BA162)</f>
        <v>0</v>
      </c>
      <c r="BC162" s="84" t="n">
        <f aca="false">BA162-BB162</f>
        <v>0</v>
      </c>
      <c r="BD162" s="84" t="n">
        <f aca="false">IF($H162=1,MIN(AV162-AY162-BB162,MAX(0,$F162/(1-$F162)*BB162)),0)</f>
        <v>0</v>
      </c>
      <c r="BE162" s="84" t="n">
        <f aca="false">AV162-AY162-BB162-BD162</f>
        <v>0</v>
      </c>
      <c r="BF162" s="84" t="n">
        <f aca="false">AY162+BB162+(1-$F162)*BE162</f>
        <v>0</v>
      </c>
      <c r="BG162" s="84" t="n">
        <f aca="false">BD162+$F162*BE162</f>
        <v>0</v>
      </c>
      <c r="BH162" s="84" t="n">
        <f aca="false">BB162+(1-$F162)*BE162</f>
        <v>0</v>
      </c>
      <c r="BI162" s="84" t="n">
        <f aca="false">BG162</f>
        <v>0</v>
      </c>
      <c r="BJ162" s="133" t="n">
        <f aca="false">AW162+$D162*Inputs!$D$13-$D162*$E162</f>
        <v>8094.1</v>
      </c>
      <c r="BK162" s="84" t="n">
        <f aca="false">BJ162*(1+$I162)</f>
        <v>9470.097</v>
      </c>
      <c r="BL162" s="133" t="n">
        <f aca="false">BK162*Inputs!$D$14</f>
        <v>0</v>
      </c>
      <c r="BM162" s="84" t="n">
        <f aca="false">BK162-BL162</f>
        <v>9470.097</v>
      </c>
      <c r="BN162" s="133" t="n">
        <f aca="false">AZ162+$D162*Inputs!$D$13</f>
        <v>8000</v>
      </c>
      <c r="BO162" s="84" t="n">
        <f aca="false">MIN(BL162,BN162)</f>
        <v>0</v>
      </c>
      <c r="BP162" s="84" t="n">
        <f aca="false">BN162-BO162</f>
        <v>8000</v>
      </c>
      <c r="BQ162" s="84" t="n">
        <f aca="false">BC162+$G162*(BN162+BC162)</f>
        <v>0</v>
      </c>
      <c r="BR162" s="84" t="n">
        <f aca="false">MIN(BL162-BO162,BQ162)</f>
        <v>0</v>
      </c>
      <c r="BS162" s="84" t="n">
        <f aca="false">BQ162-BR162</f>
        <v>0</v>
      </c>
      <c r="BT162" s="84" t="n">
        <f aca="false">IF($H162=1,MIN(BL162-BO162-BR162,MAX(0,$F162/(1-$F162)*(BH162+BR162)-BI162)),0)</f>
        <v>0</v>
      </c>
      <c r="BU162" s="84" t="n">
        <f aca="false">BL162-BO162-BR162-BT162</f>
        <v>0</v>
      </c>
      <c r="BV162" s="84" t="n">
        <f aca="false">BO162+BR162+(1-$F162)*BU162</f>
        <v>0</v>
      </c>
      <c r="BW162" s="84" t="n">
        <f aca="false">BT162+$F162*BU162</f>
        <v>0</v>
      </c>
      <c r="BX162" s="84" t="n">
        <f aca="false">BH162+BR162+(1-$F162)*BU162</f>
        <v>0</v>
      </c>
      <c r="BY162" s="84" t="n">
        <f aca="false">BI162+BW162</f>
        <v>0</v>
      </c>
      <c r="BZ162" s="133" t="n">
        <f aca="false">BM162+$D162*Inputs!$E$13-$D162*$E162</f>
        <v>13200.097</v>
      </c>
      <c r="CA162" s="84" t="n">
        <f aca="false">BZ162*(1+$I162)</f>
        <v>15444.11349</v>
      </c>
      <c r="CB162" s="133" t="n">
        <f aca="false">CA162*Inputs!$E$14</f>
        <v>0</v>
      </c>
      <c r="CC162" s="84" t="n">
        <f aca="false">CA162-CB162</f>
        <v>15444.11349</v>
      </c>
      <c r="CD162" s="133" t="n">
        <f aca="false">BP162+$D162*Inputs!$E$13</f>
        <v>12000</v>
      </c>
      <c r="CE162" s="84" t="n">
        <f aca="false">MIN(CB162,CD162)</f>
        <v>0</v>
      </c>
      <c r="CF162" s="84" t="n">
        <f aca="false">CD162-CE162</f>
        <v>12000</v>
      </c>
      <c r="CG162" s="84" t="n">
        <f aca="false">BS162+$G162*(CD162+BS162)</f>
        <v>0</v>
      </c>
      <c r="CH162" s="84" t="n">
        <f aca="false">MIN(CB162-CE162,CG162)</f>
        <v>0</v>
      </c>
      <c r="CI162" s="84" t="n">
        <f aca="false">CG162-CH162</f>
        <v>0</v>
      </c>
      <c r="CJ162" s="84" t="n">
        <f aca="false">IF($H162=1,MIN(CB162-CE162-CH162,MAX(0,$F162/(1-$F162)*(BX162+CH162)-BY162)),0)</f>
        <v>0</v>
      </c>
      <c r="CK162" s="84" t="n">
        <f aca="false">CB162-CE162-CH162-CJ162</f>
        <v>0</v>
      </c>
      <c r="CL162" s="84" t="n">
        <f aca="false">CE162+CH162+(1-$F162)*CK162</f>
        <v>0</v>
      </c>
      <c r="CM162" s="84" t="n">
        <f aca="false">CJ162+$F162*CK162</f>
        <v>0</v>
      </c>
      <c r="CN162" s="84" t="n">
        <f aca="false">BX162+CH162+(1-$F162)*CK162</f>
        <v>0</v>
      </c>
      <c r="CO162" s="84" t="n">
        <f aca="false">BY162+CM162</f>
        <v>0</v>
      </c>
      <c r="CP162" s="133" t="n">
        <f aca="false">CC162+$D162*Inputs!$F$13-$D162*$E162</f>
        <v>19174.11349</v>
      </c>
      <c r="CQ162" s="84" t="n">
        <f aca="false">CP162*(1+$I162)</f>
        <v>22433.7127833</v>
      </c>
      <c r="CR162" s="133" t="n">
        <f aca="false">CQ162*Inputs!$F$14</f>
        <v>0</v>
      </c>
      <c r="CS162" s="84" t="n">
        <f aca="false">CQ162-CR162</f>
        <v>22433.7127833</v>
      </c>
      <c r="CT162" s="133" t="n">
        <f aca="false">CF162+$D162*Inputs!$F$13</f>
        <v>16000</v>
      </c>
      <c r="CU162" s="84" t="n">
        <f aca="false">MIN(CR162,CT162)</f>
        <v>0</v>
      </c>
      <c r="CV162" s="84" t="n">
        <f aca="false">CT162-CU162</f>
        <v>16000</v>
      </c>
      <c r="CW162" s="84" t="n">
        <f aca="false">CI162+$G162*(CT162+CI162)</f>
        <v>0</v>
      </c>
      <c r="CX162" s="84" t="n">
        <f aca="false">MIN(CR162-CU162,CW162)</f>
        <v>0</v>
      </c>
      <c r="CY162" s="84" t="n">
        <f aca="false">CW162-CX162</f>
        <v>0</v>
      </c>
      <c r="CZ162" s="84" t="n">
        <f aca="false">IF($H162=1,MIN(CR162-CU162-CX162,MAX(0,$F162/(1-$F162)*(CN162+CX162)-CO162)),0)</f>
        <v>0</v>
      </c>
      <c r="DA162" s="84" t="n">
        <f aca="false">CR162-CU162-CX162-CZ162</f>
        <v>0</v>
      </c>
      <c r="DB162" s="84" t="n">
        <f aca="false">CU162+CX162+(1-$F162)*DA162</f>
        <v>0</v>
      </c>
      <c r="DC162" s="84" t="n">
        <f aca="false">CZ162+$F162*DA162</f>
        <v>0</v>
      </c>
      <c r="DD162" s="84" t="n">
        <f aca="false">CN162+CX162+(1-$F162)*DA162</f>
        <v>0</v>
      </c>
      <c r="DE162" s="84" t="n">
        <f aca="false">CO162+DC162</f>
        <v>0</v>
      </c>
      <c r="DF162" s="133" t="n">
        <f aca="false">CS162+$D162*Inputs!$G$13-$D162*$E162</f>
        <v>26163.7127833</v>
      </c>
      <c r="DG162" s="84" t="n">
        <f aca="false">DF162*(1+$I162)</f>
        <v>30611.543956461</v>
      </c>
      <c r="DH162" s="133" t="n">
        <f aca="false">DG162*Inputs!$G$14</f>
        <v>6122.3087912922</v>
      </c>
      <c r="DI162" s="84" t="n">
        <f aca="false">DG162-DH162</f>
        <v>24489.2351651688</v>
      </c>
      <c r="DJ162" s="133" t="n">
        <f aca="false">CV162+$D162*Inputs!$G$13</f>
        <v>20000</v>
      </c>
      <c r="DK162" s="84" t="n">
        <f aca="false">MIN(DH162,DJ162)</f>
        <v>6122.3087912922</v>
      </c>
      <c r="DL162" s="84" t="n">
        <f aca="false">DJ162-DK162</f>
        <v>13877.6912087078</v>
      </c>
      <c r="DM162" s="84" t="n">
        <f aca="false">CY162+$G162*(DJ162+CY162)</f>
        <v>0</v>
      </c>
      <c r="DN162" s="84" t="n">
        <f aca="false">MIN(DH162-DK162,DM162)</f>
        <v>0</v>
      </c>
      <c r="DO162" s="84" t="n">
        <f aca="false">DM162-DN162</f>
        <v>0</v>
      </c>
      <c r="DP162" s="84" t="n">
        <f aca="false">IF($H162=1,MIN(DH162-DK162-DN162,MAX(0,$F162/(1-$F162)*(DD162+DN162)-DE162)),0)</f>
        <v>0</v>
      </c>
      <c r="DQ162" s="84" t="n">
        <f aca="false">DH162-DK162-DN162-DP162</f>
        <v>0</v>
      </c>
      <c r="DR162" s="84" t="n">
        <f aca="false">DK162+DN162+(1-$F162)*DQ162</f>
        <v>6122.3087912922</v>
      </c>
      <c r="DS162" s="84" t="n">
        <f aca="false">DP162+$F162*DQ162</f>
        <v>0</v>
      </c>
      <c r="DT162" s="84" t="n">
        <f aca="false">DD162+DN162+(1-$F162)*DQ162</f>
        <v>0</v>
      </c>
      <c r="DU162" s="84" t="n">
        <f aca="false">DE162+DS162</f>
        <v>0</v>
      </c>
      <c r="DV162" s="133" t="n">
        <f aca="false">DI162+$D162*Inputs!$H$13-$D162*$E162</f>
        <v>24219.2351651688</v>
      </c>
      <c r="DW162" s="84" t="n">
        <f aca="false">DV162*(1+$I162)</f>
        <v>28336.5051432475</v>
      </c>
      <c r="DX162" s="133" t="n">
        <f aca="false">DW162*Inputs!$H$14</f>
        <v>5667.3010286495</v>
      </c>
      <c r="DY162" s="84" t="n">
        <f aca="false">DW162-DX162</f>
        <v>22669.204114598</v>
      </c>
      <c r="DZ162" s="133" t="n">
        <f aca="false">DL162+$D162*Inputs!$H$13</f>
        <v>13877.6912087078</v>
      </c>
      <c r="EA162" s="84" t="n">
        <f aca="false">MIN(DX162,DZ162)</f>
        <v>5667.3010286495</v>
      </c>
      <c r="EB162" s="84" t="n">
        <f aca="false">DZ162-EA162</f>
        <v>8210.3901800583</v>
      </c>
      <c r="EC162" s="84" t="n">
        <f aca="false">DO162+$G162*(DZ162+DO162)</f>
        <v>0</v>
      </c>
      <c r="ED162" s="84" t="n">
        <f aca="false">MIN(DX162-EA162,EC162)</f>
        <v>0</v>
      </c>
      <c r="EE162" s="84" t="n">
        <f aca="false">EC162-ED162</f>
        <v>0</v>
      </c>
      <c r="EF162" s="84" t="n">
        <f aca="false">IF($H162=1,MIN(DX162-EA162-ED162,MAX(0,$F162/(1-$F162)*(DT162+ED162)-DU162)),0)</f>
        <v>0</v>
      </c>
      <c r="EG162" s="84" t="n">
        <f aca="false">DX162-EA162-ED162-EF162</f>
        <v>0</v>
      </c>
      <c r="EH162" s="84" t="n">
        <f aca="false">EA162+ED162+(1-$F162)*EG162</f>
        <v>5667.3010286495</v>
      </c>
      <c r="EI162" s="84" t="n">
        <f aca="false">EF162+$F162*EG162</f>
        <v>0</v>
      </c>
      <c r="EJ162" s="84" t="n">
        <f aca="false">DT162+ED162+(1-$F162)*EG162</f>
        <v>0</v>
      </c>
      <c r="EK162" s="84" t="n">
        <f aca="false">DU162+EI162</f>
        <v>0</v>
      </c>
      <c r="EL162" s="133" t="n">
        <f aca="false">DY162+$D162*Inputs!$I$13-$D162*$E162</f>
        <v>22399.204114598</v>
      </c>
      <c r="EM162" s="84" t="n">
        <f aca="false">EL162*(1+$I162)</f>
        <v>26207.0688140796</v>
      </c>
      <c r="EN162" s="133" t="n">
        <f aca="false">EM162*Inputs!$I$14</f>
        <v>5241.41376281593</v>
      </c>
      <c r="EO162" s="84" t="n">
        <f aca="false">EM162-EN162</f>
        <v>20965.6550512637</v>
      </c>
      <c r="EP162" s="133" t="n">
        <f aca="false">EB162+$D162*Inputs!$I$13</f>
        <v>8210.3901800583</v>
      </c>
      <c r="EQ162" s="84" t="n">
        <f aca="false">MIN(EN162,EP162)</f>
        <v>5241.41376281593</v>
      </c>
      <c r="ER162" s="84" t="n">
        <f aca="false">EP162-EQ162</f>
        <v>2968.97641724237</v>
      </c>
      <c r="ES162" s="84" t="n">
        <f aca="false">EE162+$G162*(EP162+EE162)</f>
        <v>0</v>
      </c>
      <c r="ET162" s="84" t="n">
        <f aca="false">MIN(EN162-EQ162,ES162)</f>
        <v>0</v>
      </c>
      <c r="EU162" s="84" t="n">
        <f aca="false">ES162-ET162</f>
        <v>0</v>
      </c>
      <c r="EV162" s="84" t="n">
        <f aca="false">IF($H162=1,MIN(EN162-EQ162-ET162,MAX(0,$F162/(1-$F162)*(EJ162+ET162)-EK162)),0)</f>
        <v>0</v>
      </c>
      <c r="EW162" s="84" t="n">
        <f aca="false">EN162-EQ162-ET162-EV162</f>
        <v>0</v>
      </c>
      <c r="EX162" s="84" t="n">
        <f aca="false">EQ162+ET162+(1-$F162)*EW162</f>
        <v>5241.41376281593</v>
      </c>
      <c r="EY162" s="84" t="n">
        <f aca="false">EV162+$F162*EW162</f>
        <v>0</v>
      </c>
      <c r="EZ162" s="84" t="n">
        <f aca="false">EJ162+ET162+(1-$F162)*EW162</f>
        <v>0</v>
      </c>
      <c r="FA162" s="84" t="n">
        <f aca="false">EK162+EY162</f>
        <v>0</v>
      </c>
      <c r="FB162" s="133" t="n">
        <f aca="false">EO162+$D162*Inputs!$J$13-$D162*$E162</f>
        <v>20695.6550512637</v>
      </c>
      <c r="FC162" s="84" t="n">
        <f aca="false">FB162*(1+$I162)</f>
        <v>24213.9164099785</v>
      </c>
      <c r="FD162" s="133" t="n">
        <f aca="false">FC162*Inputs!$J$14</f>
        <v>4842.78328199571</v>
      </c>
      <c r="FE162" s="84" t="n">
        <f aca="false">FC162-FD162</f>
        <v>19371.1331279828</v>
      </c>
      <c r="FF162" s="133" t="n">
        <f aca="false">ER162+$D162*Inputs!$J$13</f>
        <v>2968.97641724237</v>
      </c>
      <c r="FG162" s="84" t="n">
        <f aca="false">MIN(FD162,FF162)</f>
        <v>2968.97641724237</v>
      </c>
      <c r="FH162" s="84" t="n">
        <f aca="false">FF162-FG162</f>
        <v>0</v>
      </c>
      <c r="FI162" s="84" t="n">
        <f aca="false">EU162+$G162*(FF162+EU162)</f>
        <v>0</v>
      </c>
      <c r="FJ162" s="84" t="n">
        <f aca="false">MIN(FD162-FG162,FI162)</f>
        <v>0</v>
      </c>
      <c r="FK162" s="84" t="n">
        <f aca="false">FI162-FJ162</f>
        <v>0</v>
      </c>
      <c r="FL162" s="84" t="n">
        <f aca="false">IF($H162=1,MIN(FD162-FG162-FJ162,MAX(0,$F162/(1-$F162)*(EZ162+FJ162)-FA162)),0)</f>
        <v>0</v>
      </c>
      <c r="FM162" s="84" t="n">
        <f aca="false">FD162-FG162-FJ162-FL162</f>
        <v>1873.80686475333</v>
      </c>
      <c r="FN162" s="84" t="n">
        <f aca="false">FG162+FJ162+(1-$F162)*FM162</f>
        <v>4561.71225228271</v>
      </c>
      <c r="FO162" s="84" t="n">
        <f aca="false">FL162+$F162*FM162</f>
        <v>281.071029713</v>
      </c>
      <c r="FP162" s="84" t="n">
        <f aca="false">EZ162+FJ162+(1-$F162)*FM162</f>
        <v>1592.73583504033</v>
      </c>
      <c r="FQ162" s="84" t="n">
        <f aca="false">FA162+FO162</f>
        <v>281.071029713</v>
      </c>
      <c r="FR162" s="133" t="n">
        <f aca="false">FE162+$D162*Inputs!$K$13-$D162*$E162</f>
        <v>19101.1331279828</v>
      </c>
      <c r="FS162" s="84" t="n">
        <f aca="false">FR162*(1+$I162)</f>
        <v>22348.3257597399</v>
      </c>
      <c r="FT162" s="133" t="n">
        <f aca="false">FS162*Inputs!$K$14</f>
        <v>4469.66515194798</v>
      </c>
      <c r="FU162" s="84" t="n">
        <f aca="false">FS162-FT162</f>
        <v>17878.6606077919</v>
      </c>
      <c r="FV162" s="133" t="n">
        <f aca="false">FH162+$D162*Inputs!$K$13</f>
        <v>0</v>
      </c>
      <c r="FW162" s="84" t="n">
        <f aca="false">MIN(FT162,FV162)</f>
        <v>0</v>
      </c>
      <c r="FX162" s="84" t="n">
        <f aca="false">FV162-FW162</f>
        <v>0</v>
      </c>
      <c r="FY162" s="84" t="n">
        <f aca="false">FK162+$G162*(FV162+FK162)</f>
        <v>0</v>
      </c>
      <c r="FZ162" s="84" t="n">
        <f aca="false">MIN(FT162-FW162,FY162)</f>
        <v>0</v>
      </c>
      <c r="GA162" s="84" t="n">
        <f aca="false">FY162-FZ162</f>
        <v>0</v>
      </c>
      <c r="GB162" s="84" t="n">
        <f aca="false">IF($H162=1,MIN(FT162-FW162-FZ162,MAX(0,$F162/(1-$F162)*(FP162+FZ162)-FQ162)),0)</f>
        <v>0</v>
      </c>
      <c r="GC162" s="84" t="n">
        <f aca="false">FT162-FW162-FZ162-GB162</f>
        <v>4469.66515194798</v>
      </c>
      <c r="GD162" s="84" t="n">
        <f aca="false">FW162+FZ162+(1-$F162)*GC162</f>
        <v>3799.21537915579</v>
      </c>
      <c r="GE162" s="84" t="n">
        <f aca="false">GB162+$F162*GC162</f>
        <v>670.449772792198</v>
      </c>
      <c r="GF162" s="84" t="n">
        <f aca="false">FP162+FZ162+(1-$F162)*GC162</f>
        <v>5391.95121419612</v>
      </c>
      <c r="GG162" s="84" t="n">
        <f aca="false">FQ162+GE162</f>
        <v>951.520802505198</v>
      </c>
      <c r="GH162" s="133" t="n">
        <f aca="false">FU162+$D162*Inputs!$L$13-$D162*$E162</f>
        <v>17608.6606077919</v>
      </c>
      <c r="GI162" s="84" t="n">
        <f aca="false">GH162*(1+$I162)</f>
        <v>20602.1329111166</v>
      </c>
      <c r="GJ162" s="133" t="n">
        <f aca="false">GI162*Inputs!$L$14</f>
        <v>20602.1329111166</v>
      </c>
      <c r="GK162" s="84" t="n">
        <f aca="false">GI162-GJ162</f>
        <v>0</v>
      </c>
      <c r="GL162" s="133" t="n">
        <f aca="false">FX162+$D162*Inputs!$L$13</f>
        <v>0</v>
      </c>
      <c r="GM162" s="84" t="n">
        <f aca="false">MIN(GJ162,GL162)</f>
        <v>0</v>
      </c>
      <c r="GN162" s="84" t="n">
        <f aca="false">GL162-GM162</f>
        <v>0</v>
      </c>
      <c r="GO162" s="84" t="n">
        <f aca="false">GA162+$G162*(GL162+GA162)</f>
        <v>0</v>
      </c>
      <c r="GP162" s="84" t="n">
        <f aca="false">MIN(GJ162-GM162,GO162)</f>
        <v>0</v>
      </c>
      <c r="GQ162" s="84" t="n">
        <f aca="false">GO162-GP162</f>
        <v>0</v>
      </c>
      <c r="GR162" s="84" t="n">
        <f aca="false">IF($H162=1,MIN(GJ162-GM162-GP162,MAX(0,$F162/(1-$F162)*(GF162+GP162)-GG162)),0)</f>
        <v>0</v>
      </c>
      <c r="GS162" s="84" t="n">
        <f aca="false">GJ162-GM162-GP162-GR162</f>
        <v>20602.1329111166</v>
      </c>
      <c r="GT162" s="84" t="n">
        <f aca="false">GM162+GP162+(1-$F162)*GS162</f>
        <v>17511.8129744491</v>
      </c>
      <c r="GU162" s="84" t="n">
        <f aca="false">GR162+$F162*GS162</f>
        <v>3090.31993666748</v>
      </c>
      <c r="GV162" s="84" t="n">
        <f aca="false">GF162+GP162+(1-$F162)*GS162</f>
        <v>22903.7641886452</v>
      </c>
      <c r="GW162" s="84" t="n">
        <f aca="false">GG162+GU162</f>
        <v>4041.84073917268</v>
      </c>
    </row>
    <row r="163" customFormat="false" ht="15" hidden="false" customHeight="false" outlineLevel="0" collapsed="false">
      <c r="A163" s="5" t="s">
        <v>641</v>
      </c>
      <c r="B163" s="5" t="s">
        <v>429</v>
      </c>
      <c r="C163" s="135" t="n">
        <v>18</v>
      </c>
      <c r="D163" s="47" t="n">
        <f aca="false">Inputs!$C$6</f>
        <v>20000</v>
      </c>
      <c r="E163" s="35" t="n">
        <f aca="false">Inputs!$C$19</f>
        <v>0.0135</v>
      </c>
      <c r="F163" s="36" t="n">
        <f aca="false">Inputs!$C$21</f>
        <v>0.15</v>
      </c>
      <c r="G163" s="30" t="n">
        <v>0</v>
      </c>
      <c r="H163" s="27" t="n">
        <v>0</v>
      </c>
      <c r="I163" s="132" t="n">
        <f aca="false">Inputs!$C$38+$C163*Inputs!$C$39</f>
        <v>0.18</v>
      </c>
      <c r="J163" s="36" t="n">
        <f aca="false">Inputs!$C$9</f>
        <v>0.15</v>
      </c>
      <c r="K163" s="89" t="n">
        <f aca="false">IRR(W163:AG163,0.1)</f>
        <v>0.145717985148569</v>
      </c>
      <c r="L163" s="45" t="n">
        <f aca="false">W163+NPV($J163,X163:AG163)</f>
        <v>-334.461380493588</v>
      </c>
      <c r="M163" s="45" t="n">
        <f aca="false">SUM(BF163,BV163,CL163,DB163,DR163,EH163,EX163,FN163,GD163,GT163)</f>
        <v>45272.6317074854</v>
      </c>
      <c r="N163" s="43" t="n">
        <f aca="false">IF($D163*SUM(Inputs!$C$13:$L$13)=0,0,M163/($D163*SUM(Inputs!$C$13:$L$13)))</f>
        <v>2.26363158537427</v>
      </c>
      <c r="O163" s="42" t="n">
        <f aca="false">$D163*$E163*COLUMNS(Inputs!$C$13:$L$13)</f>
        <v>2700</v>
      </c>
      <c r="P163" s="45" t="n">
        <f aca="false">SUM(BG163,BW163,CM163,DC163,DS163,EI163,EY163,FO163,GE163,GU163)</f>
        <v>4459.87618367389</v>
      </c>
      <c r="Q163" s="42" t="n">
        <f aca="false">PV($J163,COLUMNS(Inputs!$C$13:$L$13),-$D163*$E163,0,1)</f>
        <v>1558.32765832774</v>
      </c>
      <c r="R163" s="45" t="n">
        <f aca="false">NPV($J163,BG163,BW163,CM163,DC163,DS163,EI163,EY163,FO163,GE163,GU163)</f>
        <v>1162.22022885433</v>
      </c>
      <c r="S163" s="45" t="n">
        <f aca="false">Q163+R163</f>
        <v>2720.54788718207</v>
      </c>
      <c r="T163" s="32" t="n">
        <f aca="false">IF(S163=0,0,Q163/S163)</f>
        <v>0.572799201833512</v>
      </c>
      <c r="U163" s="45" t="n">
        <f aca="false">ROUND(ABS(GK163)+ABS(SUM(AV163,BL163,CB163,CR163,DH163,DX163,EN163,FD163,FT163,GJ163)-M163-P163)+ABS(S163-(AH163+NPV($J163,AI163:AR163))),6)</f>
        <v>0</v>
      </c>
      <c r="W163" s="133" t="n">
        <f aca="false">-$D163*Inputs!$C$13</f>
        <v>-4000</v>
      </c>
      <c r="X163" s="133" t="n">
        <f aca="false">BF163-$D163*Inputs!$D$13</f>
        <v>-4000</v>
      </c>
      <c r="Y163" s="133" t="n">
        <f aca="false">BV163-$D163*Inputs!$E$13</f>
        <v>-4000</v>
      </c>
      <c r="Z163" s="133" t="n">
        <f aca="false">CL163-$D163*Inputs!$F$13</f>
        <v>-4000</v>
      </c>
      <c r="AA163" s="133" t="n">
        <f aca="false">DB163-$D163*Inputs!$G$13</f>
        <v>-4000</v>
      </c>
      <c r="AB163" s="133" t="n">
        <f aca="false">DR163-$D163*Inputs!$H$13</f>
        <v>6297.7077675328</v>
      </c>
      <c r="AC163" s="133" t="n">
        <f aca="false">EH163-$D163*Inputs!$I$13</f>
        <v>5881.31613255096</v>
      </c>
      <c r="AD163" s="133" t="n">
        <f aca="false">EX163-$D163*Inputs!$J$13</f>
        <v>5488.24242912811</v>
      </c>
      <c r="AE163" s="133" t="n">
        <f aca="false">FN163-$D163*Inputs!$K$13</f>
        <v>4699.51377575061</v>
      </c>
      <c r="AF163" s="133" t="n">
        <f aca="false">GD163-$D163*Inputs!$L$13</f>
        <v>4051.86391652498</v>
      </c>
      <c r="AG163" s="84" t="n">
        <f aca="false">GT163</f>
        <v>18853.9876859979</v>
      </c>
      <c r="AH163" s="84" t="n">
        <f aca="false">$D163*$E163</f>
        <v>270</v>
      </c>
      <c r="AI163" s="84" t="n">
        <f aca="false">BG163+$D163*$E163</f>
        <v>270</v>
      </c>
      <c r="AJ163" s="84" t="n">
        <f aca="false">BW163+$D163*$E163</f>
        <v>270</v>
      </c>
      <c r="AK163" s="84" t="n">
        <f aca="false">CM163+$D163*$E163</f>
        <v>270</v>
      </c>
      <c r="AL163" s="84" t="n">
        <f aca="false">DC163+$D163*$E163</f>
        <v>270</v>
      </c>
      <c r="AM163" s="84" t="n">
        <f aca="false">DS163+$D163*$E163</f>
        <v>270</v>
      </c>
      <c r="AN163" s="84" t="n">
        <f aca="false">EI163+$D163*$E163</f>
        <v>270</v>
      </c>
      <c r="AO163" s="84" t="n">
        <f aca="false">EY163+$D163*$E163</f>
        <v>270</v>
      </c>
      <c r="AP163" s="84" t="n">
        <f aca="false">FO163+$D163*$E163</f>
        <v>687.667077346321</v>
      </c>
      <c r="AQ163" s="84" t="n">
        <f aca="false">GE163+$D163*$E163</f>
        <v>985.034808798526</v>
      </c>
      <c r="AR163" s="84" t="n">
        <f aca="false">GU163</f>
        <v>3327.17429752904</v>
      </c>
      <c r="AT163" s="133" t="n">
        <f aca="false">$D163*Inputs!$C$13-$D163*$E163</f>
        <v>3730</v>
      </c>
      <c r="AU163" s="84" t="n">
        <f aca="false">AT163*(1+$I163)</f>
        <v>4401.4</v>
      </c>
      <c r="AV163" s="133" t="n">
        <f aca="false">AU163*Inputs!$C$14</f>
        <v>0</v>
      </c>
      <c r="AW163" s="84" t="n">
        <f aca="false">AU163-AV163</f>
        <v>4401.4</v>
      </c>
      <c r="AX163" s="133" t="n">
        <f aca="false">$D163*Inputs!$C$13</f>
        <v>4000</v>
      </c>
      <c r="AY163" s="84" t="n">
        <f aca="false">MIN(AV163,AX163)</f>
        <v>0</v>
      </c>
      <c r="AZ163" s="84" t="n">
        <f aca="false">AX163-AY163</f>
        <v>4000</v>
      </c>
      <c r="BA163" s="84" t="n">
        <f aca="false">$G163*AX163</f>
        <v>0</v>
      </c>
      <c r="BB163" s="84" t="n">
        <f aca="false">MIN(AV163-AY163,BA163)</f>
        <v>0</v>
      </c>
      <c r="BC163" s="84" t="n">
        <f aca="false">BA163-BB163</f>
        <v>0</v>
      </c>
      <c r="BD163" s="84" t="n">
        <f aca="false">IF($H163=1,MIN(AV163-AY163-BB163,MAX(0,$F163/(1-$F163)*BB163)),0)</f>
        <v>0</v>
      </c>
      <c r="BE163" s="84" t="n">
        <f aca="false">AV163-AY163-BB163-BD163</f>
        <v>0</v>
      </c>
      <c r="BF163" s="84" t="n">
        <f aca="false">AY163+BB163+(1-$F163)*BE163</f>
        <v>0</v>
      </c>
      <c r="BG163" s="84" t="n">
        <f aca="false">BD163+$F163*BE163</f>
        <v>0</v>
      </c>
      <c r="BH163" s="84" t="n">
        <f aca="false">BB163+(1-$F163)*BE163</f>
        <v>0</v>
      </c>
      <c r="BI163" s="84" t="n">
        <f aca="false">BG163</f>
        <v>0</v>
      </c>
      <c r="BJ163" s="133" t="n">
        <f aca="false">AW163+$D163*Inputs!$D$13-$D163*$E163</f>
        <v>8131.4</v>
      </c>
      <c r="BK163" s="84" t="n">
        <f aca="false">BJ163*(1+$I163)</f>
        <v>9595.052</v>
      </c>
      <c r="BL163" s="133" t="n">
        <f aca="false">BK163*Inputs!$D$14</f>
        <v>0</v>
      </c>
      <c r="BM163" s="84" t="n">
        <f aca="false">BK163-BL163</f>
        <v>9595.052</v>
      </c>
      <c r="BN163" s="133" t="n">
        <f aca="false">AZ163+$D163*Inputs!$D$13</f>
        <v>8000</v>
      </c>
      <c r="BO163" s="84" t="n">
        <f aca="false">MIN(BL163,BN163)</f>
        <v>0</v>
      </c>
      <c r="BP163" s="84" t="n">
        <f aca="false">BN163-BO163</f>
        <v>8000</v>
      </c>
      <c r="BQ163" s="84" t="n">
        <f aca="false">BC163+$G163*(BN163+BC163)</f>
        <v>0</v>
      </c>
      <c r="BR163" s="84" t="n">
        <f aca="false">MIN(BL163-BO163,BQ163)</f>
        <v>0</v>
      </c>
      <c r="BS163" s="84" t="n">
        <f aca="false">BQ163-BR163</f>
        <v>0</v>
      </c>
      <c r="BT163" s="84" t="n">
        <f aca="false">IF($H163=1,MIN(BL163-BO163-BR163,MAX(0,$F163/(1-$F163)*(BH163+BR163)-BI163)),0)</f>
        <v>0</v>
      </c>
      <c r="BU163" s="84" t="n">
        <f aca="false">BL163-BO163-BR163-BT163</f>
        <v>0</v>
      </c>
      <c r="BV163" s="84" t="n">
        <f aca="false">BO163+BR163+(1-$F163)*BU163</f>
        <v>0</v>
      </c>
      <c r="BW163" s="84" t="n">
        <f aca="false">BT163+$F163*BU163</f>
        <v>0</v>
      </c>
      <c r="BX163" s="84" t="n">
        <f aca="false">BH163+BR163+(1-$F163)*BU163</f>
        <v>0</v>
      </c>
      <c r="BY163" s="84" t="n">
        <f aca="false">BI163+BW163</f>
        <v>0</v>
      </c>
      <c r="BZ163" s="133" t="n">
        <f aca="false">BM163+$D163*Inputs!$E$13-$D163*$E163</f>
        <v>13325.052</v>
      </c>
      <c r="CA163" s="84" t="n">
        <f aca="false">BZ163*(1+$I163)</f>
        <v>15723.56136</v>
      </c>
      <c r="CB163" s="133" t="n">
        <f aca="false">CA163*Inputs!$E$14</f>
        <v>0</v>
      </c>
      <c r="CC163" s="84" t="n">
        <f aca="false">CA163-CB163</f>
        <v>15723.56136</v>
      </c>
      <c r="CD163" s="133" t="n">
        <f aca="false">BP163+$D163*Inputs!$E$13</f>
        <v>12000</v>
      </c>
      <c r="CE163" s="84" t="n">
        <f aca="false">MIN(CB163,CD163)</f>
        <v>0</v>
      </c>
      <c r="CF163" s="84" t="n">
        <f aca="false">CD163-CE163</f>
        <v>12000</v>
      </c>
      <c r="CG163" s="84" t="n">
        <f aca="false">BS163+$G163*(CD163+BS163)</f>
        <v>0</v>
      </c>
      <c r="CH163" s="84" t="n">
        <f aca="false">MIN(CB163-CE163,CG163)</f>
        <v>0</v>
      </c>
      <c r="CI163" s="84" t="n">
        <f aca="false">CG163-CH163</f>
        <v>0</v>
      </c>
      <c r="CJ163" s="84" t="n">
        <f aca="false">IF($H163=1,MIN(CB163-CE163-CH163,MAX(0,$F163/(1-$F163)*(BX163+CH163)-BY163)),0)</f>
        <v>0</v>
      </c>
      <c r="CK163" s="84" t="n">
        <f aca="false">CB163-CE163-CH163-CJ163</f>
        <v>0</v>
      </c>
      <c r="CL163" s="84" t="n">
        <f aca="false">CE163+CH163+(1-$F163)*CK163</f>
        <v>0</v>
      </c>
      <c r="CM163" s="84" t="n">
        <f aca="false">CJ163+$F163*CK163</f>
        <v>0</v>
      </c>
      <c r="CN163" s="84" t="n">
        <f aca="false">BX163+CH163+(1-$F163)*CK163</f>
        <v>0</v>
      </c>
      <c r="CO163" s="84" t="n">
        <f aca="false">BY163+CM163</f>
        <v>0</v>
      </c>
      <c r="CP163" s="133" t="n">
        <f aca="false">CC163+$D163*Inputs!$F$13-$D163*$E163</f>
        <v>19453.56136</v>
      </c>
      <c r="CQ163" s="84" t="n">
        <f aca="false">CP163*(1+$I163)</f>
        <v>22955.2024048</v>
      </c>
      <c r="CR163" s="133" t="n">
        <f aca="false">CQ163*Inputs!$F$14</f>
        <v>0</v>
      </c>
      <c r="CS163" s="84" t="n">
        <f aca="false">CQ163-CR163</f>
        <v>22955.2024048</v>
      </c>
      <c r="CT163" s="133" t="n">
        <f aca="false">CF163+$D163*Inputs!$F$13</f>
        <v>16000</v>
      </c>
      <c r="CU163" s="84" t="n">
        <f aca="false">MIN(CR163,CT163)</f>
        <v>0</v>
      </c>
      <c r="CV163" s="84" t="n">
        <f aca="false">CT163-CU163</f>
        <v>16000</v>
      </c>
      <c r="CW163" s="84" t="n">
        <f aca="false">CI163+$G163*(CT163+CI163)</f>
        <v>0</v>
      </c>
      <c r="CX163" s="84" t="n">
        <f aca="false">MIN(CR163-CU163,CW163)</f>
        <v>0</v>
      </c>
      <c r="CY163" s="84" t="n">
        <f aca="false">CW163-CX163</f>
        <v>0</v>
      </c>
      <c r="CZ163" s="84" t="n">
        <f aca="false">IF($H163=1,MIN(CR163-CU163-CX163,MAX(0,$F163/(1-$F163)*(CN163+CX163)-CO163)),0)</f>
        <v>0</v>
      </c>
      <c r="DA163" s="84" t="n">
        <f aca="false">CR163-CU163-CX163-CZ163</f>
        <v>0</v>
      </c>
      <c r="DB163" s="84" t="n">
        <f aca="false">CU163+CX163+(1-$F163)*DA163</f>
        <v>0</v>
      </c>
      <c r="DC163" s="84" t="n">
        <f aca="false">CZ163+$F163*DA163</f>
        <v>0</v>
      </c>
      <c r="DD163" s="84" t="n">
        <f aca="false">CN163+CX163+(1-$F163)*DA163</f>
        <v>0</v>
      </c>
      <c r="DE163" s="84" t="n">
        <f aca="false">CO163+DC163</f>
        <v>0</v>
      </c>
      <c r="DF163" s="133" t="n">
        <f aca="false">CS163+$D163*Inputs!$G$13-$D163*$E163</f>
        <v>26685.2024048</v>
      </c>
      <c r="DG163" s="84" t="n">
        <f aca="false">DF163*(1+$I163)</f>
        <v>31488.538837664</v>
      </c>
      <c r="DH163" s="133" t="n">
        <f aca="false">DG163*Inputs!$G$14</f>
        <v>6297.7077675328</v>
      </c>
      <c r="DI163" s="84" t="n">
        <f aca="false">DG163-DH163</f>
        <v>25190.8310701312</v>
      </c>
      <c r="DJ163" s="133" t="n">
        <f aca="false">CV163+$D163*Inputs!$G$13</f>
        <v>20000</v>
      </c>
      <c r="DK163" s="84" t="n">
        <f aca="false">MIN(DH163,DJ163)</f>
        <v>6297.7077675328</v>
      </c>
      <c r="DL163" s="84" t="n">
        <f aca="false">DJ163-DK163</f>
        <v>13702.2922324672</v>
      </c>
      <c r="DM163" s="84" t="n">
        <f aca="false">CY163+$G163*(DJ163+CY163)</f>
        <v>0</v>
      </c>
      <c r="DN163" s="84" t="n">
        <f aca="false">MIN(DH163-DK163,DM163)</f>
        <v>0</v>
      </c>
      <c r="DO163" s="84" t="n">
        <f aca="false">DM163-DN163</f>
        <v>0</v>
      </c>
      <c r="DP163" s="84" t="n">
        <f aca="false">IF($H163=1,MIN(DH163-DK163-DN163,MAX(0,$F163/(1-$F163)*(DD163+DN163)-DE163)),0)</f>
        <v>0</v>
      </c>
      <c r="DQ163" s="84" t="n">
        <f aca="false">DH163-DK163-DN163-DP163</f>
        <v>0</v>
      </c>
      <c r="DR163" s="84" t="n">
        <f aca="false">DK163+DN163+(1-$F163)*DQ163</f>
        <v>6297.7077675328</v>
      </c>
      <c r="DS163" s="84" t="n">
        <f aca="false">DP163+$F163*DQ163</f>
        <v>0</v>
      </c>
      <c r="DT163" s="84" t="n">
        <f aca="false">DD163+DN163+(1-$F163)*DQ163</f>
        <v>0</v>
      </c>
      <c r="DU163" s="84" t="n">
        <f aca="false">DE163+DS163</f>
        <v>0</v>
      </c>
      <c r="DV163" s="133" t="n">
        <f aca="false">DI163+$D163*Inputs!$H$13-$D163*$E163</f>
        <v>24920.8310701312</v>
      </c>
      <c r="DW163" s="84" t="n">
        <f aca="false">DV163*(1+$I163)</f>
        <v>29406.5806627548</v>
      </c>
      <c r="DX163" s="133" t="n">
        <f aca="false">DW163*Inputs!$H$14</f>
        <v>5881.31613255096</v>
      </c>
      <c r="DY163" s="84" t="n">
        <f aca="false">DW163-DX163</f>
        <v>23525.2645302039</v>
      </c>
      <c r="DZ163" s="133" t="n">
        <f aca="false">DL163+$D163*Inputs!$H$13</f>
        <v>13702.2922324672</v>
      </c>
      <c r="EA163" s="84" t="n">
        <f aca="false">MIN(DX163,DZ163)</f>
        <v>5881.31613255096</v>
      </c>
      <c r="EB163" s="84" t="n">
        <f aca="false">DZ163-EA163</f>
        <v>7820.97609991624</v>
      </c>
      <c r="EC163" s="84" t="n">
        <f aca="false">DO163+$G163*(DZ163+DO163)</f>
        <v>0</v>
      </c>
      <c r="ED163" s="84" t="n">
        <f aca="false">MIN(DX163-EA163,EC163)</f>
        <v>0</v>
      </c>
      <c r="EE163" s="84" t="n">
        <f aca="false">EC163-ED163</f>
        <v>0</v>
      </c>
      <c r="EF163" s="84" t="n">
        <f aca="false">IF($H163=1,MIN(DX163-EA163-ED163,MAX(0,$F163/(1-$F163)*(DT163+ED163)-DU163)),0)</f>
        <v>0</v>
      </c>
      <c r="EG163" s="84" t="n">
        <f aca="false">DX163-EA163-ED163-EF163</f>
        <v>0</v>
      </c>
      <c r="EH163" s="84" t="n">
        <f aca="false">EA163+ED163+(1-$F163)*EG163</f>
        <v>5881.31613255096</v>
      </c>
      <c r="EI163" s="84" t="n">
        <f aca="false">EF163+$F163*EG163</f>
        <v>0</v>
      </c>
      <c r="EJ163" s="84" t="n">
        <f aca="false">DT163+ED163+(1-$F163)*EG163</f>
        <v>0</v>
      </c>
      <c r="EK163" s="84" t="n">
        <f aca="false">DU163+EI163</f>
        <v>0</v>
      </c>
      <c r="EL163" s="133" t="n">
        <f aca="false">DY163+$D163*Inputs!$I$13-$D163*$E163</f>
        <v>23255.2645302039</v>
      </c>
      <c r="EM163" s="84" t="n">
        <f aca="false">EL163*(1+$I163)</f>
        <v>27441.2121456405</v>
      </c>
      <c r="EN163" s="133" t="n">
        <f aca="false">EM163*Inputs!$I$14</f>
        <v>5488.24242912811</v>
      </c>
      <c r="EO163" s="84" t="n">
        <f aca="false">EM163-EN163</f>
        <v>21952.9697165124</v>
      </c>
      <c r="EP163" s="133" t="n">
        <f aca="false">EB163+$D163*Inputs!$I$13</f>
        <v>7820.97609991624</v>
      </c>
      <c r="EQ163" s="84" t="n">
        <f aca="false">MIN(EN163,EP163)</f>
        <v>5488.24242912811</v>
      </c>
      <c r="ER163" s="84" t="n">
        <f aca="false">EP163-EQ163</f>
        <v>2332.73367078813</v>
      </c>
      <c r="ES163" s="84" t="n">
        <f aca="false">EE163+$G163*(EP163+EE163)</f>
        <v>0</v>
      </c>
      <c r="ET163" s="84" t="n">
        <f aca="false">MIN(EN163-EQ163,ES163)</f>
        <v>0</v>
      </c>
      <c r="EU163" s="84" t="n">
        <f aca="false">ES163-ET163</f>
        <v>0</v>
      </c>
      <c r="EV163" s="84" t="n">
        <f aca="false">IF($H163=1,MIN(EN163-EQ163-ET163,MAX(0,$F163/(1-$F163)*(EJ163+ET163)-EK163)),0)</f>
        <v>0</v>
      </c>
      <c r="EW163" s="84" t="n">
        <f aca="false">EN163-EQ163-ET163-EV163</f>
        <v>0</v>
      </c>
      <c r="EX163" s="84" t="n">
        <f aca="false">EQ163+ET163+(1-$F163)*EW163</f>
        <v>5488.24242912811</v>
      </c>
      <c r="EY163" s="84" t="n">
        <f aca="false">EV163+$F163*EW163</f>
        <v>0</v>
      </c>
      <c r="EZ163" s="84" t="n">
        <f aca="false">EJ163+ET163+(1-$F163)*EW163</f>
        <v>0</v>
      </c>
      <c r="FA163" s="84" t="n">
        <f aca="false">EK163+EY163</f>
        <v>0</v>
      </c>
      <c r="FB163" s="133" t="n">
        <f aca="false">EO163+$D163*Inputs!$J$13-$D163*$E163</f>
        <v>21682.9697165124</v>
      </c>
      <c r="FC163" s="84" t="n">
        <f aca="false">FB163*(1+$I163)</f>
        <v>25585.9042654847</v>
      </c>
      <c r="FD163" s="133" t="n">
        <f aca="false">FC163*Inputs!$J$14</f>
        <v>5117.18085309694</v>
      </c>
      <c r="FE163" s="84" t="n">
        <f aca="false">FC163-FD163</f>
        <v>20468.7234123877</v>
      </c>
      <c r="FF163" s="133" t="n">
        <f aca="false">ER163+$D163*Inputs!$J$13</f>
        <v>2332.73367078813</v>
      </c>
      <c r="FG163" s="84" t="n">
        <f aca="false">MIN(FD163,FF163)</f>
        <v>2332.73367078813</v>
      </c>
      <c r="FH163" s="84" t="n">
        <f aca="false">FF163-FG163</f>
        <v>0</v>
      </c>
      <c r="FI163" s="84" t="n">
        <f aca="false">EU163+$G163*(FF163+EU163)</f>
        <v>0</v>
      </c>
      <c r="FJ163" s="84" t="n">
        <f aca="false">MIN(FD163-FG163,FI163)</f>
        <v>0</v>
      </c>
      <c r="FK163" s="84" t="n">
        <f aca="false">FI163-FJ163</f>
        <v>0</v>
      </c>
      <c r="FL163" s="84" t="n">
        <f aca="false">IF($H163=1,MIN(FD163-FG163-FJ163,MAX(0,$F163/(1-$F163)*(EZ163+FJ163)-FA163)),0)</f>
        <v>0</v>
      </c>
      <c r="FM163" s="84" t="n">
        <f aca="false">FD163-FG163-FJ163-FL163</f>
        <v>2784.44718230881</v>
      </c>
      <c r="FN163" s="84" t="n">
        <f aca="false">FG163+FJ163+(1-$F163)*FM163</f>
        <v>4699.51377575061</v>
      </c>
      <c r="FO163" s="84" t="n">
        <f aca="false">FL163+$F163*FM163</f>
        <v>417.667077346321</v>
      </c>
      <c r="FP163" s="84" t="n">
        <f aca="false">EZ163+FJ163+(1-$F163)*FM163</f>
        <v>2366.78010496249</v>
      </c>
      <c r="FQ163" s="84" t="n">
        <f aca="false">FA163+FO163</f>
        <v>417.667077346321</v>
      </c>
      <c r="FR163" s="133" t="n">
        <f aca="false">FE163+$D163*Inputs!$K$13-$D163*$E163</f>
        <v>20198.7234123877</v>
      </c>
      <c r="FS163" s="84" t="n">
        <f aca="false">FR163*(1+$I163)</f>
        <v>23834.4936266175</v>
      </c>
      <c r="FT163" s="133" t="n">
        <f aca="false">FS163*Inputs!$K$14</f>
        <v>4766.89872532351</v>
      </c>
      <c r="FU163" s="84" t="n">
        <f aca="false">FS163-FT163</f>
        <v>19067.594901294</v>
      </c>
      <c r="FV163" s="133" t="n">
        <f aca="false">FH163+$D163*Inputs!$K$13</f>
        <v>0</v>
      </c>
      <c r="FW163" s="84" t="n">
        <f aca="false">MIN(FT163,FV163)</f>
        <v>0</v>
      </c>
      <c r="FX163" s="84" t="n">
        <f aca="false">FV163-FW163</f>
        <v>0</v>
      </c>
      <c r="FY163" s="84" t="n">
        <f aca="false">FK163+$G163*(FV163+FK163)</f>
        <v>0</v>
      </c>
      <c r="FZ163" s="84" t="n">
        <f aca="false">MIN(FT163-FW163,FY163)</f>
        <v>0</v>
      </c>
      <c r="GA163" s="84" t="n">
        <f aca="false">FY163-FZ163</f>
        <v>0</v>
      </c>
      <c r="GB163" s="84" t="n">
        <f aca="false">IF($H163=1,MIN(FT163-FW163-FZ163,MAX(0,$F163/(1-$F163)*(FP163+FZ163)-FQ163)),0)</f>
        <v>0</v>
      </c>
      <c r="GC163" s="84" t="n">
        <f aca="false">FT163-FW163-FZ163-GB163</f>
        <v>4766.89872532351</v>
      </c>
      <c r="GD163" s="84" t="n">
        <f aca="false">FW163+FZ163+(1-$F163)*GC163</f>
        <v>4051.86391652498</v>
      </c>
      <c r="GE163" s="84" t="n">
        <f aca="false">GB163+$F163*GC163</f>
        <v>715.034808798526</v>
      </c>
      <c r="GF163" s="84" t="n">
        <f aca="false">FP163+FZ163+(1-$F163)*GC163</f>
        <v>6418.64402148747</v>
      </c>
      <c r="GG163" s="84" t="n">
        <f aca="false">FQ163+GE163</f>
        <v>1132.70188614485</v>
      </c>
      <c r="GH163" s="133" t="n">
        <f aca="false">FU163+$D163*Inputs!$L$13-$D163*$E163</f>
        <v>18797.594901294</v>
      </c>
      <c r="GI163" s="84" t="n">
        <f aca="false">GH163*(1+$I163)</f>
        <v>22181.1619835269</v>
      </c>
      <c r="GJ163" s="133" t="n">
        <f aca="false">GI163*Inputs!$L$14</f>
        <v>22181.1619835269</v>
      </c>
      <c r="GK163" s="84" t="n">
        <f aca="false">GI163-GJ163</f>
        <v>0</v>
      </c>
      <c r="GL163" s="133" t="n">
        <f aca="false">FX163+$D163*Inputs!$L$13</f>
        <v>0</v>
      </c>
      <c r="GM163" s="84" t="n">
        <f aca="false">MIN(GJ163,GL163)</f>
        <v>0</v>
      </c>
      <c r="GN163" s="84" t="n">
        <f aca="false">GL163-GM163</f>
        <v>0</v>
      </c>
      <c r="GO163" s="84" t="n">
        <f aca="false">GA163+$G163*(GL163+GA163)</f>
        <v>0</v>
      </c>
      <c r="GP163" s="84" t="n">
        <f aca="false">MIN(GJ163-GM163,GO163)</f>
        <v>0</v>
      </c>
      <c r="GQ163" s="84" t="n">
        <f aca="false">GO163-GP163</f>
        <v>0</v>
      </c>
      <c r="GR163" s="84" t="n">
        <f aca="false">IF($H163=1,MIN(GJ163-GM163-GP163,MAX(0,$F163/(1-$F163)*(GF163+GP163)-GG163)),0)</f>
        <v>0</v>
      </c>
      <c r="GS163" s="84" t="n">
        <f aca="false">GJ163-GM163-GP163-GR163</f>
        <v>22181.1619835269</v>
      </c>
      <c r="GT163" s="84" t="n">
        <f aca="false">GM163+GP163+(1-$F163)*GS163</f>
        <v>18853.9876859979</v>
      </c>
      <c r="GU163" s="84" t="n">
        <f aca="false">GR163+$F163*GS163</f>
        <v>3327.17429752904</v>
      </c>
      <c r="GV163" s="84" t="n">
        <f aca="false">GF163+GP163+(1-$F163)*GS163</f>
        <v>25272.6317074854</v>
      </c>
      <c r="GW163" s="84" t="n">
        <f aca="false">GG163+GU163</f>
        <v>4459.87618367389</v>
      </c>
    </row>
    <row r="164" customFormat="false" ht="15" hidden="false" customHeight="false" outlineLevel="0" collapsed="false">
      <c r="A164" s="5" t="s">
        <v>641</v>
      </c>
      <c r="B164" s="5" t="s">
        <v>429</v>
      </c>
      <c r="C164" s="135" t="n">
        <v>19</v>
      </c>
      <c r="D164" s="47" t="n">
        <f aca="false">Inputs!$C$6</f>
        <v>20000</v>
      </c>
      <c r="E164" s="35" t="n">
        <f aca="false">Inputs!$C$19</f>
        <v>0.0135</v>
      </c>
      <c r="F164" s="36" t="n">
        <f aca="false">Inputs!$C$21</f>
        <v>0.15</v>
      </c>
      <c r="G164" s="30" t="n">
        <v>0</v>
      </c>
      <c r="H164" s="27" t="n">
        <v>0</v>
      </c>
      <c r="I164" s="132" t="n">
        <f aca="false">Inputs!$C$38+$C164*Inputs!$C$39</f>
        <v>0.19</v>
      </c>
      <c r="J164" s="36" t="n">
        <f aca="false">Inputs!$C$9</f>
        <v>0.15</v>
      </c>
      <c r="K164" s="89" t="n">
        <f aca="false">IRR(W164:AG164,0.1)</f>
        <v>0.155305609352663</v>
      </c>
      <c r="L164" s="45" t="n">
        <f aca="false">W164+NPV($J164,X164:AG164)</f>
        <v>424.810742525093</v>
      </c>
      <c r="M164" s="45" t="n">
        <f aca="false">SUM(BF164,BV164,CL164,DB164,DR164,EH164,EX164,FN164,GD164,GT164)</f>
        <v>47775.9541206555</v>
      </c>
      <c r="N164" s="43" t="n">
        <f aca="false">IF($D164*SUM(Inputs!$C$13:$L$13)=0,0,M164/($D164*SUM(Inputs!$C$13:$L$13)))</f>
        <v>2.38879770603277</v>
      </c>
      <c r="O164" s="42" t="n">
        <f aca="false">$D164*$E164*COLUMNS(Inputs!$C$13:$L$13)</f>
        <v>2700</v>
      </c>
      <c r="P164" s="45" t="n">
        <f aca="false">SUM(BG164,BW164,CM164,DC164,DS164,EI164,EY164,FO164,GE164,GU164)</f>
        <v>4901.63896246862</v>
      </c>
      <c r="Q164" s="42" t="n">
        <f aca="false">PV($J164,COLUMNS(Inputs!$C$13:$L$13),-$D164*$E164,0,1)</f>
        <v>1558.32765832774</v>
      </c>
      <c r="R164" s="45" t="n">
        <f aca="false">NPV($J164,BG164,BW164,CM164,DC164,DS164,EI164,EY164,FO164,GE164,GU164)</f>
        <v>1284.47317067193</v>
      </c>
      <c r="S164" s="45" t="n">
        <f aca="false">Q164+R164</f>
        <v>2842.80082899966</v>
      </c>
      <c r="T164" s="32" t="n">
        <f aca="false">IF(S164=0,0,Q164/S164)</f>
        <v>0.548166316272002</v>
      </c>
      <c r="U164" s="45" t="n">
        <f aca="false">ROUND(ABS(GK164)+ABS(SUM(AV164,BL164,CB164,CR164,DH164,DX164,EN164,FD164,FT164,GJ164)-M164-P164)+ABS(S164-(AH164+NPV($J164,AI164:AR164))),6)</f>
        <v>0</v>
      </c>
      <c r="W164" s="133" t="n">
        <f aca="false">-$D164*Inputs!$C$13</f>
        <v>-4000</v>
      </c>
      <c r="X164" s="133" t="n">
        <f aca="false">BF164-$D164*Inputs!$D$13</f>
        <v>-4000</v>
      </c>
      <c r="Y164" s="133" t="n">
        <f aca="false">BV164-$D164*Inputs!$E$13</f>
        <v>-4000</v>
      </c>
      <c r="Z164" s="133" t="n">
        <f aca="false">CL164-$D164*Inputs!$F$13</f>
        <v>-4000</v>
      </c>
      <c r="AA164" s="133" t="n">
        <f aca="false">DB164-$D164*Inputs!$G$13</f>
        <v>-4000</v>
      </c>
      <c r="AB164" s="133" t="n">
        <f aca="false">DR164-$D164*Inputs!$H$13</f>
        <v>6477.4820949454</v>
      </c>
      <c r="AC164" s="133" t="n">
        <f aca="false">EH164-$D164*Inputs!$I$13</f>
        <v>6102.30295438802</v>
      </c>
      <c r="AD164" s="133" t="n">
        <f aca="false">EX164-$D164*Inputs!$J$13</f>
        <v>5745.1324125774</v>
      </c>
      <c r="AE164" s="133" t="n">
        <f aca="false">FN164-$D164*Inputs!$K$13</f>
        <v>4845.60252897101</v>
      </c>
      <c r="AF164" s="133" t="n">
        <f aca="false">GD164-$D164*Inputs!$L$13</f>
        <v>4319.19082114126</v>
      </c>
      <c r="AG164" s="84" t="n">
        <f aca="false">GT164</f>
        <v>20286.2433086324</v>
      </c>
      <c r="AH164" s="84" t="n">
        <f aca="false">$D164*$E164</f>
        <v>270</v>
      </c>
      <c r="AI164" s="84" t="n">
        <f aca="false">BG164+$D164*$E164</f>
        <v>270</v>
      </c>
      <c r="AJ164" s="84" t="n">
        <f aca="false">BW164+$D164*$E164</f>
        <v>270</v>
      </c>
      <c r="AK164" s="84" t="n">
        <f aca="false">CM164+$D164*$E164</f>
        <v>270</v>
      </c>
      <c r="AL164" s="84" t="n">
        <f aca="false">DC164+$D164*$E164</f>
        <v>270</v>
      </c>
      <c r="AM164" s="84" t="n">
        <f aca="false">DS164+$D164*$E164</f>
        <v>270</v>
      </c>
      <c r="AN164" s="84" t="n">
        <f aca="false">EI164+$D164*$E164</f>
        <v>270</v>
      </c>
      <c r="AO164" s="84" t="n">
        <f aca="false">EY164+$D164*$E164</f>
        <v>270</v>
      </c>
      <c r="AP164" s="84" t="n">
        <f aca="false">FO164+$D164*$E164</f>
        <v>829.503527802675</v>
      </c>
      <c r="AQ164" s="84" t="n">
        <f aca="false">GE164+$D164*$E164</f>
        <v>1032.21014490728</v>
      </c>
      <c r="AR164" s="84" t="n">
        <f aca="false">GU164</f>
        <v>3579.92528975866</v>
      </c>
      <c r="AT164" s="133" t="n">
        <f aca="false">$D164*Inputs!$C$13-$D164*$E164</f>
        <v>3730</v>
      </c>
      <c r="AU164" s="84" t="n">
        <f aca="false">AT164*(1+$I164)</f>
        <v>4438.7</v>
      </c>
      <c r="AV164" s="133" t="n">
        <f aca="false">AU164*Inputs!$C$14</f>
        <v>0</v>
      </c>
      <c r="AW164" s="84" t="n">
        <f aca="false">AU164-AV164</f>
        <v>4438.7</v>
      </c>
      <c r="AX164" s="133" t="n">
        <f aca="false">$D164*Inputs!$C$13</f>
        <v>4000</v>
      </c>
      <c r="AY164" s="84" t="n">
        <f aca="false">MIN(AV164,AX164)</f>
        <v>0</v>
      </c>
      <c r="AZ164" s="84" t="n">
        <f aca="false">AX164-AY164</f>
        <v>4000</v>
      </c>
      <c r="BA164" s="84" t="n">
        <f aca="false">$G164*AX164</f>
        <v>0</v>
      </c>
      <c r="BB164" s="84" t="n">
        <f aca="false">MIN(AV164-AY164,BA164)</f>
        <v>0</v>
      </c>
      <c r="BC164" s="84" t="n">
        <f aca="false">BA164-BB164</f>
        <v>0</v>
      </c>
      <c r="BD164" s="84" t="n">
        <f aca="false">IF($H164=1,MIN(AV164-AY164-BB164,MAX(0,$F164/(1-$F164)*BB164)),0)</f>
        <v>0</v>
      </c>
      <c r="BE164" s="84" t="n">
        <f aca="false">AV164-AY164-BB164-BD164</f>
        <v>0</v>
      </c>
      <c r="BF164" s="84" t="n">
        <f aca="false">AY164+BB164+(1-$F164)*BE164</f>
        <v>0</v>
      </c>
      <c r="BG164" s="84" t="n">
        <f aca="false">BD164+$F164*BE164</f>
        <v>0</v>
      </c>
      <c r="BH164" s="84" t="n">
        <f aca="false">BB164+(1-$F164)*BE164</f>
        <v>0</v>
      </c>
      <c r="BI164" s="84" t="n">
        <f aca="false">BG164</f>
        <v>0</v>
      </c>
      <c r="BJ164" s="133" t="n">
        <f aca="false">AW164+$D164*Inputs!$D$13-$D164*$E164</f>
        <v>8168.7</v>
      </c>
      <c r="BK164" s="84" t="n">
        <f aca="false">BJ164*(1+$I164)</f>
        <v>9720.753</v>
      </c>
      <c r="BL164" s="133" t="n">
        <f aca="false">BK164*Inputs!$D$14</f>
        <v>0</v>
      </c>
      <c r="BM164" s="84" t="n">
        <f aca="false">BK164-BL164</f>
        <v>9720.753</v>
      </c>
      <c r="BN164" s="133" t="n">
        <f aca="false">AZ164+$D164*Inputs!$D$13</f>
        <v>8000</v>
      </c>
      <c r="BO164" s="84" t="n">
        <f aca="false">MIN(BL164,BN164)</f>
        <v>0</v>
      </c>
      <c r="BP164" s="84" t="n">
        <f aca="false">BN164-BO164</f>
        <v>8000</v>
      </c>
      <c r="BQ164" s="84" t="n">
        <f aca="false">BC164+$G164*(BN164+BC164)</f>
        <v>0</v>
      </c>
      <c r="BR164" s="84" t="n">
        <f aca="false">MIN(BL164-BO164,BQ164)</f>
        <v>0</v>
      </c>
      <c r="BS164" s="84" t="n">
        <f aca="false">BQ164-BR164</f>
        <v>0</v>
      </c>
      <c r="BT164" s="84" t="n">
        <f aca="false">IF($H164=1,MIN(BL164-BO164-BR164,MAX(0,$F164/(1-$F164)*(BH164+BR164)-BI164)),0)</f>
        <v>0</v>
      </c>
      <c r="BU164" s="84" t="n">
        <f aca="false">BL164-BO164-BR164-BT164</f>
        <v>0</v>
      </c>
      <c r="BV164" s="84" t="n">
        <f aca="false">BO164+BR164+(1-$F164)*BU164</f>
        <v>0</v>
      </c>
      <c r="BW164" s="84" t="n">
        <f aca="false">BT164+$F164*BU164</f>
        <v>0</v>
      </c>
      <c r="BX164" s="84" t="n">
        <f aca="false">BH164+BR164+(1-$F164)*BU164</f>
        <v>0</v>
      </c>
      <c r="BY164" s="84" t="n">
        <f aca="false">BI164+BW164</f>
        <v>0</v>
      </c>
      <c r="BZ164" s="133" t="n">
        <f aca="false">BM164+$D164*Inputs!$E$13-$D164*$E164</f>
        <v>13450.753</v>
      </c>
      <c r="CA164" s="84" t="n">
        <f aca="false">BZ164*(1+$I164)</f>
        <v>16006.39607</v>
      </c>
      <c r="CB164" s="133" t="n">
        <f aca="false">CA164*Inputs!$E$14</f>
        <v>0</v>
      </c>
      <c r="CC164" s="84" t="n">
        <f aca="false">CA164-CB164</f>
        <v>16006.39607</v>
      </c>
      <c r="CD164" s="133" t="n">
        <f aca="false">BP164+$D164*Inputs!$E$13</f>
        <v>12000</v>
      </c>
      <c r="CE164" s="84" t="n">
        <f aca="false">MIN(CB164,CD164)</f>
        <v>0</v>
      </c>
      <c r="CF164" s="84" t="n">
        <f aca="false">CD164-CE164</f>
        <v>12000</v>
      </c>
      <c r="CG164" s="84" t="n">
        <f aca="false">BS164+$G164*(CD164+BS164)</f>
        <v>0</v>
      </c>
      <c r="CH164" s="84" t="n">
        <f aca="false">MIN(CB164-CE164,CG164)</f>
        <v>0</v>
      </c>
      <c r="CI164" s="84" t="n">
        <f aca="false">CG164-CH164</f>
        <v>0</v>
      </c>
      <c r="CJ164" s="84" t="n">
        <f aca="false">IF($H164=1,MIN(CB164-CE164-CH164,MAX(0,$F164/(1-$F164)*(BX164+CH164)-BY164)),0)</f>
        <v>0</v>
      </c>
      <c r="CK164" s="84" t="n">
        <f aca="false">CB164-CE164-CH164-CJ164</f>
        <v>0</v>
      </c>
      <c r="CL164" s="84" t="n">
        <f aca="false">CE164+CH164+(1-$F164)*CK164</f>
        <v>0</v>
      </c>
      <c r="CM164" s="84" t="n">
        <f aca="false">CJ164+$F164*CK164</f>
        <v>0</v>
      </c>
      <c r="CN164" s="84" t="n">
        <f aca="false">BX164+CH164+(1-$F164)*CK164</f>
        <v>0</v>
      </c>
      <c r="CO164" s="84" t="n">
        <f aca="false">BY164+CM164</f>
        <v>0</v>
      </c>
      <c r="CP164" s="133" t="n">
        <f aca="false">CC164+$D164*Inputs!$F$13-$D164*$E164</f>
        <v>19736.39607</v>
      </c>
      <c r="CQ164" s="84" t="n">
        <f aca="false">CP164*(1+$I164)</f>
        <v>23486.3113233</v>
      </c>
      <c r="CR164" s="133" t="n">
        <f aca="false">CQ164*Inputs!$F$14</f>
        <v>0</v>
      </c>
      <c r="CS164" s="84" t="n">
        <f aca="false">CQ164-CR164</f>
        <v>23486.3113233</v>
      </c>
      <c r="CT164" s="133" t="n">
        <f aca="false">CF164+$D164*Inputs!$F$13</f>
        <v>16000</v>
      </c>
      <c r="CU164" s="84" t="n">
        <f aca="false">MIN(CR164,CT164)</f>
        <v>0</v>
      </c>
      <c r="CV164" s="84" t="n">
        <f aca="false">CT164-CU164</f>
        <v>16000</v>
      </c>
      <c r="CW164" s="84" t="n">
        <f aca="false">CI164+$G164*(CT164+CI164)</f>
        <v>0</v>
      </c>
      <c r="CX164" s="84" t="n">
        <f aca="false">MIN(CR164-CU164,CW164)</f>
        <v>0</v>
      </c>
      <c r="CY164" s="84" t="n">
        <f aca="false">CW164-CX164</f>
        <v>0</v>
      </c>
      <c r="CZ164" s="84" t="n">
        <f aca="false">IF($H164=1,MIN(CR164-CU164-CX164,MAX(0,$F164/(1-$F164)*(CN164+CX164)-CO164)),0)</f>
        <v>0</v>
      </c>
      <c r="DA164" s="84" t="n">
        <f aca="false">CR164-CU164-CX164-CZ164</f>
        <v>0</v>
      </c>
      <c r="DB164" s="84" t="n">
        <f aca="false">CU164+CX164+(1-$F164)*DA164</f>
        <v>0</v>
      </c>
      <c r="DC164" s="84" t="n">
        <f aca="false">CZ164+$F164*DA164</f>
        <v>0</v>
      </c>
      <c r="DD164" s="84" t="n">
        <f aca="false">CN164+CX164+(1-$F164)*DA164</f>
        <v>0</v>
      </c>
      <c r="DE164" s="84" t="n">
        <f aca="false">CO164+DC164</f>
        <v>0</v>
      </c>
      <c r="DF164" s="133" t="n">
        <f aca="false">CS164+$D164*Inputs!$G$13-$D164*$E164</f>
        <v>27216.3113233</v>
      </c>
      <c r="DG164" s="84" t="n">
        <f aca="false">DF164*(1+$I164)</f>
        <v>32387.410474727</v>
      </c>
      <c r="DH164" s="133" t="n">
        <f aca="false">DG164*Inputs!$G$14</f>
        <v>6477.4820949454</v>
      </c>
      <c r="DI164" s="84" t="n">
        <f aca="false">DG164-DH164</f>
        <v>25909.9283797816</v>
      </c>
      <c r="DJ164" s="133" t="n">
        <f aca="false">CV164+$D164*Inputs!$G$13</f>
        <v>20000</v>
      </c>
      <c r="DK164" s="84" t="n">
        <f aca="false">MIN(DH164,DJ164)</f>
        <v>6477.4820949454</v>
      </c>
      <c r="DL164" s="84" t="n">
        <f aca="false">DJ164-DK164</f>
        <v>13522.5179050546</v>
      </c>
      <c r="DM164" s="84" t="n">
        <f aca="false">CY164+$G164*(DJ164+CY164)</f>
        <v>0</v>
      </c>
      <c r="DN164" s="84" t="n">
        <f aca="false">MIN(DH164-DK164,DM164)</f>
        <v>0</v>
      </c>
      <c r="DO164" s="84" t="n">
        <f aca="false">DM164-DN164</f>
        <v>0</v>
      </c>
      <c r="DP164" s="84" t="n">
        <f aca="false">IF($H164=1,MIN(DH164-DK164-DN164,MAX(0,$F164/(1-$F164)*(DD164+DN164)-DE164)),0)</f>
        <v>0</v>
      </c>
      <c r="DQ164" s="84" t="n">
        <f aca="false">DH164-DK164-DN164-DP164</f>
        <v>0</v>
      </c>
      <c r="DR164" s="84" t="n">
        <f aca="false">DK164+DN164+(1-$F164)*DQ164</f>
        <v>6477.4820949454</v>
      </c>
      <c r="DS164" s="84" t="n">
        <f aca="false">DP164+$F164*DQ164</f>
        <v>0</v>
      </c>
      <c r="DT164" s="84" t="n">
        <f aca="false">DD164+DN164+(1-$F164)*DQ164</f>
        <v>0</v>
      </c>
      <c r="DU164" s="84" t="n">
        <f aca="false">DE164+DS164</f>
        <v>0</v>
      </c>
      <c r="DV164" s="133" t="n">
        <f aca="false">DI164+$D164*Inputs!$H$13-$D164*$E164</f>
        <v>25639.9283797816</v>
      </c>
      <c r="DW164" s="84" t="n">
        <f aca="false">DV164*(1+$I164)</f>
        <v>30511.5147719401</v>
      </c>
      <c r="DX164" s="133" t="n">
        <f aca="false">DW164*Inputs!$H$14</f>
        <v>6102.30295438802</v>
      </c>
      <c r="DY164" s="84" t="n">
        <f aca="false">DW164-DX164</f>
        <v>24409.2118175521</v>
      </c>
      <c r="DZ164" s="133" t="n">
        <f aca="false">DL164+$D164*Inputs!$H$13</f>
        <v>13522.5179050546</v>
      </c>
      <c r="EA164" s="84" t="n">
        <f aca="false">MIN(DX164,DZ164)</f>
        <v>6102.30295438802</v>
      </c>
      <c r="EB164" s="84" t="n">
        <f aca="false">DZ164-EA164</f>
        <v>7420.21495066658</v>
      </c>
      <c r="EC164" s="84" t="n">
        <f aca="false">DO164+$G164*(DZ164+DO164)</f>
        <v>0</v>
      </c>
      <c r="ED164" s="84" t="n">
        <f aca="false">MIN(DX164-EA164,EC164)</f>
        <v>0</v>
      </c>
      <c r="EE164" s="84" t="n">
        <f aca="false">EC164-ED164</f>
        <v>0</v>
      </c>
      <c r="EF164" s="84" t="n">
        <f aca="false">IF($H164=1,MIN(DX164-EA164-ED164,MAX(0,$F164/(1-$F164)*(DT164+ED164)-DU164)),0)</f>
        <v>0</v>
      </c>
      <c r="EG164" s="84" t="n">
        <f aca="false">DX164-EA164-ED164-EF164</f>
        <v>0</v>
      </c>
      <c r="EH164" s="84" t="n">
        <f aca="false">EA164+ED164+(1-$F164)*EG164</f>
        <v>6102.30295438802</v>
      </c>
      <c r="EI164" s="84" t="n">
        <f aca="false">EF164+$F164*EG164</f>
        <v>0</v>
      </c>
      <c r="EJ164" s="84" t="n">
        <f aca="false">DT164+ED164+(1-$F164)*EG164</f>
        <v>0</v>
      </c>
      <c r="EK164" s="84" t="n">
        <f aca="false">DU164+EI164</f>
        <v>0</v>
      </c>
      <c r="EL164" s="133" t="n">
        <f aca="false">DY164+$D164*Inputs!$I$13-$D164*$E164</f>
        <v>24139.2118175521</v>
      </c>
      <c r="EM164" s="84" t="n">
        <f aca="false">EL164*(1+$I164)</f>
        <v>28725.662062887</v>
      </c>
      <c r="EN164" s="133" t="n">
        <f aca="false">EM164*Inputs!$I$14</f>
        <v>5745.1324125774</v>
      </c>
      <c r="EO164" s="84" t="n">
        <f aca="false">EM164-EN164</f>
        <v>22980.5296503096</v>
      </c>
      <c r="EP164" s="133" t="n">
        <f aca="false">EB164+$D164*Inputs!$I$13</f>
        <v>7420.21495066658</v>
      </c>
      <c r="EQ164" s="84" t="n">
        <f aca="false">MIN(EN164,EP164)</f>
        <v>5745.1324125774</v>
      </c>
      <c r="ER164" s="84" t="n">
        <f aca="false">EP164-EQ164</f>
        <v>1675.08253808918</v>
      </c>
      <c r="ES164" s="84" t="n">
        <f aca="false">EE164+$G164*(EP164+EE164)</f>
        <v>0</v>
      </c>
      <c r="ET164" s="84" t="n">
        <f aca="false">MIN(EN164-EQ164,ES164)</f>
        <v>0</v>
      </c>
      <c r="EU164" s="84" t="n">
        <f aca="false">ES164-ET164</f>
        <v>0</v>
      </c>
      <c r="EV164" s="84" t="n">
        <f aca="false">IF($H164=1,MIN(EN164-EQ164-ET164,MAX(0,$F164/(1-$F164)*(EJ164+ET164)-EK164)),0)</f>
        <v>0</v>
      </c>
      <c r="EW164" s="84" t="n">
        <f aca="false">EN164-EQ164-ET164-EV164</f>
        <v>0</v>
      </c>
      <c r="EX164" s="84" t="n">
        <f aca="false">EQ164+ET164+(1-$F164)*EW164</f>
        <v>5745.1324125774</v>
      </c>
      <c r="EY164" s="84" t="n">
        <f aca="false">EV164+$F164*EW164</f>
        <v>0</v>
      </c>
      <c r="EZ164" s="84" t="n">
        <f aca="false">EJ164+ET164+(1-$F164)*EW164</f>
        <v>0</v>
      </c>
      <c r="FA164" s="84" t="n">
        <f aca="false">EK164+EY164</f>
        <v>0</v>
      </c>
      <c r="FB164" s="133" t="n">
        <f aca="false">EO164+$D164*Inputs!$J$13-$D164*$E164</f>
        <v>22710.5296503096</v>
      </c>
      <c r="FC164" s="84" t="n">
        <f aca="false">FB164*(1+$I164)</f>
        <v>27025.5302838684</v>
      </c>
      <c r="FD164" s="133" t="n">
        <f aca="false">FC164*Inputs!$J$14</f>
        <v>5405.10605677368</v>
      </c>
      <c r="FE164" s="84" t="n">
        <f aca="false">FC164-FD164</f>
        <v>21620.4242270947</v>
      </c>
      <c r="FF164" s="133" t="n">
        <f aca="false">ER164+$D164*Inputs!$J$13</f>
        <v>1675.08253808918</v>
      </c>
      <c r="FG164" s="84" t="n">
        <f aca="false">MIN(FD164,FF164)</f>
        <v>1675.08253808918</v>
      </c>
      <c r="FH164" s="84" t="n">
        <f aca="false">FF164-FG164</f>
        <v>0</v>
      </c>
      <c r="FI164" s="84" t="n">
        <f aca="false">EU164+$G164*(FF164+EU164)</f>
        <v>0</v>
      </c>
      <c r="FJ164" s="84" t="n">
        <f aca="false">MIN(FD164-FG164,FI164)</f>
        <v>0</v>
      </c>
      <c r="FK164" s="84" t="n">
        <f aca="false">FI164-FJ164</f>
        <v>0</v>
      </c>
      <c r="FL164" s="84" t="n">
        <f aca="false">IF($H164=1,MIN(FD164-FG164-FJ164,MAX(0,$F164/(1-$F164)*(EZ164+FJ164)-FA164)),0)</f>
        <v>0</v>
      </c>
      <c r="FM164" s="84" t="n">
        <f aca="false">FD164-FG164-FJ164-FL164</f>
        <v>3730.0235186845</v>
      </c>
      <c r="FN164" s="84" t="n">
        <f aca="false">FG164+FJ164+(1-$F164)*FM164</f>
        <v>4845.60252897101</v>
      </c>
      <c r="FO164" s="84" t="n">
        <f aca="false">FL164+$F164*FM164</f>
        <v>559.503527802675</v>
      </c>
      <c r="FP164" s="84" t="n">
        <f aca="false">EZ164+FJ164+(1-$F164)*FM164</f>
        <v>3170.51999088182</v>
      </c>
      <c r="FQ164" s="84" t="n">
        <f aca="false">FA164+FO164</f>
        <v>559.503527802675</v>
      </c>
      <c r="FR164" s="133" t="n">
        <f aca="false">FE164+$D164*Inputs!$K$13-$D164*$E164</f>
        <v>21350.4242270947</v>
      </c>
      <c r="FS164" s="84" t="n">
        <f aca="false">FR164*(1+$I164)</f>
        <v>25407.0048302427</v>
      </c>
      <c r="FT164" s="133" t="n">
        <f aca="false">FS164*Inputs!$K$14</f>
        <v>5081.40096604854</v>
      </c>
      <c r="FU164" s="84" t="n">
        <f aca="false">FS164-FT164</f>
        <v>20325.6038641942</v>
      </c>
      <c r="FV164" s="133" t="n">
        <f aca="false">FH164+$D164*Inputs!$K$13</f>
        <v>0</v>
      </c>
      <c r="FW164" s="84" t="n">
        <f aca="false">MIN(FT164,FV164)</f>
        <v>0</v>
      </c>
      <c r="FX164" s="84" t="n">
        <f aca="false">FV164-FW164</f>
        <v>0</v>
      </c>
      <c r="FY164" s="84" t="n">
        <f aca="false">FK164+$G164*(FV164+FK164)</f>
        <v>0</v>
      </c>
      <c r="FZ164" s="84" t="n">
        <f aca="false">MIN(FT164-FW164,FY164)</f>
        <v>0</v>
      </c>
      <c r="GA164" s="84" t="n">
        <f aca="false">FY164-FZ164</f>
        <v>0</v>
      </c>
      <c r="GB164" s="84" t="n">
        <f aca="false">IF($H164=1,MIN(FT164-FW164-FZ164,MAX(0,$F164/(1-$F164)*(FP164+FZ164)-FQ164)),0)</f>
        <v>0</v>
      </c>
      <c r="GC164" s="84" t="n">
        <f aca="false">FT164-FW164-FZ164-GB164</f>
        <v>5081.40096604854</v>
      </c>
      <c r="GD164" s="84" t="n">
        <f aca="false">FW164+FZ164+(1-$F164)*GC164</f>
        <v>4319.19082114126</v>
      </c>
      <c r="GE164" s="84" t="n">
        <f aca="false">GB164+$F164*GC164</f>
        <v>762.210144907282</v>
      </c>
      <c r="GF164" s="84" t="n">
        <f aca="false">FP164+FZ164+(1-$F164)*GC164</f>
        <v>7489.71081202308</v>
      </c>
      <c r="GG164" s="84" t="n">
        <f aca="false">FQ164+GE164</f>
        <v>1321.71367270996</v>
      </c>
      <c r="GH164" s="133" t="n">
        <f aca="false">FU164+$D164*Inputs!$L$13-$D164*$E164</f>
        <v>20055.6038641942</v>
      </c>
      <c r="GI164" s="84" t="n">
        <f aca="false">GH164*(1+$I164)</f>
        <v>23866.1685983911</v>
      </c>
      <c r="GJ164" s="133" t="n">
        <f aca="false">GI164*Inputs!$L$14</f>
        <v>23866.1685983911</v>
      </c>
      <c r="GK164" s="84" t="n">
        <f aca="false">GI164-GJ164</f>
        <v>0</v>
      </c>
      <c r="GL164" s="133" t="n">
        <f aca="false">FX164+$D164*Inputs!$L$13</f>
        <v>0</v>
      </c>
      <c r="GM164" s="84" t="n">
        <f aca="false">MIN(GJ164,GL164)</f>
        <v>0</v>
      </c>
      <c r="GN164" s="84" t="n">
        <f aca="false">GL164-GM164</f>
        <v>0</v>
      </c>
      <c r="GO164" s="84" t="n">
        <f aca="false">GA164+$G164*(GL164+GA164)</f>
        <v>0</v>
      </c>
      <c r="GP164" s="84" t="n">
        <f aca="false">MIN(GJ164-GM164,GO164)</f>
        <v>0</v>
      </c>
      <c r="GQ164" s="84" t="n">
        <f aca="false">GO164-GP164</f>
        <v>0</v>
      </c>
      <c r="GR164" s="84" t="n">
        <f aca="false">IF($H164=1,MIN(GJ164-GM164-GP164,MAX(0,$F164/(1-$F164)*(GF164+GP164)-GG164)),0)</f>
        <v>0</v>
      </c>
      <c r="GS164" s="84" t="n">
        <f aca="false">GJ164-GM164-GP164-GR164</f>
        <v>23866.1685983911</v>
      </c>
      <c r="GT164" s="84" t="n">
        <f aca="false">GM164+GP164+(1-$F164)*GS164</f>
        <v>20286.2433086324</v>
      </c>
      <c r="GU164" s="84" t="n">
        <f aca="false">GR164+$F164*GS164</f>
        <v>3579.92528975866</v>
      </c>
      <c r="GV164" s="84" t="n">
        <f aca="false">GF164+GP164+(1-$F164)*GS164</f>
        <v>27775.9541206555</v>
      </c>
      <c r="GW164" s="84" t="n">
        <f aca="false">GG164+GU164</f>
        <v>4901.63896246862</v>
      </c>
    </row>
    <row r="165" customFormat="false" ht="15" hidden="false" customHeight="false" outlineLevel="0" collapsed="false">
      <c r="A165" s="5" t="s">
        <v>641</v>
      </c>
      <c r="B165" s="5" t="s">
        <v>429</v>
      </c>
      <c r="C165" s="135" t="n">
        <v>20</v>
      </c>
      <c r="D165" s="47" t="n">
        <f aca="false">Inputs!$C$6</f>
        <v>20000</v>
      </c>
      <c r="E165" s="35" t="n">
        <f aca="false">Inputs!$C$19</f>
        <v>0.0135</v>
      </c>
      <c r="F165" s="36" t="n">
        <f aca="false">Inputs!$C$21</f>
        <v>0.15</v>
      </c>
      <c r="G165" s="30" t="n">
        <v>0</v>
      </c>
      <c r="H165" s="27" t="n">
        <v>0</v>
      </c>
      <c r="I165" s="132" t="n">
        <f aca="false">Inputs!$C$38+$C165*Inputs!$C$39</f>
        <v>0.2</v>
      </c>
      <c r="J165" s="36" t="n">
        <f aca="false">Inputs!$C$9</f>
        <v>0.15</v>
      </c>
      <c r="K165" s="89" t="n">
        <f aca="false">IRR(W165:AG165,0.1)</f>
        <v>0.164910982580994</v>
      </c>
      <c r="L165" s="45" t="n">
        <f aca="false">W165+NPV($J165,X165:AG165)</f>
        <v>1224.12414779974</v>
      </c>
      <c r="M165" s="45" t="n">
        <f aca="false">SUM(BF165,BV165,CL165,DB165,DR165,EH165,EX165,FN165,GD165,GT165)</f>
        <v>50420.8499525187</v>
      </c>
      <c r="N165" s="43" t="n">
        <f aca="false">IF($D165*SUM(Inputs!$C$13:$L$13)=0,0,M165/($D165*SUM(Inputs!$C$13:$L$13)))</f>
        <v>2.52104249762593</v>
      </c>
      <c r="O165" s="42" t="n">
        <f aca="false">$D165*$E165*COLUMNS(Inputs!$C$13:$L$13)</f>
        <v>2700</v>
      </c>
      <c r="P165" s="45" t="n">
        <f aca="false">SUM(BG165,BW165,CM165,DC165,DS165,EI165,EY165,FO165,GE165,GU165)</f>
        <v>5368.38528573859</v>
      </c>
      <c r="Q165" s="42" t="n">
        <f aca="false">PV($J165,COLUMNS(Inputs!$C$13:$L$13),-$D165*$E165,0,1)</f>
        <v>1558.32765832774</v>
      </c>
      <c r="R165" s="45" t="n">
        <f aca="false">NPV($J165,BG165,BW165,CM165,DC165,DS165,EI165,EY165,FO165,GE165,GU165)</f>
        <v>1413.43475700093</v>
      </c>
      <c r="S165" s="45" t="n">
        <f aca="false">Q165+R165</f>
        <v>2971.76241532866</v>
      </c>
      <c r="T165" s="32" t="n">
        <f aca="false">IF(S165=0,0,Q165/S165)</f>
        <v>0.524378278118641</v>
      </c>
      <c r="U165" s="45" t="n">
        <f aca="false">ROUND(ABS(GK165)+ABS(SUM(AV165,BL165,CB165,CR165,DH165,DX165,EN165,FD165,FT165,GJ165)-M165-P165)+ABS(S165-(AH165+NPV($J165,AI165:AR165))),6)</f>
        <v>0</v>
      </c>
      <c r="W165" s="133" t="n">
        <f aca="false">-$D165*Inputs!$C$13</f>
        <v>-4000</v>
      </c>
      <c r="X165" s="133" t="n">
        <f aca="false">BF165-$D165*Inputs!$D$13</f>
        <v>-4000</v>
      </c>
      <c r="Y165" s="133" t="n">
        <f aca="false">BV165-$D165*Inputs!$E$13</f>
        <v>-4000</v>
      </c>
      <c r="Z165" s="133" t="n">
        <f aca="false">CL165-$D165*Inputs!$F$13</f>
        <v>-4000</v>
      </c>
      <c r="AA165" s="133" t="n">
        <f aca="false">DB165-$D165*Inputs!$G$13</f>
        <v>-4000</v>
      </c>
      <c r="AB165" s="133" t="n">
        <f aca="false">DR165-$D165*Inputs!$H$13</f>
        <v>6661.72032</v>
      </c>
      <c r="AC165" s="133" t="n">
        <f aca="false">EH165-$D165*Inputs!$I$13</f>
        <v>6330.4515072</v>
      </c>
      <c r="AD165" s="133" t="n">
        <f aca="false">EX165-$D165*Inputs!$J$13</f>
        <v>6012.433446912</v>
      </c>
      <c r="AE165" s="133" t="n">
        <f aca="false">FN165-$D165*Inputs!$K$13</f>
        <v>5000.37490156339</v>
      </c>
      <c r="AF165" s="133" t="n">
        <f aca="false">GD165-$D165*Inputs!$L$13</f>
        <v>4601.94306497298</v>
      </c>
      <c r="AG165" s="84" t="n">
        <f aca="false">GT165</f>
        <v>21813.9267118703</v>
      </c>
      <c r="AH165" s="84" t="n">
        <f aca="false">$D165*$E165</f>
        <v>270</v>
      </c>
      <c r="AI165" s="84" t="n">
        <f aca="false">BG165+$D165*$E165</f>
        <v>270</v>
      </c>
      <c r="AJ165" s="84" t="n">
        <f aca="false">BW165+$D165*$E165</f>
        <v>270</v>
      </c>
      <c r="AK165" s="84" t="n">
        <f aca="false">CM165+$D165*$E165</f>
        <v>270</v>
      </c>
      <c r="AL165" s="84" t="n">
        <f aca="false">DC165+$D165*$E165</f>
        <v>270</v>
      </c>
      <c r="AM165" s="84" t="n">
        <f aca="false">DS165+$D165*$E165</f>
        <v>270</v>
      </c>
      <c r="AN165" s="84" t="n">
        <f aca="false">EI165+$D165*$E165</f>
        <v>270</v>
      </c>
      <c r="AO165" s="84" t="n">
        <f aca="false">EY165+$D165*$E165</f>
        <v>270</v>
      </c>
      <c r="AP165" s="84" t="n">
        <f aca="false">FO165+$D165*$E165</f>
        <v>976.761207472127</v>
      </c>
      <c r="AQ165" s="84" t="n">
        <f aca="false">GE165+$D165*$E165</f>
        <v>1082.10759970111</v>
      </c>
      <c r="AR165" s="84" t="n">
        <f aca="false">GU165</f>
        <v>3849.51647856535</v>
      </c>
      <c r="AT165" s="133" t="n">
        <f aca="false">$D165*Inputs!$C$13-$D165*$E165</f>
        <v>3730</v>
      </c>
      <c r="AU165" s="84" t="n">
        <f aca="false">AT165*(1+$I165)</f>
        <v>4476</v>
      </c>
      <c r="AV165" s="133" t="n">
        <f aca="false">AU165*Inputs!$C$14</f>
        <v>0</v>
      </c>
      <c r="AW165" s="84" t="n">
        <f aca="false">AU165-AV165</f>
        <v>4476</v>
      </c>
      <c r="AX165" s="133" t="n">
        <f aca="false">$D165*Inputs!$C$13</f>
        <v>4000</v>
      </c>
      <c r="AY165" s="84" t="n">
        <f aca="false">MIN(AV165,AX165)</f>
        <v>0</v>
      </c>
      <c r="AZ165" s="84" t="n">
        <f aca="false">AX165-AY165</f>
        <v>4000</v>
      </c>
      <c r="BA165" s="84" t="n">
        <f aca="false">$G165*AX165</f>
        <v>0</v>
      </c>
      <c r="BB165" s="84" t="n">
        <f aca="false">MIN(AV165-AY165,BA165)</f>
        <v>0</v>
      </c>
      <c r="BC165" s="84" t="n">
        <f aca="false">BA165-BB165</f>
        <v>0</v>
      </c>
      <c r="BD165" s="84" t="n">
        <f aca="false">IF($H165=1,MIN(AV165-AY165-BB165,MAX(0,$F165/(1-$F165)*BB165)),0)</f>
        <v>0</v>
      </c>
      <c r="BE165" s="84" t="n">
        <f aca="false">AV165-AY165-BB165-BD165</f>
        <v>0</v>
      </c>
      <c r="BF165" s="84" t="n">
        <f aca="false">AY165+BB165+(1-$F165)*BE165</f>
        <v>0</v>
      </c>
      <c r="BG165" s="84" t="n">
        <f aca="false">BD165+$F165*BE165</f>
        <v>0</v>
      </c>
      <c r="BH165" s="84" t="n">
        <f aca="false">BB165+(1-$F165)*BE165</f>
        <v>0</v>
      </c>
      <c r="BI165" s="84" t="n">
        <f aca="false">BG165</f>
        <v>0</v>
      </c>
      <c r="BJ165" s="133" t="n">
        <f aca="false">AW165+$D165*Inputs!$D$13-$D165*$E165</f>
        <v>8206</v>
      </c>
      <c r="BK165" s="84" t="n">
        <f aca="false">BJ165*(1+$I165)</f>
        <v>9847.2</v>
      </c>
      <c r="BL165" s="133" t="n">
        <f aca="false">BK165*Inputs!$D$14</f>
        <v>0</v>
      </c>
      <c r="BM165" s="84" t="n">
        <f aca="false">BK165-BL165</f>
        <v>9847.2</v>
      </c>
      <c r="BN165" s="133" t="n">
        <f aca="false">AZ165+$D165*Inputs!$D$13</f>
        <v>8000</v>
      </c>
      <c r="BO165" s="84" t="n">
        <f aca="false">MIN(BL165,BN165)</f>
        <v>0</v>
      </c>
      <c r="BP165" s="84" t="n">
        <f aca="false">BN165-BO165</f>
        <v>8000</v>
      </c>
      <c r="BQ165" s="84" t="n">
        <f aca="false">BC165+$G165*(BN165+BC165)</f>
        <v>0</v>
      </c>
      <c r="BR165" s="84" t="n">
        <f aca="false">MIN(BL165-BO165,BQ165)</f>
        <v>0</v>
      </c>
      <c r="BS165" s="84" t="n">
        <f aca="false">BQ165-BR165</f>
        <v>0</v>
      </c>
      <c r="BT165" s="84" t="n">
        <f aca="false">IF($H165=1,MIN(BL165-BO165-BR165,MAX(0,$F165/(1-$F165)*(BH165+BR165)-BI165)),0)</f>
        <v>0</v>
      </c>
      <c r="BU165" s="84" t="n">
        <f aca="false">BL165-BO165-BR165-BT165</f>
        <v>0</v>
      </c>
      <c r="BV165" s="84" t="n">
        <f aca="false">BO165+BR165+(1-$F165)*BU165</f>
        <v>0</v>
      </c>
      <c r="BW165" s="84" t="n">
        <f aca="false">BT165+$F165*BU165</f>
        <v>0</v>
      </c>
      <c r="BX165" s="84" t="n">
        <f aca="false">BH165+BR165+(1-$F165)*BU165</f>
        <v>0</v>
      </c>
      <c r="BY165" s="84" t="n">
        <f aca="false">BI165+BW165</f>
        <v>0</v>
      </c>
      <c r="BZ165" s="133" t="n">
        <f aca="false">BM165+$D165*Inputs!$E$13-$D165*$E165</f>
        <v>13577.2</v>
      </c>
      <c r="CA165" s="84" t="n">
        <f aca="false">BZ165*(1+$I165)</f>
        <v>16292.64</v>
      </c>
      <c r="CB165" s="133" t="n">
        <f aca="false">CA165*Inputs!$E$14</f>
        <v>0</v>
      </c>
      <c r="CC165" s="84" t="n">
        <f aca="false">CA165-CB165</f>
        <v>16292.64</v>
      </c>
      <c r="CD165" s="133" t="n">
        <f aca="false">BP165+$D165*Inputs!$E$13</f>
        <v>12000</v>
      </c>
      <c r="CE165" s="84" t="n">
        <f aca="false">MIN(CB165,CD165)</f>
        <v>0</v>
      </c>
      <c r="CF165" s="84" t="n">
        <f aca="false">CD165-CE165</f>
        <v>12000</v>
      </c>
      <c r="CG165" s="84" t="n">
        <f aca="false">BS165+$G165*(CD165+BS165)</f>
        <v>0</v>
      </c>
      <c r="CH165" s="84" t="n">
        <f aca="false">MIN(CB165-CE165,CG165)</f>
        <v>0</v>
      </c>
      <c r="CI165" s="84" t="n">
        <f aca="false">CG165-CH165</f>
        <v>0</v>
      </c>
      <c r="CJ165" s="84" t="n">
        <f aca="false">IF($H165=1,MIN(CB165-CE165-CH165,MAX(0,$F165/(1-$F165)*(BX165+CH165)-BY165)),0)</f>
        <v>0</v>
      </c>
      <c r="CK165" s="84" t="n">
        <f aca="false">CB165-CE165-CH165-CJ165</f>
        <v>0</v>
      </c>
      <c r="CL165" s="84" t="n">
        <f aca="false">CE165+CH165+(1-$F165)*CK165</f>
        <v>0</v>
      </c>
      <c r="CM165" s="84" t="n">
        <f aca="false">CJ165+$F165*CK165</f>
        <v>0</v>
      </c>
      <c r="CN165" s="84" t="n">
        <f aca="false">BX165+CH165+(1-$F165)*CK165</f>
        <v>0</v>
      </c>
      <c r="CO165" s="84" t="n">
        <f aca="false">BY165+CM165</f>
        <v>0</v>
      </c>
      <c r="CP165" s="133" t="n">
        <f aca="false">CC165+$D165*Inputs!$F$13-$D165*$E165</f>
        <v>20022.64</v>
      </c>
      <c r="CQ165" s="84" t="n">
        <f aca="false">CP165*(1+$I165)</f>
        <v>24027.168</v>
      </c>
      <c r="CR165" s="133" t="n">
        <f aca="false">CQ165*Inputs!$F$14</f>
        <v>0</v>
      </c>
      <c r="CS165" s="84" t="n">
        <f aca="false">CQ165-CR165</f>
        <v>24027.168</v>
      </c>
      <c r="CT165" s="133" t="n">
        <f aca="false">CF165+$D165*Inputs!$F$13</f>
        <v>16000</v>
      </c>
      <c r="CU165" s="84" t="n">
        <f aca="false">MIN(CR165,CT165)</f>
        <v>0</v>
      </c>
      <c r="CV165" s="84" t="n">
        <f aca="false">CT165-CU165</f>
        <v>16000</v>
      </c>
      <c r="CW165" s="84" t="n">
        <f aca="false">CI165+$G165*(CT165+CI165)</f>
        <v>0</v>
      </c>
      <c r="CX165" s="84" t="n">
        <f aca="false">MIN(CR165-CU165,CW165)</f>
        <v>0</v>
      </c>
      <c r="CY165" s="84" t="n">
        <f aca="false">CW165-CX165</f>
        <v>0</v>
      </c>
      <c r="CZ165" s="84" t="n">
        <f aca="false">IF($H165=1,MIN(CR165-CU165-CX165,MAX(0,$F165/(1-$F165)*(CN165+CX165)-CO165)),0)</f>
        <v>0</v>
      </c>
      <c r="DA165" s="84" t="n">
        <f aca="false">CR165-CU165-CX165-CZ165</f>
        <v>0</v>
      </c>
      <c r="DB165" s="84" t="n">
        <f aca="false">CU165+CX165+(1-$F165)*DA165</f>
        <v>0</v>
      </c>
      <c r="DC165" s="84" t="n">
        <f aca="false">CZ165+$F165*DA165</f>
        <v>0</v>
      </c>
      <c r="DD165" s="84" t="n">
        <f aca="false">CN165+CX165+(1-$F165)*DA165</f>
        <v>0</v>
      </c>
      <c r="DE165" s="84" t="n">
        <f aca="false">CO165+DC165</f>
        <v>0</v>
      </c>
      <c r="DF165" s="133" t="n">
        <f aca="false">CS165+$D165*Inputs!$G$13-$D165*$E165</f>
        <v>27757.168</v>
      </c>
      <c r="DG165" s="84" t="n">
        <f aca="false">DF165*(1+$I165)</f>
        <v>33308.6016</v>
      </c>
      <c r="DH165" s="133" t="n">
        <f aca="false">DG165*Inputs!$G$14</f>
        <v>6661.72032</v>
      </c>
      <c r="DI165" s="84" t="n">
        <f aca="false">DG165-DH165</f>
        <v>26646.88128</v>
      </c>
      <c r="DJ165" s="133" t="n">
        <f aca="false">CV165+$D165*Inputs!$G$13</f>
        <v>20000</v>
      </c>
      <c r="DK165" s="84" t="n">
        <f aca="false">MIN(DH165,DJ165)</f>
        <v>6661.72032</v>
      </c>
      <c r="DL165" s="84" t="n">
        <f aca="false">DJ165-DK165</f>
        <v>13338.27968</v>
      </c>
      <c r="DM165" s="84" t="n">
        <f aca="false">CY165+$G165*(DJ165+CY165)</f>
        <v>0</v>
      </c>
      <c r="DN165" s="84" t="n">
        <f aca="false">MIN(DH165-DK165,DM165)</f>
        <v>0</v>
      </c>
      <c r="DO165" s="84" t="n">
        <f aca="false">DM165-DN165</f>
        <v>0</v>
      </c>
      <c r="DP165" s="84" t="n">
        <f aca="false">IF($H165=1,MIN(DH165-DK165-DN165,MAX(0,$F165/(1-$F165)*(DD165+DN165)-DE165)),0)</f>
        <v>0</v>
      </c>
      <c r="DQ165" s="84" t="n">
        <f aca="false">DH165-DK165-DN165-DP165</f>
        <v>0</v>
      </c>
      <c r="DR165" s="84" t="n">
        <f aca="false">DK165+DN165+(1-$F165)*DQ165</f>
        <v>6661.72032</v>
      </c>
      <c r="DS165" s="84" t="n">
        <f aca="false">DP165+$F165*DQ165</f>
        <v>0</v>
      </c>
      <c r="DT165" s="84" t="n">
        <f aca="false">DD165+DN165+(1-$F165)*DQ165</f>
        <v>0</v>
      </c>
      <c r="DU165" s="84" t="n">
        <f aca="false">DE165+DS165</f>
        <v>0</v>
      </c>
      <c r="DV165" s="133" t="n">
        <f aca="false">DI165+$D165*Inputs!$H$13-$D165*$E165</f>
        <v>26376.88128</v>
      </c>
      <c r="DW165" s="84" t="n">
        <f aca="false">DV165*(1+$I165)</f>
        <v>31652.257536</v>
      </c>
      <c r="DX165" s="133" t="n">
        <f aca="false">DW165*Inputs!$H$14</f>
        <v>6330.4515072</v>
      </c>
      <c r="DY165" s="84" t="n">
        <f aca="false">DW165-DX165</f>
        <v>25321.8060288</v>
      </c>
      <c r="DZ165" s="133" t="n">
        <f aca="false">DL165+$D165*Inputs!$H$13</f>
        <v>13338.27968</v>
      </c>
      <c r="EA165" s="84" t="n">
        <f aca="false">MIN(DX165,DZ165)</f>
        <v>6330.4515072</v>
      </c>
      <c r="EB165" s="84" t="n">
        <f aca="false">DZ165-EA165</f>
        <v>7007.8281728</v>
      </c>
      <c r="EC165" s="84" t="n">
        <f aca="false">DO165+$G165*(DZ165+DO165)</f>
        <v>0</v>
      </c>
      <c r="ED165" s="84" t="n">
        <f aca="false">MIN(DX165-EA165,EC165)</f>
        <v>0</v>
      </c>
      <c r="EE165" s="84" t="n">
        <f aca="false">EC165-ED165</f>
        <v>0</v>
      </c>
      <c r="EF165" s="84" t="n">
        <f aca="false">IF($H165=1,MIN(DX165-EA165-ED165,MAX(0,$F165/(1-$F165)*(DT165+ED165)-DU165)),0)</f>
        <v>0</v>
      </c>
      <c r="EG165" s="84" t="n">
        <f aca="false">DX165-EA165-ED165-EF165</f>
        <v>0</v>
      </c>
      <c r="EH165" s="84" t="n">
        <f aca="false">EA165+ED165+(1-$F165)*EG165</f>
        <v>6330.4515072</v>
      </c>
      <c r="EI165" s="84" t="n">
        <f aca="false">EF165+$F165*EG165</f>
        <v>0</v>
      </c>
      <c r="EJ165" s="84" t="n">
        <f aca="false">DT165+ED165+(1-$F165)*EG165</f>
        <v>0</v>
      </c>
      <c r="EK165" s="84" t="n">
        <f aca="false">DU165+EI165</f>
        <v>0</v>
      </c>
      <c r="EL165" s="133" t="n">
        <f aca="false">DY165+$D165*Inputs!$I$13-$D165*$E165</f>
        <v>25051.8060288</v>
      </c>
      <c r="EM165" s="84" t="n">
        <f aca="false">EL165*(1+$I165)</f>
        <v>30062.16723456</v>
      </c>
      <c r="EN165" s="133" t="n">
        <f aca="false">EM165*Inputs!$I$14</f>
        <v>6012.433446912</v>
      </c>
      <c r="EO165" s="84" t="n">
        <f aca="false">EM165-EN165</f>
        <v>24049.733787648</v>
      </c>
      <c r="EP165" s="133" t="n">
        <f aca="false">EB165+$D165*Inputs!$I$13</f>
        <v>7007.8281728</v>
      </c>
      <c r="EQ165" s="84" t="n">
        <f aca="false">MIN(EN165,EP165)</f>
        <v>6012.433446912</v>
      </c>
      <c r="ER165" s="84" t="n">
        <f aca="false">EP165-EQ165</f>
        <v>995.394725888003</v>
      </c>
      <c r="ES165" s="84" t="n">
        <f aca="false">EE165+$G165*(EP165+EE165)</f>
        <v>0</v>
      </c>
      <c r="ET165" s="84" t="n">
        <f aca="false">MIN(EN165-EQ165,ES165)</f>
        <v>0</v>
      </c>
      <c r="EU165" s="84" t="n">
        <f aca="false">ES165-ET165</f>
        <v>0</v>
      </c>
      <c r="EV165" s="84" t="n">
        <f aca="false">IF($H165=1,MIN(EN165-EQ165-ET165,MAX(0,$F165/(1-$F165)*(EJ165+ET165)-EK165)),0)</f>
        <v>0</v>
      </c>
      <c r="EW165" s="84" t="n">
        <f aca="false">EN165-EQ165-ET165-EV165</f>
        <v>0</v>
      </c>
      <c r="EX165" s="84" t="n">
        <f aca="false">EQ165+ET165+(1-$F165)*EW165</f>
        <v>6012.433446912</v>
      </c>
      <c r="EY165" s="84" t="n">
        <f aca="false">EV165+$F165*EW165</f>
        <v>0</v>
      </c>
      <c r="EZ165" s="84" t="n">
        <f aca="false">EJ165+ET165+(1-$F165)*EW165</f>
        <v>0</v>
      </c>
      <c r="FA165" s="84" t="n">
        <f aca="false">EK165+EY165</f>
        <v>0</v>
      </c>
      <c r="FB165" s="133" t="n">
        <f aca="false">EO165+$D165*Inputs!$J$13-$D165*$E165</f>
        <v>23779.733787648</v>
      </c>
      <c r="FC165" s="84" t="n">
        <f aca="false">FB165*(1+$I165)</f>
        <v>28535.6805451776</v>
      </c>
      <c r="FD165" s="133" t="n">
        <f aca="false">FC165*Inputs!$J$14</f>
        <v>5707.13610903552</v>
      </c>
      <c r="FE165" s="84" t="n">
        <f aca="false">FC165-FD165</f>
        <v>22828.5444361421</v>
      </c>
      <c r="FF165" s="133" t="n">
        <f aca="false">ER165+$D165*Inputs!$J$13</f>
        <v>995.394725888003</v>
      </c>
      <c r="FG165" s="84" t="n">
        <f aca="false">MIN(FD165,FF165)</f>
        <v>995.394725888003</v>
      </c>
      <c r="FH165" s="84" t="n">
        <f aca="false">FF165-FG165</f>
        <v>0</v>
      </c>
      <c r="FI165" s="84" t="n">
        <f aca="false">EU165+$G165*(FF165+EU165)</f>
        <v>0</v>
      </c>
      <c r="FJ165" s="84" t="n">
        <f aca="false">MIN(FD165-FG165,FI165)</f>
        <v>0</v>
      </c>
      <c r="FK165" s="84" t="n">
        <f aca="false">FI165-FJ165</f>
        <v>0</v>
      </c>
      <c r="FL165" s="84" t="n">
        <f aca="false">IF($H165=1,MIN(FD165-FG165-FJ165,MAX(0,$F165/(1-$F165)*(EZ165+FJ165)-FA165)),0)</f>
        <v>0</v>
      </c>
      <c r="FM165" s="84" t="n">
        <f aca="false">FD165-FG165-FJ165-FL165</f>
        <v>4711.74138314751</v>
      </c>
      <c r="FN165" s="84" t="n">
        <f aca="false">FG165+FJ165+(1-$F165)*FM165</f>
        <v>5000.37490156339</v>
      </c>
      <c r="FO165" s="84" t="n">
        <f aca="false">FL165+$F165*FM165</f>
        <v>706.761207472127</v>
      </c>
      <c r="FP165" s="84" t="n">
        <f aca="false">EZ165+FJ165+(1-$F165)*FM165</f>
        <v>4004.98017567539</v>
      </c>
      <c r="FQ165" s="84" t="n">
        <f aca="false">FA165+FO165</f>
        <v>706.761207472127</v>
      </c>
      <c r="FR165" s="133" t="n">
        <f aca="false">FE165+$D165*Inputs!$K$13-$D165*$E165</f>
        <v>22558.5444361421</v>
      </c>
      <c r="FS165" s="84" t="n">
        <f aca="false">FR165*(1+$I165)</f>
        <v>27070.2533233705</v>
      </c>
      <c r="FT165" s="133" t="n">
        <f aca="false">FS165*Inputs!$K$14</f>
        <v>5414.0506646741</v>
      </c>
      <c r="FU165" s="84" t="n">
        <f aca="false">FS165-FT165</f>
        <v>21656.2026586964</v>
      </c>
      <c r="FV165" s="133" t="n">
        <f aca="false">FH165+$D165*Inputs!$K$13</f>
        <v>0</v>
      </c>
      <c r="FW165" s="84" t="n">
        <f aca="false">MIN(FT165,FV165)</f>
        <v>0</v>
      </c>
      <c r="FX165" s="84" t="n">
        <f aca="false">FV165-FW165</f>
        <v>0</v>
      </c>
      <c r="FY165" s="84" t="n">
        <f aca="false">FK165+$G165*(FV165+FK165)</f>
        <v>0</v>
      </c>
      <c r="FZ165" s="84" t="n">
        <f aca="false">MIN(FT165-FW165,FY165)</f>
        <v>0</v>
      </c>
      <c r="GA165" s="84" t="n">
        <f aca="false">FY165-FZ165</f>
        <v>0</v>
      </c>
      <c r="GB165" s="84" t="n">
        <f aca="false">IF($H165=1,MIN(FT165-FW165-FZ165,MAX(0,$F165/(1-$F165)*(FP165+FZ165)-FQ165)),0)</f>
        <v>0</v>
      </c>
      <c r="GC165" s="84" t="n">
        <f aca="false">FT165-FW165-FZ165-GB165</f>
        <v>5414.0506646741</v>
      </c>
      <c r="GD165" s="84" t="n">
        <f aca="false">FW165+FZ165+(1-$F165)*GC165</f>
        <v>4601.94306497298</v>
      </c>
      <c r="GE165" s="84" t="n">
        <f aca="false">GB165+$F165*GC165</f>
        <v>812.107599701115</v>
      </c>
      <c r="GF165" s="84" t="n">
        <f aca="false">FP165+FZ165+(1-$F165)*GC165</f>
        <v>8606.92324064837</v>
      </c>
      <c r="GG165" s="84" t="n">
        <f aca="false">FQ165+GE165</f>
        <v>1518.86880717324</v>
      </c>
      <c r="GH165" s="133" t="n">
        <f aca="false">FU165+$D165*Inputs!$L$13-$D165*$E165</f>
        <v>21386.2026586964</v>
      </c>
      <c r="GI165" s="84" t="n">
        <f aca="false">GH165*(1+$I165)</f>
        <v>25663.4431904357</v>
      </c>
      <c r="GJ165" s="133" t="n">
        <f aca="false">GI165*Inputs!$L$14</f>
        <v>25663.4431904357</v>
      </c>
      <c r="GK165" s="84" t="n">
        <f aca="false">GI165-GJ165</f>
        <v>0</v>
      </c>
      <c r="GL165" s="133" t="n">
        <f aca="false">FX165+$D165*Inputs!$L$13</f>
        <v>0</v>
      </c>
      <c r="GM165" s="84" t="n">
        <f aca="false">MIN(GJ165,GL165)</f>
        <v>0</v>
      </c>
      <c r="GN165" s="84" t="n">
        <f aca="false">GL165-GM165</f>
        <v>0</v>
      </c>
      <c r="GO165" s="84" t="n">
        <f aca="false">GA165+$G165*(GL165+GA165)</f>
        <v>0</v>
      </c>
      <c r="GP165" s="84" t="n">
        <f aca="false">MIN(GJ165-GM165,GO165)</f>
        <v>0</v>
      </c>
      <c r="GQ165" s="84" t="n">
        <f aca="false">GO165-GP165</f>
        <v>0</v>
      </c>
      <c r="GR165" s="84" t="n">
        <f aca="false">IF($H165=1,MIN(GJ165-GM165-GP165,MAX(0,$F165/(1-$F165)*(GF165+GP165)-GG165)),0)</f>
        <v>0</v>
      </c>
      <c r="GS165" s="84" t="n">
        <f aca="false">GJ165-GM165-GP165-GR165</f>
        <v>25663.4431904357</v>
      </c>
      <c r="GT165" s="84" t="n">
        <f aca="false">GM165+GP165+(1-$F165)*GS165</f>
        <v>21813.9267118703</v>
      </c>
      <c r="GU165" s="84" t="n">
        <f aca="false">GR165+$F165*GS165</f>
        <v>3849.51647856535</v>
      </c>
      <c r="GV165" s="84" t="n">
        <f aca="false">GF165+GP165+(1-$F165)*GS165</f>
        <v>30420.8499525187</v>
      </c>
      <c r="GW165" s="84" t="n">
        <f aca="false">GG165+GU165</f>
        <v>5368.38528573859</v>
      </c>
    </row>
    <row r="166" customFormat="false" ht="15" hidden="false" customHeight="false" outlineLevel="0" collapsed="false">
      <c r="A166" s="5" t="s">
        <v>641</v>
      </c>
      <c r="B166" s="5" t="s">
        <v>429</v>
      </c>
      <c r="C166" s="135" t="n">
        <v>21</v>
      </c>
      <c r="D166" s="47" t="n">
        <f aca="false">Inputs!$C$6</f>
        <v>20000</v>
      </c>
      <c r="E166" s="35" t="n">
        <f aca="false">Inputs!$C$19</f>
        <v>0.0135</v>
      </c>
      <c r="F166" s="36" t="n">
        <f aca="false">Inputs!$C$21</f>
        <v>0.15</v>
      </c>
      <c r="G166" s="30" t="n">
        <v>0</v>
      </c>
      <c r="H166" s="27" t="n">
        <v>0</v>
      </c>
      <c r="I166" s="132" t="n">
        <f aca="false">Inputs!$C$38+$C166*Inputs!$C$39</f>
        <v>0.21</v>
      </c>
      <c r="J166" s="36" t="n">
        <f aca="false">Inputs!$C$9</f>
        <v>0.15</v>
      </c>
      <c r="K166" s="89" t="n">
        <f aca="false">IRR(W166:AG166,0.1)</f>
        <v>0.174532969003032</v>
      </c>
      <c r="L166" s="45" t="n">
        <f aca="false">W166+NPV($J166,X166:AG166)</f>
        <v>2065.48943576987</v>
      </c>
      <c r="M166" s="45" t="n">
        <f aca="false">SUM(BF166,BV166,CL166,DB166,DR166,EH166,EX166,FN166,GD166,GT166)</f>
        <v>53214.7798856147</v>
      </c>
      <c r="N166" s="43" t="n">
        <f aca="false">IF($D166*SUM(Inputs!$C$13:$L$13)=0,0,M166/($D166*SUM(Inputs!$C$13:$L$13)))</f>
        <v>2.66073899428074</v>
      </c>
      <c r="O166" s="42" t="n">
        <f aca="false">$D166*$E166*COLUMNS(Inputs!$C$13:$L$13)</f>
        <v>2700</v>
      </c>
      <c r="P166" s="45" t="n">
        <f aca="false">SUM(BG166,BW166,CM166,DC166,DS166,EI166,EY166,FO166,GE166,GU166)</f>
        <v>5861.43174452025</v>
      </c>
      <c r="Q166" s="42" t="n">
        <f aca="false">PV($J166,COLUMNS(Inputs!$C$13:$L$13),-$D166*$E166,0,1)</f>
        <v>1558.32765832774</v>
      </c>
      <c r="R166" s="45" t="n">
        <f aca="false">NPV($J166,BG166,BW166,CM166,DC166,DS166,EI166,EY166,FO166,GE166,GU166)</f>
        <v>1549.45037858507</v>
      </c>
      <c r="S166" s="45" t="n">
        <f aca="false">Q166+R166</f>
        <v>3107.7780369128</v>
      </c>
      <c r="T166" s="32" t="n">
        <f aca="false">IF(S166=0,0,Q166/S166)</f>
        <v>0.501428235806617</v>
      </c>
      <c r="U166" s="45" t="n">
        <f aca="false">ROUND(ABS(GK166)+ABS(SUM(AV166,BL166,CB166,CR166,DH166,DX166,EN166,FD166,FT166,GJ166)-M166-P166)+ABS(S166-(AH166+NPV($J166,AI166:AR166))),6)</f>
        <v>0</v>
      </c>
      <c r="W166" s="133" t="n">
        <f aca="false">-$D166*Inputs!$C$13</f>
        <v>-4000</v>
      </c>
      <c r="X166" s="133" t="n">
        <f aca="false">BF166-$D166*Inputs!$D$13</f>
        <v>-4000</v>
      </c>
      <c r="Y166" s="133" t="n">
        <f aca="false">BV166-$D166*Inputs!$E$13</f>
        <v>-4000</v>
      </c>
      <c r="Z166" s="133" t="n">
        <f aca="false">CL166-$D166*Inputs!$F$13</f>
        <v>-4000</v>
      </c>
      <c r="AA166" s="133" t="n">
        <f aca="false">DB166-$D166*Inputs!$G$13</f>
        <v>-4000</v>
      </c>
      <c r="AB166" s="133" t="n">
        <f aca="false">DR166-$D166*Inputs!$H$13</f>
        <v>6850.5122334946</v>
      </c>
      <c r="AC166" s="133" t="n">
        <f aca="false">EH166-$D166*Inputs!$I$13</f>
        <v>6565.95584202277</v>
      </c>
      <c r="AD166" s="133" t="n">
        <f aca="false">EX166-$D166*Inputs!$J$13</f>
        <v>6290.50525507804</v>
      </c>
      <c r="AE166" s="133" t="n">
        <f aca="false">FN166-$D166*Inputs!$K$13</f>
        <v>5164.2427242889</v>
      </c>
      <c r="AF166" s="133" t="n">
        <f aca="false">GD166-$D166*Inputs!$L$13</f>
        <v>4900.90048471411</v>
      </c>
      <c r="AG166" s="84" t="n">
        <f aca="false">GT166</f>
        <v>23442.6633460163</v>
      </c>
      <c r="AH166" s="84" t="n">
        <f aca="false">$D166*$E166</f>
        <v>270</v>
      </c>
      <c r="AI166" s="84" t="n">
        <f aca="false">BG166+$D166*$E166</f>
        <v>270</v>
      </c>
      <c r="AJ166" s="84" t="n">
        <f aca="false">BW166+$D166*$E166</f>
        <v>270</v>
      </c>
      <c r="AK166" s="84" t="n">
        <f aca="false">CM166+$D166*$E166</f>
        <v>270</v>
      </c>
      <c r="AL166" s="84" t="n">
        <f aca="false">DC166+$D166*$E166</f>
        <v>270</v>
      </c>
      <c r="AM166" s="84" t="n">
        <f aca="false">DS166+$D166*$E166</f>
        <v>270</v>
      </c>
      <c r="AN166" s="84" t="n">
        <f aca="false">EI166+$D166*$E166</f>
        <v>270</v>
      </c>
      <c r="AO166" s="84" t="n">
        <f aca="false">EY166+$D166*$E166</f>
        <v>270</v>
      </c>
      <c r="AP166" s="84" t="n">
        <f aca="false">FO166+$D166*$E166</f>
        <v>1129.62636262664</v>
      </c>
      <c r="AQ166" s="84" t="n">
        <f aca="false">GE166+$D166*$E166</f>
        <v>1134.86479142014</v>
      </c>
      <c r="AR166" s="84" t="n">
        <f aca="false">GU166</f>
        <v>4136.94059047346</v>
      </c>
      <c r="AT166" s="133" t="n">
        <f aca="false">$D166*Inputs!$C$13-$D166*$E166</f>
        <v>3730</v>
      </c>
      <c r="AU166" s="84" t="n">
        <f aca="false">AT166*(1+$I166)</f>
        <v>4513.3</v>
      </c>
      <c r="AV166" s="133" t="n">
        <f aca="false">AU166*Inputs!$C$14</f>
        <v>0</v>
      </c>
      <c r="AW166" s="84" t="n">
        <f aca="false">AU166-AV166</f>
        <v>4513.3</v>
      </c>
      <c r="AX166" s="133" t="n">
        <f aca="false">$D166*Inputs!$C$13</f>
        <v>4000</v>
      </c>
      <c r="AY166" s="84" t="n">
        <f aca="false">MIN(AV166,AX166)</f>
        <v>0</v>
      </c>
      <c r="AZ166" s="84" t="n">
        <f aca="false">AX166-AY166</f>
        <v>4000</v>
      </c>
      <c r="BA166" s="84" t="n">
        <f aca="false">$G166*AX166</f>
        <v>0</v>
      </c>
      <c r="BB166" s="84" t="n">
        <f aca="false">MIN(AV166-AY166,BA166)</f>
        <v>0</v>
      </c>
      <c r="BC166" s="84" t="n">
        <f aca="false">BA166-BB166</f>
        <v>0</v>
      </c>
      <c r="BD166" s="84" t="n">
        <f aca="false">IF($H166=1,MIN(AV166-AY166-BB166,MAX(0,$F166/(1-$F166)*BB166)),0)</f>
        <v>0</v>
      </c>
      <c r="BE166" s="84" t="n">
        <f aca="false">AV166-AY166-BB166-BD166</f>
        <v>0</v>
      </c>
      <c r="BF166" s="84" t="n">
        <f aca="false">AY166+BB166+(1-$F166)*BE166</f>
        <v>0</v>
      </c>
      <c r="BG166" s="84" t="n">
        <f aca="false">BD166+$F166*BE166</f>
        <v>0</v>
      </c>
      <c r="BH166" s="84" t="n">
        <f aca="false">BB166+(1-$F166)*BE166</f>
        <v>0</v>
      </c>
      <c r="BI166" s="84" t="n">
        <f aca="false">BG166</f>
        <v>0</v>
      </c>
      <c r="BJ166" s="133" t="n">
        <f aca="false">AW166+$D166*Inputs!$D$13-$D166*$E166</f>
        <v>8243.3</v>
      </c>
      <c r="BK166" s="84" t="n">
        <f aca="false">BJ166*(1+$I166)</f>
        <v>9974.393</v>
      </c>
      <c r="BL166" s="133" t="n">
        <f aca="false">BK166*Inputs!$D$14</f>
        <v>0</v>
      </c>
      <c r="BM166" s="84" t="n">
        <f aca="false">BK166-BL166</f>
        <v>9974.393</v>
      </c>
      <c r="BN166" s="133" t="n">
        <f aca="false">AZ166+$D166*Inputs!$D$13</f>
        <v>8000</v>
      </c>
      <c r="BO166" s="84" t="n">
        <f aca="false">MIN(BL166,BN166)</f>
        <v>0</v>
      </c>
      <c r="BP166" s="84" t="n">
        <f aca="false">BN166-BO166</f>
        <v>8000</v>
      </c>
      <c r="BQ166" s="84" t="n">
        <f aca="false">BC166+$G166*(BN166+BC166)</f>
        <v>0</v>
      </c>
      <c r="BR166" s="84" t="n">
        <f aca="false">MIN(BL166-BO166,BQ166)</f>
        <v>0</v>
      </c>
      <c r="BS166" s="84" t="n">
        <f aca="false">BQ166-BR166</f>
        <v>0</v>
      </c>
      <c r="BT166" s="84" t="n">
        <f aca="false">IF($H166=1,MIN(BL166-BO166-BR166,MAX(0,$F166/(1-$F166)*(BH166+BR166)-BI166)),0)</f>
        <v>0</v>
      </c>
      <c r="BU166" s="84" t="n">
        <f aca="false">BL166-BO166-BR166-BT166</f>
        <v>0</v>
      </c>
      <c r="BV166" s="84" t="n">
        <f aca="false">BO166+BR166+(1-$F166)*BU166</f>
        <v>0</v>
      </c>
      <c r="BW166" s="84" t="n">
        <f aca="false">BT166+$F166*BU166</f>
        <v>0</v>
      </c>
      <c r="BX166" s="84" t="n">
        <f aca="false">BH166+BR166+(1-$F166)*BU166</f>
        <v>0</v>
      </c>
      <c r="BY166" s="84" t="n">
        <f aca="false">BI166+BW166</f>
        <v>0</v>
      </c>
      <c r="BZ166" s="133" t="n">
        <f aca="false">BM166+$D166*Inputs!$E$13-$D166*$E166</f>
        <v>13704.393</v>
      </c>
      <c r="CA166" s="84" t="n">
        <f aca="false">BZ166*(1+$I166)</f>
        <v>16582.31553</v>
      </c>
      <c r="CB166" s="133" t="n">
        <f aca="false">CA166*Inputs!$E$14</f>
        <v>0</v>
      </c>
      <c r="CC166" s="84" t="n">
        <f aca="false">CA166-CB166</f>
        <v>16582.31553</v>
      </c>
      <c r="CD166" s="133" t="n">
        <f aca="false">BP166+$D166*Inputs!$E$13</f>
        <v>12000</v>
      </c>
      <c r="CE166" s="84" t="n">
        <f aca="false">MIN(CB166,CD166)</f>
        <v>0</v>
      </c>
      <c r="CF166" s="84" t="n">
        <f aca="false">CD166-CE166</f>
        <v>12000</v>
      </c>
      <c r="CG166" s="84" t="n">
        <f aca="false">BS166+$G166*(CD166+BS166)</f>
        <v>0</v>
      </c>
      <c r="CH166" s="84" t="n">
        <f aca="false">MIN(CB166-CE166,CG166)</f>
        <v>0</v>
      </c>
      <c r="CI166" s="84" t="n">
        <f aca="false">CG166-CH166</f>
        <v>0</v>
      </c>
      <c r="CJ166" s="84" t="n">
        <f aca="false">IF($H166=1,MIN(CB166-CE166-CH166,MAX(0,$F166/(1-$F166)*(BX166+CH166)-BY166)),0)</f>
        <v>0</v>
      </c>
      <c r="CK166" s="84" t="n">
        <f aca="false">CB166-CE166-CH166-CJ166</f>
        <v>0</v>
      </c>
      <c r="CL166" s="84" t="n">
        <f aca="false">CE166+CH166+(1-$F166)*CK166</f>
        <v>0</v>
      </c>
      <c r="CM166" s="84" t="n">
        <f aca="false">CJ166+$F166*CK166</f>
        <v>0</v>
      </c>
      <c r="CN166" s="84" t="n">
        <f aca="false">BX166+CH166+(1-$F166)*CK166</f>
        <v>0</v>
      </c>
      <c r="CO166" s="84" t="n">
        <f aca="false">BY166+CM166</f>
        <v>0</v>
      </c>
      <c r="CP166" s="133" t="n">
        <f aca="false">CC166+$D166*Inputs!$F$13-$D166*$E166</f>
        <v>20312.31553</v>
      </c>
      <c r="CQ166" s="84" t="n">
        <f aca="false">CP166*(1+$I166)</f>
        <v>24577.9017913</v>
      </c>
      <c r="CR166" s="133" t="n">
        <f aca="false">CQ166*Inputs!$F$14</f>
        <v>0</v>
      </c>
      <c r="CS166" s="84" t="n">
        <f aca="false">CQ166-CR166</f>
        <v>24577.9017913</v>
      </c>
      <c r="CT166" s="133" t="n">
        <f aca="false">CF166+$D166*Inputs!$F$13</f>
        <v>16000</v>
      </c>
      <c r="CU166" s="84" t="n">
        <f aca="false">MIN(CR166,CT166)</f>
        <v>0</v>
      </c>
      <c r="CV166" s="84" t="n">
        <f aca="false">CT166-CU166</f>
        <v>16000</v>
      </c>
      <c r="CW166" s="84" t="n">
        <f aca="false">CI166+$G166*(CT166+CI166)</f>
        <v>0</v>
      </c>
      <c r="CX166" s="84" t="n">
        <f aca="false">MIN(CR166-CU166,CW166)</f>
        <v>0</v>
      </c>
      <c r="CY166" s="84" t="n">
        <f aca="false">CW166-CX166</f>
        <v>0</v>
      </c>
      <c r="CZ166" s="84" t="n">
        <f aca="false">IF($H166=1,MIN(CR166-CU166-CX166,MAX(0,$F166/(1-$F166)*(CN166+CX166)-CO166)),0)</f>
        <v>0</v>
      </c>
      <c r="DA166" s="84" t="n">
        <f aca="false">CR166-CU166-CX166-CZ166</f>
        <v>0</v>
      </c>
      <c r="DB166" s="84" t="n">
        <f aca="false">CU166+CX166+(1-$F166)*DA166</f>
        <v>0</v>
      </c>
      <c r="DC166" s="84" t="n">
        <f aca="false">CZ166+$F166*DA166</f>
        <v>0</v>
      </c>
      <c r="DD166" s="84" t="n">
        <f aca="false">CN166+CX166+(1-$F166)*DA166</f>
        <v>0</v>
      </c>
      <c r="DE166" s="84" t="n">
        <f aca="false">CO166+DC166</f>
        <v>0</v>
      </c>
      <c r="DF166" s="133" t="n">
        <f aca="false">CS166+$D166*Inputs!$G$13-$D166*$E166</f>
        <v>28307.9017913</v>
      </c>
      <c r="DG166" s="84" t="n">
        <f aca="false">DF166*(1+$I166)</f>
        <v>34252.561167473</v>
      </c>
      <c r="DH166" s="133" t="n">
        <f aca="false">DG166*Inputs!$G$14</f>
        <v>6850.5122334946</v>
      </c>
      <c r="DI166" s="84" t="n">
        <f aca="false">DG166-DH166</f>
        <v>27402.0489339784</v>
      </c>
      <c r="DJ166" s="133" t="n">
        <f aca="false">CV166+$D166*Inputs!$G$13</f>
        <v>20000</v>
      </c>
      <c r="DK166" s="84" t="n">
        <f aca="false">MIN(DH166,DJ166)</f>
        <v>6850.5122334946</v>
      </c>
      <c r="DL166" s="84" t="n">
        <f aca="false">DJ166-DK166</f>
        <v>13149.4877665054</v>
      </c>
      <c r="DM166" s="84" t="n">
        <f aca="false">CY166+$G166*(DJ166+CY166)</f>
        <v>0</v>
      </c>
      <c r="DN166" s="84" t="n">
        <f aca="false">MIN(DH166-DK166,DM166)</f>
        <v>0</v>
      </c>
      <c r="DO166" s="84" t="n">
        <f aca="false">DM166-DN166</f>
        <v>0</v>
      </c>
      <c r="DP166" s="84" t="n">
        <f aca="false">IF($H166=1,MIN(DH166-DK166-DN166,MAX(0,$F166/(1-$F166)*(DD166+DN166)-DE166)),0)</f>
        <v>0</v>
      </c>
      <c r="DQ166" s="84" t="n">
        <f aca="false">DH166-DK166-DN166-DP166</f>
        <v>0</v>
      </c>
      <c r="DR166" s="84" t="n">
        <f aca="false">DK166+DN166+(1-$F166)*DQ166</f>
        <v>6850.5122334946</v>
      </c>
      <c r="DS166" s="84" t="n">
        <f aca="false">DP166+$F166*DQ166</f>
        <v>0</v>
      </c>
      <c r="DT166" s="84" t="n">
        <f aca="false">DD166+DN166+(1-$F166)*DQ166</f>
        <v>0</v>
      </c>
      <c r="DU166" s="84" t="n">
        <f aca="false">DE166+DS166</f>
        <v>0</v>
      </c>
      <c r="DV166" s="133" t="n">
        <f aca="false">DI166+$D166*Inputs!$H$13-$D166*$E166</f>
        <v>27132.0489339784</v>
      </c>
      <c r="DW166" s="84" t="n">
        <f aca="false">DV166*(1+$I166)</f>
        <v>32829.7792101139</v>
      </c>
      <c r="DX166" s="133" t="n">
        <f aca="false">DW166*Inputs!$H$14</f>
        <v>6565.95584202277</v>
      </c>
      <c r="DY166" s="84" t="n">
        <f aca="false">DW166-DX166</f>
        <v>26263.8233680911</v>
      </c>
      <c r="DZ166" s="133" t="n">
        <f aca="false">DL166+$D166*Inputs!$H$13</f>
        <v>13149.4877665054</v>
      </c>
      <c r="EA166" s="84" t="n">
        <f aca="false">MIN(DX166,DZ166)</f>
        <v>6565.95584202277</v>
      </c>
      <c r="EB166" s="84" t="n">
        <f aca="false">DZ166-EA166</f>
        <v>6583.53192448263</v>
      </c>
      <c r="EC166" s="84" t="n">
        <f aca="false">DO166+$G166*(DZ166+DO166)</f>
        <v>0</v>
      </c>
      <c r="ED166" s="84" t="n">
        <f aca="false">MIN(DX166-EA166,EC166)</f>
        <v>0</v>
      </c>
      <c r="EE166" s="84" t="n">
        <f aca="false">EC166-ED166</f>
        <v>0</v>
      </c>
      <c r="EF166" s="84" t="n">
        <f aca="false">IF($H166=1,MIN(DX166-EA166-ED166,MAX(0,$F166/(1-$F166)*(DT166+ED166)-DU166)),0)</f>
        <v>0</v>
      </c>
      <c r="EG166" s="84" t="n">
        <f aca="false">DX166-EA166-ED166-EF166</f>
        <v>0</v>
      </c>
      <c r="EH166" s="84" t="n">
        <f aca="false">EA166+ED166+(1-$F166)*EG166</f>
        <v>6565.95584202277</v>
      </c>
      <c r="EI166" s="84" t="n">
        <f aca="false">EF166+$F166*EG166</f>
        <v>0</v>
      </c>
      <c r="EJ166" s="84" t="n">
        <f aca="false">DT166+ED166+(1-$F166)*EG166</f>
        <v>0</v>
      </c>
      <c r="EK166" s="84" t="n">
        <f aca="false">DU166+EI166</f>
        <v>0</v>
      </c>
      <c r="EL166" s="133" t="n">
        <f aca="false">DY166+$D166*Inputs!$I$13-$D166*$E166</f>
        <v>25993.8233680911</v>
      </c>
      <c r="EM166" s="84" t="n">
        <f aca="false">EL166*(1+$I166)</f>
        <v>31452.5262753902</v>
      </c>
      <c r="EN166" s="133" t="n">
        <f aca="false">EM166*Inputs!$I$14</f>
        <v>6290.50525507804</v>
      </c>
      <c r="EO166" s="84" t="n">
        <f aca="false">EM166-EN166</f>
        <v>25162.0210203122</v>
      </c>
      <c r="EP166" s="133" t="n">
        <f aca="false">EB166+$D166*Inputs!$I$13</f>
        <v>6583.53192448263</v>
      </c>
      <c r="EQ166" s="84" t="n">
        <f aca="false">MIN(EN166,EP166)</f>
        <v>6290.50525507804</v>
      </c>
      <c r="ER166" s="84" t="n">
        <f aca="false">EP166-EQ166</f>
        <v>293.026669404584</v>
      </c>
      <c r="ES166" s="84" t="n">
        <f aca="false">EE166+$G166*(EP166+EE166)</f>
        <v>0</v>
      </c>
      <c r="ET166" s="84" t="n">
        <f aca="false">MIN(EN166-EQ166,ES166)</f>
        <v>0</v>
      </c>
      <c r="EU166" s="84" t="n">
        <f aca="false">ES166-ET166</f>
        <v>0</v>
      </c>
      <c r="EV166" s="84" t="n">
        <f aca="false">IF($H166=1,MIN(EN166-EQ166-ET166,MAX(0,$F166/(1-$F166)*(EJ166+ET166)-EK166)),0)</f>
        <v>0</v>
      </c>
      <c r="EW166" s="84" t="n">
        <f aca="false">EN166-EQ166-ET166-EV166</f>
        <v>0</v>
      </c>
      <c r="EX166" s="84" t="n">
        <f aca="false">EQ166+ET166+(1-$F166)*EW166</f>
        <v>6290.50525507804</v>
      </c>
      <c r="EY166" s="84" t="n">
        <f aca="false">EV166+$F166*EW166</f>
        <v>0</v>
      </c>
      <c r="EZ166" s="84" t="n">
        <f aca="false">EJ166+ET166+(1-$F166)*EW166</f>
        <v>0</v>
      </c>
      <c r="FA166" s="84" t="n">
        <f aca="false">EK166+EY166</f>
        <v>0</v>
      </c>
      <c r="FB166" s="133" t="n">
        <f aca="false">EO166+$D166*Inputs!$J$13-$D166*$E166</f>
        <v>24892.0210203122</v>
      </c>
      <c r="FC166" s="84" t="n">
        <f aca="false">FB166*(1+$I166)</f>
        <v>30119.3454345777</v>
      </c>
      <c r="FD166" s="133" t="n">
        <f aca="false">FC166*Inputs!$J$14</f>
        <v>6023.86908691555</v>
      </c>
      <c r="FE166" s="84" t="n">
        <f aca="false">FC166-FD166</f>
        <v>24095.4763476622</v>
      </c>
      <c r="FF166" s="133" t="n">
        <f aca="false">ER166+$D166*Inputs!$J$13</f>
        <v>293.026669404584</v>
      </c>
      <c r="FG166" s="84" t="n">
        <f aca="false">MIN(FD166,FF166)</f>
        <v>293.026669404584</v>
      </c>
      <c r="FH166" s="84" t="n">
        <f aca="false">FF166-FG166</f>
        <v>0</v>
      </c>
      <c r="FI166" s="84" t="n">
        <f aca="false">EU166+$G166*(FF166+EU166)</f>
        <v>0</v>
      </c>
      <c r="FJ166" s="84" t="n">
        <f aca="false">MIN(FD166-FG166,FI166)</f>
        <v>0</v>
      </c>
      <c r="FK166" s="84" t="n">
        <f aca="false">FI166-FJ166</f>
        <v>0</v>
      </c>
      <c r="FL166" s="84" t="n">
        <f aca="false">IF($H166=1,MIN(FD166-FG166-FJ166,MAX(0,$F166/(1-$F166)*(EZ166+FJ166)-FA166)),0)</f>
        <v>0</v>
      </c>
      <c r="FM166" s="84" t="n">
        <f aca="false">FD166-FG166-FJ166-FL166</f>
        <v>5730.84241751096</v>
      </c>
      <c r="FN166" s="84" t="n">
        <f aca="false">FG166+FJ166+(1-$F166)*FM166</f>
        <v>5164.2427242889</v>
      </c>
      <c r="FO166" s="84" t="n">
        <f aca="false">FL166+$F166*FM166</f>
        <v>859.626362626644</v>
      </c>
      <c r="FP166" s="84" t="n">
        <f aca="false">EZ166+FJ166+(1-$F166)*FM166</f>
        <v>4871.21605488432</v>
      </c>
      <c r="FQ166" s="84" t="n">
        <f aca="false">FA166+FO166</f>
        <v>859.626362626644</v>
      </c>
      <c r="FR166" s="133" t="n">
        <f aca="false">FE166+$D166*Inputs!$K$13-$D166*$E166</f>
        <v>23825.4763476622</v>
      </c>
      <c r="FS166" s="84" t="n">
        <f aca="false">FR166*(1+$I166)</f>
        <v>28828.8263806712</v>
      </c>
      <c r="FT166" s="133" t="n">
        <f aca="false">FS166*Inputs!$K$14</f>
        <v>5765.76527613425</v>
      </c>
      <c r="FU166" s="84" t="n">
        <f aca="false">FS166-FT166</f>
        <v>23063.061104537</v>
      </c>
      <c r="FV166" s="133" t="n">
        <f aca="false">FH166+$D166*Inputs!$K$13</f>
        <v>0</v>
      </c>
      <c r="FW166" s="84" t="n">
        <f aca="false">MIN(FT166,FV166)</f>
        <v>0</v>
      </c>
      <c r="FX166" s="84" t="n">
        <f aca="false">FV166-FW166</f>
        <v>0</v>
      </c>
      <c r="FY166" s="84" t="n">
        <f aca="false">FK166+$G166*(FV166+FK166)</f>
        <v>0</v>
      </c>
      <c r="FZ166" s="84" t="n">
        <f aca="false">MIN(FT166-FW166,FY166)</f>
        <v>0</v>
      </c>
      <c r="GA166" s="84" t="n">
        <f aca="false">FY166-FZ166</f>
        <v>0</v>
      </c>
      <c r="GB166" s="84" t="n">
        <f aca="false">IF($H166=1,MIN(FT166-FW166-FZ166,MAX(0,$F166/(1-$F166)*(FP166+FZ166)-FQ166)),0)</f>
        <v>0</v>
      </c>
      <c r="GC166" s="84" t="n">
        <f aca="false">FT166-FW166-FZ166-GB166</f>
        <v>5765.76527613425</v>
      </c>
      <c r="GD166" s="84" t="n">
        <f aca="false">FW166+FZ166+(1-$F166)*GC166</f>
        <v>4900.90048471411</v>
      </c>
      <c r="GE166" s="84" t="n">
        <f aca="false">GB166+$F166*GC166</f>
        <v>864.864791420137</v>
      </c>
      <c r="GF166" s="84" t="n">
        <f aca="false">FP166+FZ166+(1-$F166)*GC166</f>
        <v>9772.11653959843</v>
      </c>
      <c r="GG166" s="84" t="n">
        <f aca="false">FQ166+GE166</f>
        <v>1724.49115404678</v>
      </c>
      <c r="GH166" s="133" t="n">
        <f aca="false">FU166+$D166*Inputs!$L$13-$D166*$E166</f>
        <v>22793.061104537</v>
      </c>
      <c r="GI166" s="84" t="n">
        <f aca="false">GH166*(1+$I166)</f>
        <v>27579.6039364898</v>
      </c>
      <c r="GJ166" s="133" t="n">
        <f aca="false">GI166*Inputs!$L$14</f>
        <v>27579.6039364898</v>
      </c>
      <c r="GK166" s="84" t="n">
        <f aca="false">GI166-GJ166</f>
        <v>0</v>
      </c>
      <c r="GL166" s="133" t="n">
        <f aca="false">FX166+$D166*Inputs!$L$13</f>
        <v>0</v>
      </c>
      <c r="GM166" s="84" t="n">
        <f aca="false">MIN(GJ166,GL166)</f>
        <v>0</v>
      </c>
      <c r="GN166" s="84" t="n">
        <f aca="false">GL166-GM166</f>
        <v>0</v>
      </c>
      <c r="GO166" s="84" t="n">
        <f aca="false">GA166+$G166*(GL166+GA166)</f>
        <v>0</v>
      </c>
      <c r="GP166" s="84" t="n">
        <f aca="false">MIN(GJ166-GM166,GO166)</f>
        <v>0</v>
      </c>
      <c r="GQ166" s="84" t="n">
        <f aca="false">GO166-GP166</f>
        <v>0</v>
      </c>
      <c r="GR166" s="84" t="n">
        <f aca="false">IF($H166=1,MIN(GJ166-GM166-GP166,MAX(0,$F166/(1-$F166)*(GF166+GP166)-GG166)),0)</f>
        <v>0</v>
      </c>
      <c r="GS166" s="84" t="n">
        <f aca="false">GJ166-GM166-GP166-GR166</f>
        <v>27579.6039364898</v>
      </c>
      <c r="GT166" s="84" t="n">
        <f aca="false">GM166+GP166+(1-$F166)*GS166</f>
        <v>23442.6633460163</v>
      </c>
      <c r="GU166" s="84" t="n">
        <f aca="false">GR166+$F166*GS166</f>
        <v>4136.94059047346</v>
      </c>
      <c r="GV166" s="84" t="n">
        <f aca="false">GF166+GP166+(1-$F166)*GS166</f>
        <v>33214.7798856147</v>
      </c>
      <c r="GW166" s="84" t="n">
        <f aca="false">GG166+GU166</f>
        <v>5861.43174452025</v>
      </c>
    </row>
    <row r="167" customFormat="false" ht="15" hidden="false" customHeight="false" outlineLevel="0" collapsed="false">
      <c r="A167" s="5" t="s">
        <v>641</v>
      </c>
      <c r="B167" s="5" t="s">
        <v>429</v>
      </c>
      <c r="C167" s="135" t="n">
        <v>22</v>
      </c>
      <c r="D167" s="47" t="n">
        <f aca="false">Inputs!$C$6</f>
        <v>20000</v>
      </c>
      <c r="E167" s="35" t="n">
        <f aca="false">Inputs!$C$19</f>
        <v>0.0135</v>
      </c>
      <c r="F167" s="36" t="n">
        <f aca="false">Inputs!$C$21</f>
        <v>0.15</v>
      </c>
      <c r="G167" s="30" t="n">
        <v>0</v>
      </c>
      <c r="H167" s="27" t="n">
        <v>0</v>
      </c>
      <c r="I167" s="132" t="n">
        <f aca="false">Inputs!$C$38+$C167*Inputs!$C$39</f>
        <v>0.22</v>
      </c>
      <c r="J167" s="36" t="n">
        <f aca="false">Inputs!$C$9</f>
        <v>0.15</v>
      </c>
      <c r="K167" s="89" t="n">
        <f aca="false">IRR(W167:AG167,0.1)</f>
        <v>0.184128594517539</v>
      </c>
      <c r="L167" s="45" t="n">
        <f aca="false">W167+NPV($J167,X167:AG167)</f>
        <v>2947.82779312212</v>
      </c>
      <c r="M167" s="45" t="n">
        <f aca="false">SUM(BF167,BV167,CL167,DB167,DR167,EH167,EX167,FN167,GD167,GT167)</f>
        <v>56165.5612583044</v>
      </c>
      <c r="N167" s="43" t="n">
        <f aca="false">IF($D167*SUM(Inputs!$C$13:$L$13)=0,0,M167/($D167*SUM(Inputs!$C$13:$L$13)))</f>
        <v>2.80827806291522</v>
      </c>
      <c r="O167" s="42" t="n">
        <f aca="false">$D167*$E167*COLUMNS(Inputs!$C$13:$L$13)</f>
        <v>2700</v>
      </c>
      <c r="P167" s="45" t="n">
        <f aca="false">SUM(BG167,BW167,CM167,DC167,DS167,EI167,EY167,FO167,GE167,GU167)</f>
        <v>6382.15786911254</v>
      </c>
      <c r="Q167" s="42" t="n">
        <f aca="false">PV($J167,COLUMNS(Inputs!$C$13:$L$13),-$D167*$E167,0,1)</f>
        <v>1558.32765832774</v>
      </c>
      <c r="R167" s="45" t="n">
        <f aca="false">NPV($J167,BG167,BW167,CM167,DC167,DS167,EI167,EY167,FO167,GE167,GU167)</f>
        <v>1696.06414198759</v>
      </c>
      <c r="S167" s="45" t="n">
        <f aca="false">Q167+R167</f>
        <v>3254.39180031533</v>
      </c>
      <c r="T167" s="32" t="n">
        <f aca="false">IF(S167=0,0,Q167/S167)</f>
        <v>0.478838367948428</v>
      </c>
      <c r="U167" s="45" t="n">
        <f aca="false">ROUND(ABS(GK167)+ABS(SUM(AV167,BL167,CB167,CR167,DH167,DX167,EN167,FD167,FT167,GJ167)-M167-P167)+ABS(S167-(AH167+NPV($J167,AI167:AR167))),6)</f>
        <v>0</v>
      </c>
      <c r="W167" s="133" t="n">
        <f aca="false">-$D167*Inputs!$C$13</f>
        <v>-4000</v>
      </c>
      <c r="X167" s="133" t="n">
        <f aca="false">BF167-$D167*Inputs!$D$13</f>
        <v>-4000</v>
      </c>
      <c r="Y167" s="133" t="n">
        <f aca="false">BV167-$D167*Inputs!$E$13</f>
        <v>-4000</v>
      </c>
      <c r="Z167" s="133" t="n">
        <f aca="false">CL167-$D167*Inputs!$F$13</f>
        <v>-4000</v>
      </c>
      <c r="AA167" s="133" t="n">
        <f aca="false">DB167-$D167*Inputs!$G$13</f>
        <v>-4000</v>
      </c>
      <c r="AB167" s="133" t="n">
        <f aca="false">DR167-$D167*Inputs!$H$13</f>
        <v>7043.9488795072</v>
      </c>
      <c r="AC167" s="133" t="n">
        <f aca="false">EH167-$D167*Inputs!$I$13</f>
        <v>6809.01410639903</v>
      </c>
      <c r="AD167" s="133" t="n">
        <f aca="false">EX167-$D167*Inputs!$J$13</f>
        <v>6514.8156547827</v>
      </c>
      <c r="AE167" s="133" t="n">
        <f aca="false">FN167-$D167*Inputs!$K$13</f>
        <v>5402.53586020459</v>
      </c>
      <c r="AF167" s="133" t="n">
        <f aca="false">GD167-$D167*Inputs!$L$13</f>
        <v>5216.87699955968</v>
      </c>
      <c r="AG167" s="84" t="n">
        <f aca="false">GT167</f>
        <v>25178.3697578512</v>
      </c>
      <c r="AH167" s="84" t="n">
        <f aca="false">$D167*$E167</f>
        <v>270</v>
      </c>
      <c r="AI167" s="84" t="n">
        <f aca="false">BG167+$D167*$E167</f>
        <v>270</v>
      </c>
      <c r="AJ167" s="84" t="n">
        <f aca="false">BW167+$D167*$E167</f>
        <v>270</v>
      </c>
      <c r="AK167" s="84" t="n">
        <f aca="false">CM167+$D167*$E167</f>
        <v>270</v>
      </c>
      <c r="AL167" s="84" t="n">
        <f aca="false">DC167+$D167*$E167</f>
        <v>270</v>
      </c>
      <c r="AM167" s="84" t="n">
        <f aca="false">DS167+$D167*$E167</f>
        <v>270</v>
      </c>
      <c r="AN167" s="84" t="n">
        <f aca="false">EI167+$D167*$E167</f>
        <v>270</v>
      </c>
      <c r="AO167" s="84" t="n">
        <f aca="false">EY167+$D167*$E167</f>
        <v>334.902113062752</v>
      </c>
      <c r="AP167" s="84" t="n">
        <f aca="false">FO167+$D167*$E167</f>
        <v>1223.38868121257</v>
      </c>
      <c r="AQ167" s="84" t="n">
        <f aca="false">GE167+$D167*$E167</f>
        <v>1190.62535286347</v>
      </c>
      <c r="AR167" s="84" t="n">
        <f aca="false">GU167</f>
        <v>4443.24172197374</v>
      </c>
      <c r="AT167" s="133" t="n">
        <f aca="false">$D167*Inputs!$C$13-$D167*$E167</f>
        <v>3730</v>
      </c>
      <c r="AU167" s="84" t="n">
        <f aca="false">AT167*(1+$I167)</f>
        <v>4550.6</v>
      </c>
      <c r="AV167" s="133" t="n">
        <f aca="false">AU167*Inputs!$C$14</f>
        <v>0</v>
      </c>
      <c r="AW167" s="84" t="n">
        <f aca="false">AU167-AV167</f>
        <v>4550.6</v>
      </c>
      <c r="AX167" s="133" t="n">
        <f aca="false">$D167*Inputs!$C$13</f>
        <v>4000</v>
      </c>
      <c r="AY167" s="84" t="n">
        <f aca="false">MIN(AV167,AX167)</f>
        <v>0</v>
      </c>
      <c r="AZ167" s="84" t="n">
        <f aca="false">AX167-AY167</f>
        <v>4000</v>
      </c>
      <c r="BA167" s="84" t="n">
        <f aca="false">$G167*AX167</f>
        <v>0</v>
      </c>
      <c r="BB167" s="84" t="n">
        <f aca="false">MIN(AV167-AY167,BA167)</f>
        <v>0</v>
      </c>
      <c r="BC167" s="84" t="n">
        <f aca="false">BA167-BB167</f>
        <v>0</v>
      </c>
      <c r="BD167" s="84" t="n">
        <f aca="false">IF($H167=1,MIN(AV167-AY167-BB167,MAX(0,$F167/(1-$F167)*BB167)),0)</f>
        <v>0</v>
      </c>
      <c r="BE167" s="84" t="n">
        <f aca="false">AV167-AY167-BB167-BD167</f>
        <v>0</v>
      </c>
      <c r="BF167" s="84" t="n">
        <f aca="false">AY167+BB167+(1-$F167)*BE167</f>
        <v>0</v>
      </c>
      <c r="BG167" s="84" t="n">
        <f aca="false">BD167+$F167*BE167</f>
        <v>0</v>
      </c>
      <c r="BH167" s="84" t="n">
        <f aca="false">BB167+(1-$F167)*BE167</f>
        <v>0</v>
      </c>
      <c r="BI167" s="84" t="n">
        <f aca="false">BG167</f>
        <v>0</v>
      </c>
      <c r="BJ167" s="133" t="n">
        <f aca="false">AW167+$D167*Inputs!$D$13-$D167*$E167</f>
        <v>8280.6</v>
      </c>
      <c r="BK167" s="84" t="n">
        <f aca="false">BJ167*(1+$I167)</f>
        <v>10102.332</v>
      </c>
      <c r="BL167" s="133" t="n">
        <f aca="false">BK167*Inputs!$D$14</f>
        <v>0</v>
      </c>
      <c r="BM167" s="84" t="n">
        <f aca="false">BK167-BL167</f>
        <v>10102.332</v>
      </c>
      <c r="BN167" s="133" t="n">
        <f aca="false">AZ167+$D167*Inputs!$D$13</f>
        <v>8000</v>
      </c>
      <c r="BO167" s="84" t="n">
        <f aca="false">MIN(BL167,BN167)</f>
        <v>0</v>
      </c>
      <c r="BP167" s="84" t="n">
        <f aca="false">BN167-BO167</f>
        <v>8000</v>
      </c>
      <c r="BQ167" s="84" t="n">
        <f aca="false">BC167+$G167*(BN167+BC167)</f>
        <v>0</v>
      </c>
      <c r="BR167" s="84" t="n">
        <f aca="false">MIN(BL167-BO167,BQ167)</f>
        <v>0</v>
      </c>
      <c r="BS167" s="84" t="n">
        <f aca="false">BQ167-BR167</f>
        <v>0</v>
      </c>
      <c r="BT167" s="84" t="n">
        <f aca="false">IF($H167=1,MIN(BL167-BO167-BR167,MAX(0,$F167/(1-$F167)*(BH167+BR167)-BI167)),0)</f>
        <v>0</v>
      </c>
      <c r="BU167" s="84" t="n">
        <f aca="false">BL167-BO167-BR167-BT167</f>
        <v>0</v>
      </c>
      <c r="BV167" s="84" t="n">
        <f aca="false">BO167+BR167+(1-$F167)*BU167</f>
        <v>0</v>
      </c>
      <c r="BW167" s="84" t="n">
        <f aca="false">BT167+$F167*BU167</f>
        <v>0</v>
      </c>
      <c r="BX167" s="84" t="n">
        <f aca="false">BH167+BR167+(1-$F167)*BU167</f>
        <v>0</v>
      </c>
      <c r="BY167" s="84" t="n">
        <f aca="false">BI167+BW167</f>
        <v>0</v>
      </c>
      <c r="BZ167" s="133" t="n">
        <f aca="false">BM167+$D167*Inputs!$E$13-$D167*$E167</f>
        <v>13832.332</v>
      </c>
      <c r="CA167" s="84" t="n">
        <f aca="false">BZ167*(1+$I167)</f>
        <v>16875.44504</v>
      </c>
      <c r="CB167" s="133" t="n">
        <f aca="false">CA167*Inputs!$E$14</f>
        <v>0</v>
      </c>
      <c r="CC167" s="84" t="n">
        <f aca="false">CA167-CB167</f>
        <v>16875.44504</v>
      </c>
      <c r="CD167" s="133" t="n">
        <f aca="false">BP167+$D167*Inputs!$E$13</f>
        <v>12000</v>
      </c>
      <c r="CE167" s="84" t="n">
        <f aca="false">MIN(CB167,CD167)</f>
        <v>0</v>
      </c>
      <c r="CF167" s="84" t="n">
        <f aca="false">CD167-CE167</f>
        <v>12000</v>
      </c>
      <c r="CG167" s="84" t="n">
        <f aca="false">BS167+$G167*(CD167+BS167)</f>
        <v>0</v>
      </c>
      <c r="CH167" s="84" t="n">
        <f aca="false">MIN(CB167-CE167,CG167)</f>
        <v>0</v>
      </c>
      <c r="CI167" s="84" t="n">
        <f aca="false">CG167-CH167</f>
        <v>0</v>
      </c>
      <c r="CJ167" s="84" t="n">
        <f aca="false">IF($H167=1,MIN(CB167-CE167-CH167,MAX(0,$F167/(1-$F167)*(BX167+CH167)-BY167)),0)</f>
        <v>0</v>
      </c>
      <c r="CK167" s="84" t="n">
        <f aca="false">CB167-CE167-CH167-CJ167</f>
        <v>0</v>
      </c>
      <c r="CL167" s="84" t="n">
        <f aca="false">CE167+CH167+(1-$F167)*CK167</f>
        <v>0</v>
      </c>
      <c r="CM167" s="84" t="n">
        <f aca="false">CJ167+$F167*CK167</f>
        <v>0</v>
      </c>
      <c r="CN167" s="84" t="n">
        <f aca="false">BX167+CH167+(1-$F167)*CK167</f>
        <v>0</v>
      </c>
      <c r="CO167" s="84" t="n">
        <f aca="false">BY167+CM167</f>
        <v>0</v>
      </c>
      <c r="CP167" s="133" t="n">
        <f aca="false">CC167+$D167*Inputs!$F$13-$D167*$E167</f>
        <v>20605.44504</v>
      </c>
      <c r="CQ167" s="84" t="n">
        <f aca="false">CP167*(1+$I167)</f>
        <v>25138.6429488</v>
      </c>
      <c r="CR167" s="133" t="n">
        <f aca="false">CQ167*Inputs!$F$14</f>
        <v>0</v>
      </c>
      <c r="CS167" s="84" t="n">
        <f aca="false">CQ167-CR167</f>
        <v>25138.6429488</v>
      </c>
      <c r="CT167" s="133" t="n">
        <f aca="false">CF167+$D167*Inputs!$F$13</f>
        <v>16000</v>
      </c>
      <c r="CU167" s="84" t="n">
        <f aca="false">MIN(CR167,CT167)</f>
        <v>0</v>
      </c>
      <c r="CV167" s="84" t="n">
        <f aca="false">CT167-CU167</f>
        <v>16000</v>
      </c>
      <c r="CW167" s="84" t="n">
        <f aca="false">CI167+$G167*(CT167+CI167)</f>
        <v>0</v>
      </c>
      <c r="CX167" s="84" t="n">
        <f aca="false">MIN(CR167-CU167,CW167)</f>
        <v>0</v>
      </c>
      <c r="CY167" s="84" t="n">
        <f aca="false">CW167-CX167</f>
        <v>0</v>
      </c>
      <c r="CZ167" s="84" t="n">
        <f aca="false">IF($H167=1,MIN(CR167-CU167-CX167,MAX(0,$F167/(1-$F167)*(CN167+CX167)-CO167)),0)</f>
        <v>0</v>
      </c>
      <c r="DA167" s="84" t="n">
        <f aca="false">CR167-CU167-CX167-CZ167</f>
        <v>0</v>
      </c>
      <c r="DB167" s="84" t="n">
        <f aca="false">CU167+CX167+(1-$F167)*DA167</f>
        <v>0</v>
      </c>
      <c r="DC167" s="84" t="n">
        <f aca="false">CZ167+$F167*DA167</f>
        <v>0</v>
      </c>
      <c r="DD167" s="84" t="n">
        <f aca="false">CN167+CX167+(1-$F167)*DA167</f>
        <v>0</v>
      </c>
      <c r="DE167" s="84" t="n">
        <f aca="false">CO167+DC167</f>
        <v>0</v>
      </c>
      <c r="DF167" s="133" t="n">
        <f aca="false">CS167+$D167*Inputs!$G$13-$D167*$E167</f>
        <v>28868.6429488</v>
      </c>
      <c r="DG167" s="84" t="n">
        <f aca="false">DF167*(1+$I167)</f>
        <v>35219.744397536</v>
      </c>
      <c r="DH167" s="133" t="n">
        <f aca="false">DG167*Inputs!$G$14</f>
        <v>7043.9488795072</v>
      </c>
      <c r="DI167" s="84" t="n">
        <f aca="false">DG167-DH167</f>
        <v>28175.7955180288</v>
      </c>
      <c r="DJ167" s="133" t="n">
        <f aca="false">CV167+$D167*Inputs!$G$13</f>
        <v>20000</v>
      </c>
      <c r="DK167" s="84" t="n">
        <f aca="false">MIN(DH167,DJ167)</f>
        <v>7043.9488795072</v>
      </c>
      <c r="DL167" s="84" t="n">
        <f aca="false">DJ167-DK167</f>
        <v>12956.0511204928</v>
      </c>
      <c r="DM167" s="84" t="n">
        <f aca="false">CY167+$G167*(DJ167+CY167)</f>
        <v>0</v>
      </c>
      <c r="DN167" s="84" t="n">
        <f aca="false">MIN(DH167-DK167,DM167)</f>
        <v>0</v>
      </c>
      <c r="DO167" s="84" t="n">
        <f aca="false">DM167-DN167</f>
        <v>0</v>
      </c>
      <c r="DP167" s="84" t="n">
        <f aca="false">IF($H167=1,MIN(DH167-DK167-DN167,MAX(0,$F167/(1-$F167)*(DD167+DN167)-DE167)),0)</f>
        <v>0</v>
      </c>
      <c r="DQ167" s="84" t="n">
        <f aca="false">DH167-DK167-DN167-DP167</f>
        <v>0</v>
      </c>
      <c r="DR167" s="84" t="n">
        <f aca="false">DK167+DN167+(1-$F167)*DQ167</f>
        <v>7043.9488795072</v>
      </c>
      <c r="DS167" s="84" t="n">
        <f aca="false">DP167+$F167*DQ167</f>
        <v>0</v>
      </c>
      <c r="DT167" s="84" t="n">
        <f aca="false">DD167+DN167+(1-$F167)*DQ167</f>
        <v>0</v>
      </c>
      <c r="DU167" s="84" t="n">
        <f aca="false">DE167+DS167</f>
        <v>0</v>
      </c>
      <c r="DV167" s="133" t="n">
        <f aca="false">DI167+$D167*Inputs!$H$13-$D167*$E167</f>
        <v>27905.7955180288</v>
      </c>
      <c r="DW167" s="84" t="n">
        <f aca="false">DV167*(1+$I167)</f>
        <v>34045.0705319951</v>
      </c>
      <c r="DX167" s="133" t="n">
        <f aca="false">DW167*Inputs!$H$14</f>
        <v>6809.01410639903</v>
      </c>
      <c r="DY167" s="84" t="n">
        <f aca="false">DW167-DX167</f>
        <v>27236.0564255961</v>
      </c>
      <c r="DZ167" s="133" t="n">
        <f aca="false">DL167+$D167*Inputs!$H$13</f>
        <v>12956.0511204928</v>
      </c>
      <c r="EA167" s="84" t="n">
        <f aca="false">MIN(DX167,DZ167)</f>
        <v>6809.01410639903</v>
      </c>
      <c r="EB167" s="84" t="n">
        <f aca="false">DZ167-EA167</f>
        <v>6147.03701409377</v>
      </c>
      <c r="EC167" s="84" t="n">
        <f aca="false">DO167+$G167*(DZ167+DO167)</f>
        <v>0</v>
      </c>
      <c r="ED167" s="84" t="n">
        <f aca="false">MIN(DX167-EA167,EC167)</f>
        <v>0</v>
      </c>
      <c r="EE167" s="84" t="n">
        <f aca="false">EC167-ED167</f>
        <v>0</v>
      </c>
      <c r="EF167" s="84" t="n">
        <f aca="false">IF($H167=1,MIN(DX167-EA167-ED167,MAX(0,$F167/(1-$F167)*(DT167+ED167)-DU167)),0)</f>
        <v>0</v>
      </c>
      <c r="EG167" s="84" t="n">
        <f aca="false">DX167-EA167-ED167-EF167</f>
        <v>0</v>
      </c>
      <c r="EH167" s="84" t="n">
        <f aca="false">EA167+ED167+(1-$F167)*EG167</f>
        <v>6809.01410639903</v>
      </c>
      <c r="EI167" s="84" t="n">
        <f aca="false">EF167+$F167*EG167</f>
        <v>0</v>
      </c>
      <c r="EJ167" s="84" t="n">
        <f aca="false">DT167+ED167+(1-$F167)*EG167</f>
        <v>0</v>
      </c>
      <c r="EK167" s="84" t="n">
        <f aca="false">DU167+EI167</f>
        <v>0</v>
      </c>
      <c r="EL167" s="133" t="n">
        <f aca="false">DY167+$D167*Inputs!$I$13-$D167*$E167</f>
        <v>26966.0564255961</v>
      </c>
      <c r="EM167" s="84" t="n">
        <f aca="false">EL167*(1+$I167)</f>
        <v>32898.5888392273</v>
      </c>
      <c r="EN167" s="133" t="n">
        <f aca="false">EM167*Inputs!$I$14</f>
        <v>6579.71776784545</v>
      </c>
      <c r="EO167" s="84" t="n">
        <f aca="false">EM167-EN167</f>
        <v>26318.8710713818</v>
      </c>
      <c r="EP167" s="133" t="n">
        <f aca="false">EB167+$D167*Inputs!$I$13</f>
        <v>6147.03701409377</v>
      </c>
      <c r="EQ167" s="84" t="n">
        <f aca="false">MIN(EN167,EP167)</f>
        <v>6147.03701409377</v>
      </c>
      <c r="ER167" s="84" t="n">
        <f aca="false">EP167-EQ167</f>
        <v>0</v>
      </c>
      <c r="ES167" s="84" t="n">
        <f aca="false">EE167+$G167*(EP167+EE167)</f>
        <v>0</v>
      </c>
      <c r="ET167" s="84" t="n">
        <f aca="false">MIN(EN167-EQ167,ES167)</f>
        <v>0</v>
      </c>
      <c r="EU167" s="84" t="n">
        <f aca="false">ES167-ET167</f>
        <v>0</v>
      </c>
      <c r="EV167" s="84" t="n">
        <f aca="false">IF($H167=1,MIN(EN167-EQ167-ET167,MAX(0,$F167/(1-$F167)*(EJ167+ET167)-EK167)),0)</f>
        <v>0</v>
      </c>
      <c r="EW167" s="84" t="n">
        <f aca="false">EN167-EQ167-ET167-EV167</f>
        <v>432.680753751678</v>
      </c>
      <c r="EX167" s="84" t="n">
        <f aca="false">EQ167+ET167+(1-$F167)*EW167</f>
        <v>6514.8156547827</v>
      </c>
      <c r="EY167" s="84" t="n">
        <f aca="false">EV167+$F167*EW167</f>
        <v>64.9021130627517</v>
      </c>
      <c r="EZ167" s="84" t="n">
        <f aca="false">EJ167+ET167+(1-$F167)*EW167</f>
        <v>367.778640688926</v>
      </c>
      <c r="FA167" s="84" t="n">
        <f aca="false">EK167+EY167</f>
        <v>64.9021130627517</v>
      </c>
      <c r="FB167" s="133" t="n">
        <f aca="false">EO167+$D167*Inputs!$J$13-$D167*$E167</f>
        <v>26048.8710713818</v>
      </c>
      <c r="FC167" s="84" t="n">
        <f aca="false">FB167*(1+$I167)</f>
        <v>31779.6227070858</v>
      </c>
      <c r="FD167" s="133" t="n">
        <f aca="false">FC167*Inputs!$J$14</f>
        <v>6355.92454141716</v>
      </c>
      <c r="FE167" s="84" t="n">
        <f aca="false">FC167-FD167</f>
        <v>25423.6981656686</v>
      </c>
      <c r="FF167" s="133" t="n">
        <f aca="false">ER167+$D167*Inputs!$J$13</f>
        <v>0</v>
      </c>
      <c r="FG167" s="84" t="n">
        <f aca="false">MIN(FD167,FF167)</f>
        <v>0</v>
      </c>
      <c r="FH167" s="84" t="n">
        <f aca="false">FF167-FG167</f>
        <v>0</v>
      </c>
      <c r="FI167" s="84" t="n">
        <f aca="false">EU167+$G167*(FF167+EU167)</f>
        <v>0</v>
      </c>
      <c r="FJ167" s="84" t="n">
        <f aca="false">MIN(FD167-FG167,FI167)</f>
        <v>0</v>
      </c>
      <c r="FK167" s="84" t="n">
        <f aca="false">FI167-FJ167</f>
        <v>0</v>
      </c>
      <c r="FL167" s="84" t="n">
        <f aca="false">IF($H167=1,MIN(FD167-FG167-FJ167,MAX(0,$F167/(1-$F167)*(EZ167+FJ167)-FA167)),0)</f>
        <v>0</v>
      </c>
      <c r="FM167" s="84" t="n">
        <f aca="false">FD167-FG167-FJ167-FL167</f>
        <v>6355.92454141716</v>
      </c>
      <c r="FN167" s="84" t="n">
        <f aca="false">FG167+FJ167+(1-$F167)*FM167</f>
        <v>5402.53586020459</v>
      </c>
      <c r="FO167" s="84" t="n">
        <f aca="false">FL167+$F167*FM167</f>
        <v>953.388681212574</v>
      </c>
      <c r="FP167" s="84" t="n">
        <f aca="false">EZ167+FJ167+(1-$F167)*FM167</f>
        <v>5770.31450089351</v>
      </c>
      <c r="FQ167" s="84" t="n">
        <f aca="false">FA167+FO167</f>
        <v>1018.29079427533</v>
      </c>
      <c r="FR167" s="133" t="n">
        <f aca="false">FE167+$D167*Inputs!$K$13-$D167*$E167</f>
        <v>25153.6981656686</v>
      </c>
      <c r="FS167" s="84" t="n">
        <f aca="false">FR167*(1+$I167)</f>
        <v>30687.5117621157</v>
      </c>
      <c r="FT167" s="133" t="n">
        <f aca="false">FS167*Inputs!$K$14</f>
        <v>6137.50235242315</v>
      </c>
      <c r="FU167" s="84" t="n">
        <f aca="false">FS167-FT167</f>
        <v>24550.0094096926</v>
      </c>
      <c r="FV167" s="133" t="n">
        <f aca="false">FH167+$D167*Inputs!$K$13</f>
        <v>0</v>
      </c>
      <c r="FW167" s="84" t="n">
        <f aca="false">MIN(FT167,FV167)</f>
        <v>0</v>
      </c>
      <c r="FX167" s="84" t="n">
        <f aca="false">FV167-FW167</f>
        <v>0</v>
      </c>
      <c r="FY167" s="84" t="n">
        <f aca="false">FK167+$G167*(FV167+FK167)</f>
        <v>0</v>
      </c>
      <c r="FZ167" s="84" t="n">
        <f aca="false">MIN(FT167-FW167,FY167)</f>
        <v>0</v>
      </c>
      <c r="GA167" s="84" t="n">
        <f aca="false">FY167-FZ167</f>
        <v>0</v>
      </c>
      <c r="GB167" s="84" t="n">
        <f aca="false">IF($H167=1,MIN(FT167-FW167-FZ167,MAX(0,$F167/(1-$F167)*(FP167+FZ167)-FQ167)),0)</f>
        <v>0</v>
      </c>
      <c r="GC167" s="84" t="n">
        <f aca="false">FT167-FW167-FZ167-GB167</f>
        <v>6137.50235242315</v>
      </c>
      <c r="GD167" s="84" t="n">
        <f aca="false">FW167+FZ167+(1-$F167)*GC167</f>
        <v>5216.87699955968</v>
      </c>
      <c r="GE167" s="84" t="n">
        <f aca="false">GB167+$F167*GC167</f>
        <v>920.625352863472</v>
      </c>
      <c r="GF167" s="84" t="n">
        <f aca="false">FP167+FZ167+(1-$F167)*GC167</f>
        <v>10987.1915004532</v>
      </c>
      <c r="GG167" s="84" t="n">
        <f aca="false">FQ167+GE167</f>
        <v>1938.9161471388</v>
      </c>
      <c r="GH167" s="133" t="n">
        <f aca="false">FU167+$D167*Inputs!$L$13-$D167*$E167</f>
        <v>24280.0094096926</v>
      </c>
      <c r="GI167" s="84" t="n">
        <f aca="false">GH167*(1+$I167)</f>
        <v>29621.611479825</v>
      </c>
      <c r="GJ167" s="133" t="n">
        <f aca="false">GI167*Inputs!$L$14</f>
        <v>29621.611479825</v>
      </c>
      <c r="GK167" s="84" t="n">
        <f aca="false">GI167-GJ167</f>
        <v>0</v>
      </c>
      <c r="GL167" s="133" t="n">
        <f aca="false">FX167+$D167*Inputs!$L$13</f>
        <v>0</v>
      </c>
      <c r="GM167" s="84" t="n">
        <f aca="false">MIN(GJ167,GL167)</f>
        <v>0</v>
      </c>
      <c r="GN167" s="84" t="n">
        <f aca="false">GL167-GM167</f>
        <v>0</v>
      </c>
      <c r="GO167" s="84" t="n">
        <f aca="false">GA167+$G167*(GL167+GA167)</f>
        <v>0</v>
      </c>
      <c r="GP167" s="84" t="n">
        <f aca="false">MIN(GJ167-GM167,GO167)</f>
        <v>0</v>
      </c>
      <c r="GQ167" s="84" t="n">
        <f aca="false">GO167-GP167</f>
        <v>0</v>
      </c>
      <c r="GR167" s="84" t="n">
        <f aca="false">IF($H167=1,MIN(GJ167-GM167-GP167,MAX(0,$F167/(1-$F167)*(GF167+GP167)-GG167)),0)</f>
        <v>0</v>
      </c>
      <c r="GS167" s="84" t="n">
        <f aca="false">GJ167-GM167-GP167-GR167</f>
        <v>29621.611479825</v>
      </c>
      <c r="GT167" s="84" t="n">
        <f aca="false">GM167+GP167+(1-$F167)*GS167</f>
        <v>25178.3697578512</v>
      </c>
      <c r="GU167" s="84" t="n">
        <f aca="false">GR167+$F167*GS167</f>
        <v>4443.24172197374</v>
      </c>
      <c r="GV167" s="84" t="n">
        <f aca="false">GF167+GP167+(1-$F167)*GS167</f>
        <v>36165.5612583044</v>
      </c>
      <c r="GW167" s="84" t="n">
        <f aca="false">GG167+GU167</f>
        <v>6382.15786911254</v>
      </c>
    </row>
    <row r="168" customFormat="false" ht="15" hidden="false" customHeight="false" outlineLevel="0" collapsed="false">
      <c r="A168" s="5" t="s">
        <v>641</v>
      </c>
      <c r="B168" s="5" t="s">
        <v>429</v>
      </c>
      <c r="C168" s="135" t="n">
        <v>23</v>
      </c>
      <c r="D168" s="47" t="n">
        <f aca="false">Inputs!$C$6</f>
        <v>20000</v>
      </c>
      <c r="E168" s="35" t="n">
        <f aca="false">Inputs!$C$19</f>
        <v>0.0135</v>
      </c>
      <c r="F168" s="36" t="n">
        <f aca="false">Inputs!$C$21</f>
        <v>0.15</v>
      </c>
      <c r="G168" s="30" t="n">
        <v>0</v>
      </c>
      <c r="H168" s="27" t="n">
        <v>0</v>
      </c>
      <c r="I168" s="132" t="n">
        <f aca="false">Inputs!$C$38+$C168*Inputs!$C$39</f>
        <v>0.23</v>
      </c>
      <c r="J168" s="36" t="n">
        <f aca="false">Inputs!$C$9</f>
        <v>0.15</v>
      </c>
      <c r="K168" s="89" t="n">
        <f aca="false">IRR(W168:AG168,0.1)</f>
        <v>0.193707524869188</v>
      </c>
      <c r="L168" s="45" t="n">
        <f aca="false">W168+NPV($J168,X168:AG168)</f>
        <v>3874.19038145363</v>
      </c>
      <c r="M168" s="45" t="n">
        <f aca="false">SUM(BF168,BV168,CL168,DB168,DR168,EH168,EX168,FN168,GD168,GT168)</f>
        <v>59281.3830851683</v>
      </c>
      <c r="N168" s="43" t="n">
        <f aca="false">IF($D168*SUM(Inputs!$C$13:$L$13)=0,0,M168/($D168*SUM(Inputs!$C$13:$L$13)))</f>
        <v>2.96406915425842</v>
      </c>
      <c r="O168" s="42" t="n">
        <f aca="false">$D168*$E168*COLUMNS(Inputs!$C$13:$L$13)</f>
        <v>2700</v>
      </c>
      <c r="P168" s="45" t="n">
        <f aca="false">SUM(BG168,BW168,CM168,DC168,DS168,EI168,EY168,FO168,GE168,GU168)</f>
        <v>6932.00877973558</v>
      </c>
      <c r="Q168" s="42" t="n">
        <f aca="false">PV($J168,COLUMNS(Inputs!$C$13:$L$13),-$D168*$E168,0,1)</f>
        <v>1558.32765832774</v>
      </c>
      <c r="R168" s="45" t="n">
        <f aca="false">NPV($J168,BG168,BW168,CM168,DC168,DS168,EI168,EY168,FO168,GE168,GU168)</f>
        <v>1852.80399532032</v>
      </c>
      <c r="S168" s="45" t="n">
        <f aca="false">Q168+R168</f>
        <v>3411.13165364806</v>
      </c>
      <c r="T168" s="32" t="n">
        <f aca="false">IF(S168=0,0,Q168/S168)</f>
        <v>0.456835976020208</v>
      </c>
      <c r="U168" s="45" t="n">
        <f aca="false">ROUND(ABS(GK168)+ABS(SUM(AV168,BL168,CB168,CR168,DH168,DX168,EN168,FD168,FT168,GJ168)-M168-P168)+ABS(S168-(AH168+NPV($J168,AI168:AR168))),6)</f>
        <v>0</v>
      </c>
      <c r="W168" s="133" t="n">
        <f aca="false">-$D168*Inputs!$C$13</f>
        <v>-4000</v>
      </c>
      <c r="X168" s="133" t="n">
        <f aca="false">BF168-$D168*Inputs!$D$13</f>
        <v>-4000</v>
      </c>
      <c r="Y168" s="133" t="n">
        <f aca="false">BV168-$D168*Inputs!$E$13</f>
        <v>-4000</v>
      </c>
      <c r="Z168" s="133" t="n">
        <f aca="false">CL168-$D168*Inputs!$F$13</f>
        <v>-4000</v>
      </c>
      <c r="AA168" s="133" t="n">
        <f aca="false">DB168-$D168*Inputs!$G$13</f>
        <v>-4000</v>
      </c>
      <c r="AB168" s="133" t="n">
        <f aca="false">DR168-$D168*Inputs!$H$13</f>
        <v>7242.1225643478</v>
      </c>
      <c r="AC168" s="133" t="n">
        <f aca="false">EH168-$D168*Inputs!$I$13</f>
        <v>7059.82860331824</v>
      </c>
      <c r="AD168" s="133" t="n">
        <f aca="false">EX168-$D168*Inputs!$J$13</f>
        <v>6703.09096866547</v>
      </c>
      <c r="AE168" s="133" t="n">
        <f aca="false">FN168-$D168*Inputs!$K$13</f>
        <v>5698.35250551433</v>
      </c>
      <c r="AF168" s="133" t="n">
        <f aca="false">GD168-$D168*Inputs!$L$13</f>
        <v>5550.7218654261</v>
      </c>
      <c r="AG168" s="84" t="n">
        <f aca="false">GT168</f>
        <v>27027.2665778964</v>
      </c>
      <c r="AH168" s="84" t="n">
        <f aca="false">$D168*$E168</f>
        <v>270</v>
      </c>
      <c r="AI168" s="84" t="n">
        <f aca="false">BG168+$D168*$E168</f>
        <v>270</v>
      </c>
      <c r="AJ168" s="84" t="n">
        <f aca="false">BW168+$D168*$E168</f>
        <v>270</v>
      </c>
      <c r="AK168" s="84" t="n">
        <f aca="false">CM168+$D168*$E168</f>
        <v>270</v>
      </c>
      <c r="AL168" s="84" t="n">
        <f aca="false">DC168+$D168*$E168</f>
        <v>270</v>
      </c>
      <c r="AM168" s="84" t="n">
        <f aca="false">DS168+$D168*$E168</f>
        <v>270</v>
      </c>
      <c r="AN168" s="84" t="n">
        <f aca="false">EI168+$D168*$E168</f>
        <v>270</v>
      </c>
      <c r="AO168" s="84" t="n">
        <f aca="false">EY168+$D168*$E168</f>
        <v>447.360376999677</v>
      </c>
      <c r="AP168" s="84" t="n">
        <f aca="false">FO168+$D168*$E168</f>
        <v>1275.59161862018</v>
      </c>
      <c r="AQ168" s="84" t="n">
        <f aca="false">GE168+$D168*$E168</f>
        <v>1249.53915272225</v>
      </c>
      <c r="AR168" s="84" t="n">
        <f aca="false">GU168</f>
        <v>4769.51763139348</v>
      </c>
      <c r="AT168" s="133" t="n">
        <f aca="false">$D168*Inputs!$C$13-$D168*$E168</f>
        <v>3730</v>
      </c>
      <c r="AU168" s="84" t="n">
        <f aca="false">AT168*(1+$I168)</f>
        <v>4587.9</v>
      </c>
      <c r="AV168" s="133" t="n">
        <f aca="false">AU168*Inputs!$C$14</f>
        <v>0</v>
      </c>
      <c r="AW168" s="84" t="n">
        <f aca="false">AU168-AV168</f>
        <v>4587.9</v>
      </c>
      <c r="AX168" s="133" t="n">
        <f aca="false">$D168*Inputs!$C$13</f>
        <v>4000</v>
      </c>
      <c r="AY168" s="84" t="n">
        <f aca="false">MIN(AV168,AX168)</f>
        <v>0</v>
      </c>
      <c r="AZ168" s="84" t="n">
        <f aca="false">AX168-AY168</f>
        <v>4000</v>
      </c>
      <c r="BA168" s="84" t="n">
        <f aca="false">$G168*AX168</f>
        <v>0</v>
      </c>
      <c r="BB168" s="84" t="n">
        <f aca="false">MIN(AV168-AY168,BA168)</f>
        <v>0</v>
      </c>
      <c r="BC168" s="84" t="n">
        <f aca="false">BA168-BB168</f>
        <v>0</v>
      </c>
      <c r="BD168" s="84" t="n">
        <f aca="false">IF($H168=1,MIN(AV168-AY168-BB168,MAX(0,$F168/(1-$F168)*BB168)),0)</f>
        <v>0</v>
      </c>
      <c r="BE168" s="84" t="n">
        <f aca="false">AV168-AY168-BB168-BD168</f>
        <v>0</v>
      </c>
      <c r="BF168" s="84" t="n">
        <f aca="false">AY168+BB168+(1-$F168)*BE168</f>
        <v>0</v>
      </c>
      <c r="BG168" s="84" t="n">
        <f aca="false">BD168+$F168*BE168</f>
        <v>0</v>
      </c>
      <c r="BH168" s="84" t="n">
        <f aca="false">BB168+(1-$F168)*BE168</f>
        <v>0</v>
      </c>
      <c r="BI168" s="84" t="n">
        <f aca="false">BG168</f>
        <v>0</v>
      </c>
      <c r="BJ168" s="133" t="n">
        <f aca="false">AW168+$D168*Inputs!$D$13-$D168*$E168</f>
        <v>8317.9</v>
      </c>
      <c r="BK168" s="84" t="n">
        <f aca="false">BJ168*(1+$I168)</f>
        <v>10231.017</v>
      </c>
      <c r="BL168" s="133" t="n">
        <f aca="false">BK168*Inputs!$D$14</f>
        <v>0</v>
      </c>
      <c r="BM168" s="84" t="n">
        <f aca="false">BK168-BL168</f>
        <v>10231.017</v>
      </c>
      <c r="BN168" s="133" t="n">
        <f aca="false">AZ168+$D168*Inputs!$D$13</f>
        <v>8000</v>
      </c>
      <c r="BO168" s="84" t="n">
        <f aca="false">MIN(BL168,BN168)</f>
        <v>0</v>
      </c>
      <c r="BP168" s="84" t="n">
        <f aca="false">BN168-BO168</f>
        <v>8000</v>
      </c>
      <c r="BQ168" s="84" t="n">
        <f aca="false">BC168+$G168*(BN168+BC168)</f>
        <v>0</v>
      </c>
      <c r="BR168" s="84" t="n">
        <f aca="false">MIN(BL168-BO168,BQ168)</f>
        <v>0</v>
      </c>
      <c r="BS168" s="84" t="n">
        <f aca="false">BQ168-BR168</f>
        <v>0</v>
      </c>
      <c r="BT168" s="84" t="n">
        <f aca="false">IF($H168=1,MIN(BL168-BO168-BR168,MAX(0,$F168/(1-$F168)*(BH168+BR168)-BI168)),0)</f>
        <v>0</v>
      </c>
      <c r="BU168" s="84" t="n">
        <f aca="false">BL168-BO168-BR168-BT168</f>
        <v>0</v>
      </c>
      <c r="BV168" s="84" t="n">
        <f aca="false">BO168+BR168+(1-$F168)*BU168</f>
        <v>0</v>
      </c>
      <c r="BW168" s="84" t="n">
        <f aca="false">BT168+$F168*BU168</f>
        <v>0</v>
      </c>
      <c r="BX168" s="84" t="n">
        <f aca="false">BH168+BR168+(1-$F168)*BU168</f>
        <v>0</v>
      </c>
      <c r="BY168" s="84" t="n">
        <f aca="false">BI168+BW168</f>
        <v>0</v>
      </c>
      <c r="BZ168" s="133" t="n">
        <f aca="false">BM168+$D168*Inputs!$E$13-$D168*$E168</f>
        <v>13961.017</v>
      </c>
      <c r="CA168" s="84" t="n">
        <f aca="false">BZ168*(1+$I168)</f>
        <v>17172.05091</v>
      </c>
      <c r="CB168" s="133" t="n">
        <f aca="false">CA168*Inputs!$E$14</f>
        <v>0</v>
      </c>
      <c r="CC168" s="84" t="n">
        <f aca="false">CA168-CB168</f>
        <v>17172.05091</v>
      </c>
      <c r="CD168" s="133" t="n">
        <f aca="false">BP168+$D168*Inputs!$E$13</f>
        <v>12000</v>
      </c>
      <c r="CE168" s="84" t="n">
        <f aca="false">MIN(CB168,CD168)</f>
        <v>0</v>
      </c>
      <c r="CF168" s="84" t="n">
        <f aca="false">CD168-CE168</f>
        <v>12000</v>
      </c>
      <c r="CG168" s="84" t="n">
        <f aca="false">BS168+$G168*(CD168+BS168)</f>
        <v>0</v>
      </c>
      <c r="CH168" s="84" t="n">
        <f aca="false">MIN(CB168-CE168,CG168)</f>
        <v>0</v>
      </c>
      <c r="CI168" s="84" t="n">
        <f aca="false">CG168-CH168</f>
        <v>0</v>
      </c>
      <c r="CJ168" s="84" t="n">
        <f aca="false">IF($H168=1,MIN(CB168-CE168-CH168,MAX(0,$F168/(1-$F168)*(BX168+CH168)-BY168)),0)</f>
        <v>0</v>
      </c>
      <c r="CK168" s="84" t="n">
        <f aca="false">CB168-CE168-CH168-CJ168</f>
        <v>0</v>
      </c>
      <c r="CL168" s="84" t="n">
        <f aca="false">CE168+CH168+(1-$F168)*CK168</f>
        <v>0</v>
      </c>
      <c r="CM168" s="84" t="n">
        <f aca="false">CJ168+$F168*CK168</f>
        <v>0</v>
      </c>
      <c r="CN168" s="84" t="n">
        <f aca="false">BX168+CH168+(1-$F168)*CK168</f>
        <v>0</v>
      </c>
      <c r="CO168" s="84" t="n">
        <f aca="false">BY168+CM168</f>
        <v>0</v>
      </c>
      <c r="CP168" s="133" t="n">
        <f aca="false">CC168+$D168*Inputs!$F$13-$D168*$E168</f>
        <v>20902.05091</v>
      </c>
      <c r="CQ168" s="84" t="n">
        <f aca="false">CP168*(1+$I168)</f>
        <v>25709.5226193</v>
      </c>
      <c r="CR168" s="133" t="n">
        <f aca="false">CQ168*Inputs!$F$14</f>
        <v>0</v>
      </c>
      <c r="CS168" s="84" t="n">
        <f aca="false">CQ168-CR168</f>
        <v>25709.5226193</v>
      </c>
      <c r="CT168" s="133" t="n">
        <f aca="false">CF168+$D168*Inputs!$F$13</f>
        <v>16000</v>
      </c>
      <c r="CU168" s="84" t="n">
        <f aca="false">MIN(CR168,CT168)</f>
        <v>0</v>
      </c>
      <c r="CV168" s="84" t="n">
        <f aca="false">CT168-CU168</f>
        <v>16000</v>
      </c>
      <c r="CW168" s="84" t="n">
        <f aca="false">CI168+$G168*(CT168+CI168)</f>
        <v>0</v>
      </c>
      <c r="CX168" s="84" t="n">
        <f aca="false">MIN(CR168-CU168,CW168)</f>
        <v>0</v>
      </c>
      <c r="CY168" s="84" t="n">
        <f aca="false">CW168-CX168</f>
        <v>0</v>
      </c>
      <c r="CZ168" s="84" t="n">
        <f aca="false">IF($H168=1,MIN(CR168-CU168-CX168,MAX(0,$F168/(1-$F168)*(CN168+CX168)-CO168)),0)</f>
        <v>0</v>
      </c>
      <c r="DA168" s="84" t="n">
        <f aca="false">CR168-CU168-CX168-CZ168</f>
        <v>0</v>
      </c>
      <c r="DB168" s="84" t="n">
        <f aca="false">CU168+CX168+(1-$F168)*DA168</f>
        <v>0</v>
      </c>
      <c r="DC168" s="84" t="n">
        <f aca="false">CZ168+$F168*DA168</f>
        <v>0</v>
      </c>
      <c r="DD168" s="84" t="n">
        <f aca="false">CN168+CX168+(1-$F168)*DA168</f>
        <v>0</v>
      </c>
      <c r="DE168" s="84" t="n">
        <f aca="false">CO168+DC168</f>
        <v>0</v>
      </c>
      <c r="DF168" s="133" t="n">
        <f aca="false">CS168+$D168*Inputs!$G$13-$D168*$E168</f>
        <v>29439.5226193</v>
      </c>
      <c r="DG168" s="84" t="n">
        <f aca="false">DF168*(1+$I168)</f>
        <v>36210.612821739</v>
      </c>
      <c r="DH168" s="133" t="n">
        <f aca="false">DG168*Inputs!$G$14</f>
        <v>7242.1225643478</v>
      </c>
      <c r="DI168" s="84" t="n">
        <f aca="false">DG168-DH168</f>
        <v>28968.4902573912</v>
      </c>
      <c r="DJ168" s="133" t="n">
        <f aca="false">CV168+$D168*Inputs!$G$13</f>
        <v>20000</v>
      </c>
      <c r="DK168" s="84" t="n">
        <f aca="false">MIN(DH168,DJ168)</f>
        <v>7242.1225643478</v>
      </c>
      <c r="DL168" s="84" t="n">
        <f aca="false">DJ168-DK168</f>
        <v>12757.8774356522</v>
      </c>
      <c r="DM168" s="84" t="n">
        <f aca="false">CY168+$G168*(DJ168+CY168)</f>
        <v>0</v>
      </c>
      <c r="DN168" s="84" t="n">
        <f aca="false">MIN(DH168-DK168,DM168)</f>
        <v>0</v>
      </c>
      <c r="DO168" s="84" t="n">
        <f aca="false">DM168-DN168</f>
        <v>0</v>
      </c>
      <c r="DP168" s="84" t="n">
        <f aca="false">IF($H168=1,MIN(DH168-DK168-DN168,MAX(0,$F168/(1-$F168)*(DD168+DN168)-DE168)),0)</f>
        <v>0</v>
      </c>
      <c r="DQ168" s="84" t="n">
        <f aca="false">DH168-DK168-DN168-DP168</f>
        <v>0</v>
      </c>
      <c r="DR168" s="84" t="n">
        <f aca="false">DK168+DN168+(1-$F168)*DQ168</f>
        <v>7242.1225643478</v>
      </c>
      <c r="DS168" s="84" t="n">
        <f aca="false">DP168+$F168*DQ168</f>
        <v>0</v>
      </c>
      <c r="DT168" s="84" t="n">
        <f aca="false">DD168+DN168+(1-$F168)*DQ168</f>
        <v>0</v>
      </c>
      <c r="DU168" s="84" t="n">
        <f aca="false">DE168+DS168</f>
        <v>0</v>
      </c>
      <c r="DV168" s="133" t="n">
        <f aca="false">DI168+$D168*Inputs!$H$13-$D168*$E168</f>
        <v>28698.4902573912</v>
      </c>
      <c r="DW168" s="84" t="n">
        <f aca="false">DV168*(1+$I168)</f>
        <v>35299.1430165912</v>
      </c>
      <c r="DX168" s="133" t="n">
        <f aca="false">DW168*Inputs!$H$14</f>
        <v>7059.82860331824</v>
      </c>
      <c r="DY168" s="84" t="n">
        <f aca="false">DW168-DX168</f>
        <v>28239.3144132729</v>
      </c>
      <c r="DZ168" s="133" t="n">
        <f aca="false">DL168+$D168*Inputs!$H$13</f>
        <v>12757.8774356522</v>
      </c>
      <c r="EA168" s="84" t="n">
        <f aca="false">MIN(DX168,DZ168)</f>
        <v>7059.82860331824</v>
      </c>
      <c r="EB168" s="84" t="n">
        <f aca="false">DZ168-EA168</f>
        <v>5698.04883233397</v>
      </c>
      <c r="EC168" s="84" t="n">
        <f aca="false">DO168+$G168*(DZ168+DO168)</f>
        <v>0</v>
      </c>
      <c r="ED168" s="84" t="n">
        <f aca="false">MIN(DX168-EA168,EC168)</f>
        <v>0</v>
      </c>
      <c r="EE168" s="84" t="n">
        <f aca="false">EC168-ED168</f>
        <v>0</v>
      </c>
      <c r="EF168" s="84" t="n">
        <f aca="false">IF($H168=1,MIN(DX168-EA168-ED168,MAX(0,$F168/(1-$F168)*(DT168+ED168)-DU168)),0)</f>
        <v>0</v>
      </c>
      <c r="EG168" s="84" t="n">
        <f aca="false">DX168-EA168-ED168-EF168</f>
        <v>0</v>
      </c>
      <c r="EH168" s="84" t="n">
        <f aca="false">EA168+ED168+(1-$F168)*EG168</f>
        <v>7059.82860331824</v>
      </c>
      <c r="EI168" s="84" t="n">
        <f aca="false">EF168+$F168*EG168</f>
        <v>0</v>
      </c>
      <c r="EJ168" s="84" t="n">
        <f aca="false">DT168+ED168+(1-$F168)*EG168</f>
        <v>0</v>
      </c>
      <c r="EK168" s="84" t="n">
        <f aca="false">DU168+EI168</f>
        <v>0</v>
      </c>
      <c r="EL168" s="133" t="n">
        <f aca="false">DY168+$D168*Inputs!$I$13-$D168*$E168</f>
        <v>27969.3144132729</v>
      </c>
      <c r="EM168" s="84" t="n">
        <f aca="false">EL168*(1+$I168)</f>
        <v>34402.2567283257</v>
      </c>
      <c r="EN168" s="133" t="n">
        <f aca="false">EM168*Inputs!$I$14</f>
        <v>6880.45134566514</v>
      </c>
      <c r="EO168" s="84" t="n">
        <f aca="false">EM168-EN168</f>
        <v>27521.8053826606</v>
      </c>
      <c r="EP168" s="133" t="n">
        <f aca="false">EB168+$D168*Inputs!$I$13</f>
        <v>5698.04883233397</v>
      </c>
      <c r="EQ168" s="84" t="n">
        <f aca="false">MIN(EN168,EP168)</f>
        <v>5698.04883233397</v>
      </c>
      <c r="ER168" s="84" t="n">
        <f aca="false">EP168-EQ168</f>
        <v>0</v>
      </c>
      <c r="ES168" s="84" t="n">
        <f aca="false">EE168+$G168*(EP168+EE168)</f>
        <v>0</v>
      </c>
      <c r="ET168" s="84" t="n">
        <f aca="false">MIN(EN168-EQ168,ES168)</f>
        <v>0</v>
      </c>
      <c r="EU168" s="84" t="n">
        <f aca="false">ES168-ET168</f>
        <v>0</v>
      </c>
      <c r="EV168" s="84" t="n">
        <f aca="false">IF($H168=1,MIN(EN168-EQ168-ET168,MAX(0,$F168/(1-$F168)*(EJ168+ET168)-EK168)),0)</f>
        <v>0</v>
      </c>
      <c r="EW168" s="84" t="n">
        <f aca="false">EN168-EQ168-ET168-EV168</f>
        <v>1182.40251333118</v>
      </c>
      <c r="EX168" s="84" t="n">
        <f aca="false">EQ168+ET168+(1-$F168)*EW168</f>
        <v>6703.09096866547</v>
      </c>
      <c r="EY168" s="84" t="n">
        <f aca="false">EV168+$F168*EW168</f>
        <v>177.360376999677</v>
      </c>
      <c r="EZ168" s="84" t="n">
        <f aca="false">EJ168+ET168+(1-$F168)*EW168</f>
        <v>1005.0421363315</v>
      </c>
      <c r="FA168" s="84" t="n">
        <f aca="false">EK168+EY168</f>
        <v>177.360376999677</v>
      </c>
      <c r="FB168" s="133" t="n">
        <f aca="false">EO168+$D168*Inputs!$J$13-$D168*$E168</f>
        <v>27251.8053826606</v>
      </c>
      <c r="FC168" s="84" t="n">
        <f aca="false">FB168*(1+$I168)</f>
        <v>33519.7206206725</v>
      </c>
      <c r="FD168" s="133" t="n">
        <f aca="false">FC168*Inputs!$J$14</f>
        <v>6703.9441241345</v>
      </c>
      <c r="FE168" s="84" t="n">
        <f aca="false">FC168-FD168</f>
        <v>26815.776496538</v>
      </c>
      <c r="FF168" s="133" t="n">
        <f aca="false">ER168+$D168*Inputs!$J$13</f>
        <v>0</v>
      </c>
      <c r="FG168" s="84" t="n">
        <f aca="false">MIN(FD168,FF168)</f>
        <v>0</v>
      </c>
      <c r="FH168" s="84" t="n">
        <f aca="false">FF168-FG168</f>
        <v>0</v>
      </c>
      <c r="FI168" s="84" t="n">
        <f aca="false">EU168+$G168*(FF168+EU168)</f>
        <v>0</v>
      </c>
      <c r="FJ168" s="84" t="n">
        <f aca="false">MIN(FD168-FG168,FI168)</f>
        <v>0</v>
      </c>
      <c r="FK168" s="84" t="n">
        <f aca="false">FI168-FJ168</f>
        <v>0</v>
      </c>
      <c r="FL168" s="84" t="n">
        <f aca="false">IF($H168=1,MIN(FD168-FG168-FJ168,MAX(0,$F168/(1-$F168)*(EZ168+FJ168)-FA168)),0)</f>
        <v>0</v>
      </c>
      <c r="FM168" s="84" t="n">
        <f aca="false">FD168-FG168-FJ168-FL168</f>
        <v>6703.9441241345</v>
      </c>
      <c r="FN168" s="84" t="n">
        <f aca="false">FG168+FJ168+(1-$F168)*FM168</f>
        <v>5698.35250551433</v>
      </c>
      <c r="FO168" s="84" t="n">
        <f aca="false">FL168+$F168*FM168</f>
        <v>1005.59161862018</v>
      </c>
      <c r="FP168" s="84" t="n">
        <f aca="false">EZ168+FJ168+(1-$F168)*FM168</f>
        <v>6703.39464184583</v>
      </c>
      <c r="FQ168" s="84" t="n">
        <f aca="false">FA168+FO168</f>
        <v>1182.95199561985</v>
      </c>
      <c r="FR168" s="133" t="n">
        <f aca="false">FE168+$D168*Inputs!$K$13-$D168*$E168</f>
        <v>26545.776496538</v>
      </c>
      <c r="FS168" s="84" t="n">
        <f aca="false">FR168*(1+$I168)</f>
        <v>32651.3050907417</v>
      </c>
      <c r="FT168" s="133" t="n">
        <f aca="false">FS168*Inputs!$K$14</f>
        <v>6530.26101814835</v>
      </c>
      <c r="FU168" s="84" t="n">
        <f aca="false">FS168-FT168</f>
        <v>26121.0440725934</v>
      </c>
      <c r="FV168" s="133" t="n">
        <f aca="false">FH168+$D168*Inputs!$K$13</f>
        <v>0</v>
      </c>
      <c r="FW168" s="84" t="n">
        <f aca="false">MIN(FT168,FV168)</f>
        <v>0</v>
      </c>
      <c r="FX168" s="84" t="n">
        <f aca="false">FV168-FW168</f>
        <v>0</v>
      </c>
      <c r="FY168" s="84" t="n">
        <f aca="false">FK168+$G168*(FV168+FK168)</f>
        <v>0</v>
      </c>
      <c r="FZ168" s="84" t="n">
        <f aca="false">MIN(FT168-FW168,FY168)</f>
        <v>0</v>
      </c>
      <c r="GA168" s="84" t="n">
        <f aca="false">FY168-FZ168</f>
        <v>0</v>
      </c>
      <c r="GB168" s="84" t="n">
        <f aca="false">IF($H168=1,MIN(FT168-FW168-FZ168,MAX(0,$F168/(1-$F168)*(FP168+FZ168)-FQ168)),0)</f>
        <v>0</v>
      </c>
      <c r="GC168" s="84" t="n">
        <f aca="false">FT168-FW168-FZ168-GB168</f>
        <v>6530.26101814835</v>
      </c>
      <c r="GD168" s="84" t="n">
        <f aca="false">FW168+FZ168+(1-$F168)*GC168</f>
        <v>5550.7218654261</v>
      </c>
      <c r="GE168" s="84" t="n">
        <f aca="false">GB168+$F168*GC168</f>
        <v>979.539152722252</v>
      </c>
      <c r="GF168" s="84" t="n">
        <f aca="false">FP168+FZ168+(1-$F168)*GC168</f>
        <v>12254.1165072719</v>
      </c>
      <c r="GG168" s="84" t="n">
        <f aca="false">FQ168+GE168</f>
        <v>2162.4911483421</v>
      </c>
      <c r="GH168" s="133" t="n">
        <f aca="false">FU168+$D168*Inputs!$L$13-$D168*$E168</f>
        <v>25851.0440725934</v>
      </c>
      <c r="GI168" s="84" t="n">
        <f aca="false">GH168*(1+$I168)</f>
        <v>31796.7842092899</v>
      </c>
      <c r="GJ168" s="133" t="n">
        <f aca="false">GI168*Inputs!$L$14</f>
        <v>31796.7842092899</v>
      </c>
      <c r="GK168" s="84" t="n">
        <f aca="false">GI168-GJ168</f>
        <v>0</v>
      </c>
      <c r="GL168" s="133" t="n">
        <f aca="false">FX168+$D168*Inputs!$L$13</f>
        <v>0</v>
      </c>
      <c r="GM168" s="84" t="n">
        <f aca="false">MIN(GJ168,GL168)</f>
        <v>0</v>
      </c>
      <c r="GN168" s="84" t="n">
        <f aca="false">GL168-GM168</f>
        <v>0</v>
      </c>
      <c r="GO168" s="84" t="n">
        <f aca="false">GA168+$G168*(GL168+GA168)</f>
        <v>0</v>
      </c>
      <c r="GP168" s="84" t="n">
        <f aca="false">MIN(GJ168-GM168,GO168)</f>
        <v>0</v>
      </c>
      <c r="GQ168" s="84" t="n">
        <f aca="false">GO168-GP168</f>
        <v>0</v>
      </c>
      <c r="GR168" s="84" t="n">
        <f aca="false">IF($H168=1,MIN(GJ168-GM168-GP168,MAX(0,$F168/(1-$F168)*(GF168+GP168)-GG168)),0)</f>
        <v>0</v>
      </c>
      <c r="GS168" s="84" t="n">
        <f aca="false">GJ168-GM168-GP168-GR168</f>
        <v>31796.7842092899</v>
      </c>
      <c r="GT168" s="84" t="n">
        <f aca="false">GM168+GP168+(1-$F168)*GS168</f>
        <v>27027.2665778964</v>
      </c>
      <c r="GU168" s="84" t="n">
        <f aca="false">GR168+$F168*GS168</f>
        <v>4769.51763139348</v>
      </c>
      <c r="GV168" s="84" t="n">
        <f aca="false">GF168+GP168+(1-$F168)*GS168</f>
        <v>39281.3830851683</v>
      </c>
      <c r="GW168" s="84" t="n">
        <f aca="false">GG168+GU168</f>
        <v>6932.00877973558</v>
      </c>
    </row>
    <row r="169" customFormat="false" ht="15" hidden="false" customHeight="false" outlineLevel="0" collapsed="false">
      <c r="A169" s="5" t="s">
        <v>641</v>
      </c>
      <c r="B169" s="5" t="s">
        <v>429</v>
      </c>
      <c r="C169" s="135" t="n">
        <v>24</v>
      </c>
      <c r="D169" s="47" t="n">
        <f aca="false">Inputs!$C$6</f>
        <v>20000</v>
      </c>
      <c r="E169" s="35" t="n">
        <f aca="false">Inputs!$C$19</f>
        <v>0.0135</v>
      </c>
      <c r="F169" s="36" t="n">
        <f aca="false">Inputs!$C$21</f>
        <v>0.15</v>
      </c>
      <c r="G169" s="30" t="n">
        <v>0</v>
      </c>
      <c r="H169" s="27" t="n">
        <v>0</v>
      </c>
      <c r="I169" s="132" t="n">
        <f aca="false">Inputs!$C$38+$C169*Inputs!$C$39</f>
        <v>0.24</v>
      </c>
      <c r="J169" s="36" t="n">
        <f aca="false">Inputs!$C$9</f>
        <v>0.15</v>
      </c>
      <c r="K169" s="89" t="n">
        <f aca="false">IRR(W169:AG169,0.1)</f>
        <v>0.203297385280127</v>
      </c>
      <c r="L169" s="45" t="n">
        <f aca="false">W169+NPV($J169,X169:AG169)</f>
        <v>4849.02890573704</v>
      </c>
      <c r="M169" s="45" t="n">
        <f aca="false">SUM(BF169,BV169,CL169,DB169,DR169,EH169,EX169,FN169,GD169,GT169)</f>
        <v>62570.8216154674</v>
      </c>
      <c r="N169" s="43" t="n">
        <f aca="false">IF($D169*SUM(Inputs!$C$13:$L$13)=0,0,M169/($D169*SUM(Inputs!$C$13:$L$13)))</f>
        <v>3.12854108077337</v>
      </c>
      <c r="O169" s="42" t="n">
        <f aca="false">$D169*$E169*COLUMNS(Inputs!$C$13:$L$13)</f>
        <v>2700</v>
      </c>
      <c r="P169" s="45" t="n">
        <f aca="false">SUM(BG169,BW169,CM169,DC169,DS169,EI169,EY169,FO169,GE169,GU169)</f>
        <v>7512.49793214131</v>
      </c>
      <c r="Q169" s="42" t="n">
        <f aca="false">PV($J169,COLUMNS(Inputs!$C$13:$L$13),-$D169*$E169,0,1)</f>
        <v>1558.32765832774</v>
      </c>
      <c r="R169" s="45" t="n">
        <f aca="false">NPV($J169,BG169,BW169,CM169,DC169,DS169,EI169,EY169,FO169,GE169,GU169)</f>
        <v>2017.91583387326</v>
      </c>
      <c r="S169" s="45" t="n">
        <f aca="false">Q169+R169</f>
        <v>3576.243492201</v>
      </c>
      <c r="T169" s="32" t="n">
        <f aca="false">IF(S169=0,0,Q169/S169)</f>
        <v>0.435744283555107</v>
      </c>
      <c r="U169" s="45" t="n">
        <f aca="false">ROUND(ABS(GK169)+ABS(SUM(AV169,BL169,CB169,CR169,DH169,DX169,EN169,FD169,FT169,GJ169)-M169-P169)+ABS(S169-(AH169+NPV($J169,AI169:AR169))),6)</f>
        <v>0</v>
      </c>
      <c r="W169" s="133" t="n">
        <f aca="false">-$D169*Inputs!$C$13</f>
        <v>-4000</v>
      </c>
      <c r="X169" s="133" t="n">
        <f aca="false">BF169-$D169*Inputs!$D$13</f>
        <v>-4000</v>
      </c>
      <c r="Y169" s="133" t="n">
        <f aca="false">BV169-$D169*Inputs!$E$13</f>
        <v>-4000</v>
      </c>
      <c r="Z169" s="133" t="n">
        <f aca="false">CL169-$D169*Inputs!$F$13</f>
        <v>-4000</v>
      </c>
      <c r="AA169" s="133" t="n">
        <f aca="false">DB169-$D169*Inputs!$G$13</f>
        <v>-4000</v>
      </c>
      <c r="AB169" s="133" t="n">
        <f aca="false">DR169-$D169*Inputs!$H$13</f>
        <v>7445.1268655104</v>
      </c>
      <c r="AC169" s="133" t="n">
        <f aca="false">EH169-$D169*Inputs!$I$13</f>
        <v>7318.60585058632</v>
      </c>
      <c r="AD169" s="133" t="n">
        <f aca="false">EX169-$D169*Inputs!$J$13</f>
        <v>6899.57254579988</v>
      </c>
      <c r="AE169" s="133" t="n">
        <f aca="false">FN169-$D169*Inputs!$K$13</f>
        <v>6008.30339358867</v>
      </c>
      <c r="AF169" s="133" t="n">
        <f aca="false">GD169-$D169*Inputs!$L$13</f>
        <v>5903.32096643996</v>
      </c>
      <c r="AG169" s="84" t="n">
        <f aca="false">GT169</f>
        <v>28995.8919935422</v>
      </c>
      <c r="AH169" s="84" t="n">
        <f aca="false">$D169*$E169</f>
        <v>270</v>
      </c>
      <c r="AI169" s="84" t="n">
        <f aca="false">BG169+$D169*$E169</f>
        <v>270</v>
      </c>
      <c r="AJ169" s="84" t="n">
        <f aca="false">BW169+$D169*$E169</f>
        <v>270</v>
      </c>
      <c r="AK169" s="84" t="n">
        <f aca="false">CM169+$D169*$E169</f>
        <v>270</v>
      </c>
      <c r="AL169" s="84" t="n">
        <f aca="false">DC169+$D169*$E169</f>
        <v>270</v>
      </c>
      <c r="AM169" s="84" t="n">
        <f aca="false">DS169+$D169*$E169</f>
        <v>270</v>
      </c>
      <c r="AN169" s="84" t="n">
        <f aca="false">EI169+$D169*$E169</f>
        <v>270</v>
      </c>
      <c r="AO169" s="84" t="n">
        <f aca="false">EY169+$D169*$E169</f>
        <v>563.524457981752</v>
      </c>
      <c r="AP169" s="84" t="n">
        <f aca="false">FO169+$D169*$E169</f>
        <v>1330.28883416271</v>
      </c>
      <c r="AQ169" s="84" t="n">
        <f aca="false">GE169+$D169*$E169</f>
        <v>1311.7625234894</v>
      </c>
      <c r="AR169" s="84" t="n">
        <f aca="false">GU169</f>
        <v>5116.92211650745</v>
      </c>
      <c r="AT169" s="133" t="n">
        <f aca="false">$D169*Inputs!$C$13-$D169*$E169</f>
        <v>3730</v>
      </c>
      <c r="AU169" s="84" t="n">
        <f aca="false">AT169*(1+$I169)</f>
        <v>4625.2</v>
      </c>
      <c r="AV169" s="133" t="n">
        <f aca="false">AU169*Inputs!$C$14</f>
        <v>0</v>
      </c>
      <c r="AW169" s="84" t="n">
        <f aca="false">AU169-AV169</f>
        <v>4625.2</v>
      </c>
      <c r="AX169" s="133" t="n">
        <f aca="false">$D169*Inputs!$C$13</f>
        <v>4000</v>
      </c>
      <c r="AY169" s="84" t="n">
        <f aca="false">MIN(AV169,AX169)</f>
        <v>0</v>
      </c>
      <c r="AZ169" s="84" t="n">
        <f aca="false">AX169-AY169</f>
        <v>4000</v>
      </c>
      <c r="BA169" s="84" t="n">
        <f aca="false">$G169*AX169</f>
        <v>0</v>
      </c>
      <c r="BB169" s="84" t="n">
        <f aca="false">MIN(AV169-AY169,BA169)</f>
        <v>0</v>
      </c>
      <c r="BC169" s="84" t="n">
        <f aca="false">BA169-BB169</f>
        <v>0</v>
      </c>
      <c r="BD169" s="84" t="n">
        <f aca="false">IF($H169=1,MIN(AV169-AY169-BB169,MAX(0,$F169/(1-$F169)*BB169)),0)</f>
        <v>0</v>
      </c>
      <c r="BE169" s="84" t="n">
        <f aca="false">AV169-AY169-BB169-BD169</f>
        <v>0</v>
      </c>
      <c r="BF169" s="84" t="n">
        <f aca="false">AY169+BB169+(1-$F169)*BE169</f>
        <v>0</v>
      </c>
      <c r="BG169" s="84" t="n">
        <f aca="false">BD169+$F169*BE169</f>
        <v>0</v>
      </c>
      <c r="BH169" s="84" t="n">
        <f aca="false">BB169+(1-$F169)*BE169</f>
        <v>0</v>
      </c>
      <c r="BI169" s="84" t="n">
        <f aca="false">BG169</f>
        <v>0</v>
      </c>
      <c r="BJ169" s="133" t="n">
        <f aca="false">AW169+$D169*Inputs!$D$13-$D169*$E169</f>
        <v>8355.2</v>
      </c>
      <c r="BK169" s="84" t="n">
        <f aca="false">BJ169*(1+$I169)</f>
        <v>10360.448</v>
      </c>
      <c r="BL169" s="133" t="n">
        <f aca="false">BK169*Inputs!$D$14</f>
        <v>0</v>
      </c>
      <c r="BM169" s="84" t="n">
        <f aca="false">BK169-BL169</f>
        <v>10360.448</v>
      </c>
      <c r="BN169" s="133" t="n">
        <f aca="false">AZ169+$D169*Inputs!$D$13</f>
        <v>8000</v>
      </c>
      <c r="BO169" s="84" t="n">
        <f aca="false">MIN(BL169,BN169)</f>
        <v>0</v>
      </c>
      <c r="BP169" s="84" t="n">
        <f aca="false">BN169-BO169</f>
        <v>8000</v>
      </c>
      <c r="BQ169" s="84" t="n">
        <f aca="false">BC169+$G169*(BN169+BC169)</f>
        <v>0</v>
      </c>
      <c r="BR169" s="84" t="n">
        <f aca="false">MIN(BL169-BO169,BQ169)</f>
        <v>0</v>
      </c>
      <c r="BS169" s="84" t="n">
        <f aca="false">BQ169-BR169</f>
        <v>0</v>
      </c>
      <c r="BT169" s="84" t="n">
        <f aca="false">IF($H169=1,MIN(BL169-BO169-BR169,MAX(0,$F169/(1-$F169)*(BH169+BR169)-BI169)),0)</f>
        <v>0</v>
      </c>
      <c r="BU169" s="84" t="n">
        <f aca="false">BL169-BO169-BR169-BT169</f>
        <v>0</v>
      </c>
      <c r="BV169" s="84" t="n">
        <f aca="false">BO169+BR169+(1-$F169)*BU169</f>
        <v>0</v>
      </c>
      <c r="BW169" s="84" t="n">
        <f aca="false">BT169+$F169*BU169</f>
        <v>0</v>
      </c>
      <c r="BX169" s="84" t="n">
        <f aca="false">BH169+BR169+(1-$F169)*BU169</f>
        <v>0</v>
      </c>
      <c r="BY169" s="84" t="n">
        <f aca="false">BI169+BW169</f>
        <v>0</v>
      </c>
      <c r="BZ169" s="133" t="n">
        <f aca="false">BM169+$D169*Inputs!$E$13-$D169*$E169</f>
        <v>14090.448</v>
      </c>
      <c r="CA169" s="84" t="n">
        <f aca="false">BZ169*(1+$I169)</f>
        <v>17472.15552</v>
      </c>
      <c r="CB169" s="133" t="n">
        <f aca="false">CA169*Inputs!$E$14</f>
        <v>0</v>
      </c>
      <c r="CC169" s="84" t="n">
        <f aca="false">CA169-CB169</f>
        <v>17472.15552</v>
      </c>
      <c r="CD169" s="133" t="n">
        <f aca="false">BP169+$D169*Inputs!$E$13</f>
        <v>12000</v>
      </c>
      <c r="CE169" s="84" t="n">
        <f aca="false">MIN(CB169,CD169)</f>
        <v>0</v>
      </c>
      <c r="CF169" s="84" t="n">
        <f aca="false">CD169-CE169</f>
        <v>12000</v>
      </c>
      <c r="CG169" s="84" t="n">
        <f aca="false">BS169+$G169*(CD169+BS169)</f>
        <v>0</v>
      </c>
      <c r="CH169" s="84" t="n">
        <f aca="false">MIN(CB169-CE169,CG169)</f>
        <v>0</v>
      </c>
      <c r="CI169" s="84" t="n">
        <f aca="false">CG169-CH169</f>
        <v>0</v>
      </c>
      <c r="CJ169" s="84" t="n">
        <f aca="false">IF($H169=1,MIN(CB169-CE169-CH169,MAX(0,$F169/(1-$F169)*(BX169+CH169)-BY169)),0)</f>
        <v>0</v>
      </c>
      <c r="CK169" s="84" t="n">
        <f aca="false">CB169-CE169-CH169-CJ169</f>
        <v>0</v>
      </c>
      <c r="CL169" s="84" t="n">
        <f aca="false">CE169+CH169+(1-$F169)*CK169</f>
        <v>0</v>
      </c>
      <c r="CM169" s="84" t="n">
        <f aca="false">CJ169+$F169*CK169</f>
        <v>0</v>
      </c>
      <c r="CN169" s="84" t="n">
        <f aca="false">BX169+CH169+(1-$F169)*CK169</f>
        <v>0</v>
      </c>
      <c r="CO169" s="84" t="n">
        <f aca="false">BY169+CM169</f>
        <v>0</v>
      </c>
      <c r="CP169" s="133" t="n">
        <f aca="false">CC169+$D169*Inputs!$F$13-$D169*$E169</f>
        <v>21202.15552</v>
      </c>
      <c r="CQ169" s="84" t="n">
        <f aca="false">CP169*(1+$I169)</f>
        <v>26290.6728448</v>
      </c>
      <c r="CR169" s="133" t="n">
        <f aca="false">CQ169*Inputs!$F$14</f>
        <v>0</v>
      </c>
      <c r="CS169" s="84" t="n">
        <f aca="false">CQ169-CR169</f>
        <v>26290.6728448</v>
      </c>
      <c r="CT169" s="133" t="n">
        <f aca="false">CF169+$D169*Inputs!$F$13</f>
        <v>16000</v>
      </c>
      <c r="CU169" s="84" t="n">
        <f aca="false">MIN(CR169,CT169)</f>
        <v>0</v>
      </c>
      <c r="CV169" s="84" t="n">
        <f aca="false">CT169-CU169</f>
        <v>16000</v>
      </c>
      <c r="CW169" s="84" t="n">
        <f aca="false">CI169+$G169*(CT169+CI169)</f>
        <v>0</v>
      </c>
      <c r="CX169" s="84" t="n">
        <f aca="false">MIN(CR169-CU169,CW169)</f>
        <v>0</v>
      </c>
      <c r="CY169" s="84" t="n">
        <f aca="false">CW169-CX169</f>
        <v>0</v>
      </c>
      <c r="CZ169" s="84" t="n">
        <f aca="false">IF($H169=1,MIN(CR169-CU169-CX169,MAX(0,$F169/(1-$F169)*(CN169+CX169)-CO169)),0)</f>
        <v>0</v>
      </c>
      <c r="DA169" s="84" t="n">
        <f aca="false">CR169-CU169-CX169-CZ169</f>
        <v>0</v>
      </c>
      <c r="DB169" s="84" t="n">
        <f aca="false">CU169+CX169+(1-$F169)*DA169</f>
        <v>0</v>
      </c>
      <c r="DC169" s="84" t="n">
        <f aca="false">CZ169+$F169*DA169</f>
        <v>0</v>
      </c>
      <c r="DD169" s="84" t="n">
        <f aca="false">CN169+CX169+(1-$F169)*DA169</f>
        <v>0</v>
      </c>
      <c r="DE169" s="84" t="n">
        <f aca="false">CO169+DC169</f>
        <v>0</v>
      </c>
      <c r="DF169" s="133" t="n">
        <f aca="false">CS169+$D169*Inputs!$G$13-$D169*$E169</f>
        <v>30020.6728448</v>
      </c>
      <c r="DG169" s="84" t="n">
        <f aca="false">DF169*(1+$I169)</f>
        <v>37225.634327552</v>
      </c>
      <c r="DH169" s="133" t="n">
        <f aca="false">DG169*Inputs!$G$14</f>
        <v>7445.1268655104</v>
      </c>
      <c r="DI169" s="84" t="n">
        <f aca="false">DG169-DH169</f>
        <v>29780.5074620416</v>
      </c>
      <c r="DJ169" s="133" t="n">
        <f aca="false">CV169+$D169*Inputs!$G$13</f>
        <v>20000</v>
      </c>
      <c r="DK169" s="84" t="n">
        <f aca="false">MIN(DH169,DJ169)</f>
        <v>7445.1268655104</v>
      </c>
      <c r="DL169" s="84" t="n">
        <f aca="false">DJ169-DK169</f>
        <v>12554.8731344896</v>
      </c>
      <c r="DM169" s="84" t="n">
        <f aca="false">CY169+$G169*(DJ169+CY169)</f>
        <v>0</v>
      </c>
      <c r="DN169" s="84" t="n">
        <f aca="false">MIN(DH169-DK169,DM169)</f>
        <v>0</v>
      </c>
      <c r="DO169" s="84" t="n">
        <f aca="false">DM169-DN169</f>
        <v>0</v>
      </c>
      <c r="DP169" s="84" t="n">
        <f aca="false">IF($H169=1,MIN(DH169-DK169-DN169,MAX(0,$F169/(1-$F169)*(DD169+DN169)-DE169)),0)</f>
        <v>0</v>
      </c>
      <c r="DQ169" s="84" t="n">
        <f aca="false">DH169-DK169-DN169-DP169</f>
        <v>0</v>
      </c>
      <c r="DR169" s="84" t="n">
        <f aca="false">DK169+DN169+(1-$F169)*DQ169</f>
        <v>7445.1268655104</v>
      </c>
      <c r="DS169" s="84" t="n">
        <f aca="false">DP169+$F169*DQ169</f>
        <v>0</v>
      </c>
      <c r="DT169" s="84" t="n">
        <f aca="false">DD169+DN169+(1-$F169)*DQ169</f>
        <v>0</v>
      </c>
      <c r="DU169" s="84" t="n">
        <f aca="false">DE169+DS169</f>
        <v>0</v>
      </c>
      <c r="DV169" s="133" t="n">
        <f aca="false">DI169+$D169*Inputs!$H$13-$D169*$E169</f>
        <v>29510.5074620416</v>
      </c>
      <c r="DW169" s="84" t="n">
        <f aca="false">DV169*(1+$I169)</f>
        <v>36593.0292529316</v>
      </c>
      <c r="DX169" s="133" t="n">
        <f aca="false">DW169*Inputs!$H$14</f>
        <v>7318.60585058632</v>
      </c>
      <c r="DY169" s="84" t="n">
        <f aca="false">DW169-DX169</f>
        <v>29274.4234023453</v>
      </c>
      <c r="DZ169" s="133" t="n">
        <f aca="false">DL169+$D169*Inputs!$H$13</f>
        <v>12554.8731344896</v>
      </c>
      <c r="EA169" s="84" t="n">
        <f aca="false">MIN(DX169,DZ169)</f>
        <v>7318.60585058632</v>
      </c>
      <c r="EB169" s="84" t="n">
        <f aca="false">DZ169-EA169</f>
        <v>5236.26728390328</v>
      </c>
      <c r="EC169" s="84" t="n">
        <f aca="false">DO169+$G169*(DZ169+DO169)</f>
        <v>0</v>
      </c>
      <c r="ED169" s="84" t="n">
        <f aca="false">MIN(DX169-EA169,EC169)</f>
        <v>0</v>
      </c>
      <c r="EE169" s="84" t="n">
        <f aca="false">EC169-ED169</f>
        <v>0</v>
      </c>
      <c r="EF169" s="84" t="n">
        <f aca="false">IF($H169=1,MIN(DX169-EA169-ED169,MAX(0,$F169/(1-$F169)*(DT169+ED169)-DU169)),0)</f>
        <v>0</v>
      </c>
      <c r="EG169" s="84" t="n">
        <f aca="false">DX169-EA169-ED169-EF169</f>
        <v>0</v>
      </c>
      <c r="EH169" s="84" t="n">
        <f aca="false">EA169+ED169+(1-$F169)*EG169</f>
        <v>7318.60585058632</v>
      </c>
      <c r="EI169" s="84" t="n">
        <f aca="false">EF169+$F169*EG169</f>
        <v>0</v>
      </c>
      <c r="EJ169" s="84" t="n">
        <f aca="false">DT169+ED169+(1-$F169)*EG169</f>
        <v>0</v>
      </c>
      <c r="EK169" s="84" t="n">
        <f aca="false">DU169+EI169</f>
        <v>0</v>
      </c>
      <c r="EL169" s="133" t="n">
        <f aca="false">DY169+$D169*Inputs!$I$13-$D169*$E169</f>
        <v>29004.4234023453</v>
      </c>
      <c r="EM169" s="84" t="n">
        <f aca="false">EL169*(1+$I169)</f>
        <v>35965.4850189081</v>
      </c>
      <c r="EN169" s="133" t="n">
        <f aca="false">EM169*Inputs!$I$14</f>
        <v>7193.09700378163</v>
      </c>
      <c r="EO169" s="84" t="n">
        <f aca="false">EM169-EN169</f>
        <v>28772.3880151265</v>
      </c>
      <c r="EP169" s="133" t="n">
        <f aca="false">EB169+$D169*Inputs!$I$13</f>
        <v>5236.26728390328</v>
      </c>
      <c r="EQ169" s="84" t="n">
        <f aca="false">MIN(EN169,EP169)</f>
        <v>5236.26728390328</v>
      </c>
      <c r="ER169" s="84" t="n">
        <f aca="false">EP169-EQ169</f>
        <v>0</v>
      </c>
      <c r="ES169" s="84" t="n">
        <f aca="false">EE169+$G169*(EP169+EE169)</f>
        <v>0</v>
      </c>
      <c r="ET169" s="84" t="n">
        <f aca="false">MIN(EN169-EQ169,ES169)</f>
        <v>0</v>
      </c>
      <c r="EU169" s="84" t="n">
        <f aca="false">ES169-ET169</f>
        <v>0</v>
      </c>
      <c r="EV169" s="84" t="n">
        <f aca="false">IF($H169=1,MIN(EN169-EQ169-ET169,MAX(0,$F169/(1-$F169)*(EJ169+ET169)-EK169)),0)</f>
        <v>0</v>
      </c>
      <c r="EW169" s="84" t="n">
        <f aca="false">EN169-EQ169-ET169-EV169</f>
        <v>1956.82971987834</v>
      </c>
      <c r="EX169" s="84" t="n">
        <f aca="false">EQ169+ET169+(1-$F169)*EW169</f>
        <v>6899.57254579988</v>
      </c>
      <c r="EY169" s="84" t="n">
        <f aca="false">EV169+$F169*EW169</f>
        <v>293.524457981752</v>
      </c>
      <c r="EZ169" s="84" t="n">
        <f aca="false">EJ169+ET169+(1-$F169)*EW169</f>
        <v>1663.30526189659</v>
      </c>
      <c r="FA169" s="84" t="n">
        <f aca="false">EK169+EY169</f>
        <v>293.524457981752</v>
      </c>
      <c r="FB169" s="133" t="n">
        <f aca="false">EO169+$D169*Inputs!$J$13-$D169*$E169</f>
        <v>28502.3880151265</v>
      </c>
      <c r="FC169" s="84" t="n">
        <f aca="false">FB169*(1+$I169)</f>
        <v>35342.9611387569</v>
      </c>
      <c r="FD169" s="133" t="n">
        <f aca="false">FC169*Inputs!$J$14</f>
        <v>7068.59222775137</v>
      </c>
      <c r="FE169" s="84" t="n">
        <f aca="false">FC169-FD169</f>
        <v>28274.3689110055</v>
      </c>
      <c r="FF169" s="133" t="n">
        <f aca="false">ER169+$D169*Inputs!$J$13</f>
        <v>0</v>
      </c>
      <c r="FG169" s="84" t="n">
        <f aca="false">MIN(FD169,FF169)</f>
        <v>0</v>
      </c>
      <c r="FH169" s="84" t="n">
        <f aca="false">FF169-FG169</f>
        <v>0</v>
      </c>
      <c r="FI169" s="84" t="n">
        <f aca="false">EU169+$G169*(FF169+EU169)</f>
        <v>0</v>
      </c>
      <c r="FJ169" s="84" t="n">
        <f aca="false">MIN(FD169-FG169,FI169)</f>
        <v>0</v>
      </c>
      <c r="FK169" s="84" t="n">
        <f aca="false">FI169-FJ169</f>
        <v>0</v>
      </c>
      <c r="FL169" s="84" t="n">
        <f aca="false">IF($H169=1,MIN(FD169-FG169-FJ169,MAX(0,$F169/(1-$F169)*(EZ169+FJ169)-FA169)),0)</f>
        <v>0</v>
      </c>
      <c r="FM169" s="84" t="n">
        <f aca="false">FD169-FG169-FJ169-FL169</f>
        <v>7068.59222775137</v>
      </c>
      <c r="FN169" s="84" t="n">
        <f aca="false">FG169+FJ169+(1-$F169)*FM169</f>
        <v>6008.30339358867</v>
      </c>
      <c r="FO169" s="84" t="n">
        <f aca="false">FL169+$F169*FM169</f>
        <v>1060.28883416271</v>
      </c>
      <c r="FP169" s="84" t="n">
        <f aca="false">EZ169+FJ169+(1-$F169)*FM169</f>
        <v>7671.60865548526</v>
      </c>
      <c r="FQ169" s="84" t="n">
        <f aca="false">FA169+FO169</f>
        <v>1353.81329214446</v>
      </c>
      <c r="FR169" s="133" t="n">
        <f aca="false">FE169+$D169*Inputs!$K$13-$D169*$E169</f>
        <v>28004.3689110055</v>
      </c>
      <c r="FS169" s="84" t="n">
        <f aca="false">FR169*(1+$I169)</f>
        <v>34725.4174496468</v>
      </c>
      <c r="FT169" s="133" t="n">
        <f aca="false">FS169*Inputs!$K$14</f>
        <v>6945.08348992936</v>
      </c>
      <c r="FU169" s="84" t="n">
        <f aca="false">FS169-FT169</f>
        <v>27780.3339597175</v>
      </c>
      <c r="FV169" s="133" t="n">
        <f aca="false">FH169+$D169*Inputs!$K$13</f>
        <v>0</v>
      </c>
      <c r="FW169" s="84" t="n">
        <f aca="false">MIN(FT169,FV169)</f>
        <v>0</v>
      </c>
      <c r="FX169" s="84" t="n">
        <f aca="false">FV169-FW169</f>
        <v>0</v>
      </c>
      <c r="FY169" s="84" t="n">
        <f aca="false">FK169+$G169*(FV169+FK169)</f>
        <v>0</v>
      </c>
      <c r="FZ169" s="84" t="n">
        <f aca="false">MIN(FT169-FW169,FY169)</f>
        <v>0</v>
      </c>
      <c r="GA169" s="84" t="n">
        <f aca="false">FY169-FZ169</f>
        <v>0</v>
      </c>
      <c r="GB169" s="84" t="n">
        <f aca="false">IF($H169=1,MIN(FT169-FW169-FZ169,MAX(0,$F169/(1-$F169)*(FP169+FZ169)-FQ169)),0)</f>
        <v>0</v>
      </c>
      <c r="GC169" s="84" t="n">
        <f aca="false">FT169-FW169-FZ169-GB169</f>
        <v>6945.08348992936</v>
      </c>
      <c r="GD169" s="84" t="n">
        <f aca="false">FW169+FZ169+(1-$F169)*GC169</f>
        <v>5903.32096643996</v>
      </c>
      <c r="GE169" s="84" t="n">
        <f aca="false">GB169+$F169*GC169</f>
        <v>1041.7625234894</v>
      </c>
      <c r="GF169" s="84" t="n">
        <f aca="false">FP169+FZ169+(1-$F169)*GC169</f>
        <v>13574.9296219252</v>
      </c>
      <c r="GG169" s="84" t="n">
        <f aca="false">FQ169+GE169</f>
        <v>2395.57581563386</v>
      </c>
      <c r="GH169" s="133" t="n">
        <f aca="false">FU169+$D169*Inputs!$L$13-$D169*$E169</f>
        <v>27510.3339597175</v>
      </c>
      <c r="GI169" s="84" t="n">
        <f aca="false">GH169*(1+$I169)</f>
        <v>34112.8141100496</v>
      </c>
      <c r="GJ169" s="133" t="n">
        <f aca="false">GI169*Inputs!$L$14</f>
        <v>34112.8141100496</v>
      </c>
      <c r="GK169" s="84" t="n">
        <f aca="false">GI169-GJ169</f>
        <v>0</v>
      </c>
      <c r="GL169" s="133" t="n">
        <f aca="false">FX169+$D169*Inputs!$L$13</f>
        <v>0</v>
      </c>
      <c r="GM169" s="84" t="n">
        <f aca="false">MIN(GJ169,GL169)</f>
        <v>0</v>
      </c>
      <c r="GN169" s="84" t="n">
        <f aca="false">GL169-GM169</f>
        <v>0</v>
      </c>
      <c r="GO169" s="84" t="n">
        <f aca="false">GA169+$G169*(GL169+GA169)</f>
        <v>0</v>
      </c>
      <c r="GP169" s="84" t="n">
        <f aca="false">MIN(GJ169-GM169,GO169)</f>
        <v>0</v>
      </c>
      <c r="GQ169" s="84" t="n">
        <f aca="false">GO169-GP169</f>
        <v>0</v>
      </c>
      <c r="GR169" s="84" t="n">
        <f aca="false">IF($H169=1,MIN(GJ169-GM169-GP169,MAX(0,$F169/(1-$F169)*(GF169+GP169)-GG169)),0)</f>
        <v>0</v>
      </c>
      <c r="GS169" s="84" t="n">
        <f aca="false">GJ169-GM169-GP169-GR169</f>
        <v>34112.8141100496</v>
      </c>
      <c r="GT169" s="84" t="n">
        <f aca="false">GM169+GP169+(1-$F169)*GS169</f>
        <v>28995.8919935422</v>
      </c>
      <c r="GU169" s="84" t="n">
        <f aca="false">GR169+$F169*GS169</f>
        <v>5116.92211650745</v>
      </c>
      <c r="GV169" s="84" t="n">
        <f aca="false">GF169+GP169+(1-$F169)*GS169</f>
        <v>42570.8216154674</v>
      </c>
      <c r="GW169" s="84" t="n">
        <f aca="false">GG169+GU169</f>
        <v>7512.49793214131</v>
      </c>
    </row>
    <row r="170" customFormat="false" ht="15" hidden="false" customHeight="false" outlineLevel="0" collapsed="false">
      <c r="A170" s="5" t="s">
        <v>641</v>
      </c>
      <c r="B170" s="5" t="s">
        <v>429</v>
      </c>
      <c r="C170" s="135" t="n">
        <v>25</v>
      </c>
      <c r="D170" s="47" t="n">
        <f aca="false">Inputs!$C$6</f>
        <v>20000</v>
      </c>
      <c r="E170" s="35" t="n">
        <f aca="false">Inputs!$C$19</f>
        <v>0.0135</v>
      </c>
      <c r="F170" s="36" t="n">
        <f aca="false">Inputs!$C$21</f>
        <v>0.15</v>
      </c>
      <c r="G170" s="30" t="n">
        <v>0</v>
      </c>
      <c r="H170" s="27" t="n">
        <v>0</v>
      </c>
      <c r="I170" s="132" t="n">
        <f aca="false">Inputs!$C$38+$C170*Inputs!$C$39</f>
        <v>0.25</v>
      </c>
      <c r="J170" s="36" t="n">
        <f aca="false">Inputs!$C$9</f>
        <v>0.15</v>
      </c>
      <c r="K170" s="89" t="n">
        <f aca="false">IRR(W170:AG170,0.1)</f>
        <v>0.212897646590057</v>
      </c>
      <c r="L170" s="45" t="n">
        <f aca="false">W170+NPV($J170,X170:AG170)</f>
        <v>5874.74466389047</v>
      </c>
      <c r="M170" s="45" t="n">
        <f aca="false">SUM(BF170,BV170,CL170,DB170,DR170,EH170,EX170,FN170,GD170,GT170)</f>
        <v>66042.8564453125</v>
      </c>
      <c r="N170" s="43" t="n">
        <f aca="false">IF($D170*SUM(Inputs!$C$13:$L$13)=0,0,M170/($D170*SUM(Inputs!$C$13:$L$13)))</f>
        <v>3.30214282226563</v>
      </c>
      <c r="O170" s="42" t="n">
        <f aca="false">$D170*$E170*COLUMNS(Inputs!$C$13:$L$13)</f>
        <v>2700</v>
      </c>
      <c r="P170" s="45" t="n">
        <f aca="false">SUM(BG170,BW170,CM170,DC170,DS170,EI170,EY170,FO170,GE170,GU170)</f>
        <v>8125.2099609375</v>
      </c>
      <c r="Q170" s="42" t="n">
        <f aca="false">PV($J170,COLUMNS(Inputs!$C$13:$L$13),-$D170*$E170,0,1)</f>
        <v>1558.32765832774</v>
      </c>
      <c r="R170" s="45" t="n">
        <f aca="false">NPV($J170,BG170,BW170,CM170,DC170,DS170,EI170,EY170,FO170,GE170,GU170)</f>
        <v>2191.81928894748</v>
      </c>
      <c r="S170" s="45" t="n">
        <f aca="false">Q170+R170</f>
        <v>3750.14694727522</v>
      </c>
      <c r="T170" s="32" t="n">
        <f aca="false">IF(S170=0,0,Q170/S170)</f>
        <v>0.415537758983014</v>
      </c>
      <c r="U170" s="45" t="n">
        <f aca="false">ROUND(ABS(GK170)+ABS(SUM(AV170,BL170,CB170,CR170,DH170,DX170,EN170,FD170,FT170,GJ170)-M170-P170)+ABS(S170-(AH170+NPV($J170,AI170:AR170))),6)</f>
        <v>0</v>
      </c>
      <c r="W170" s="133" t="n">
        <f aca="false">-$D170*Inputs!$C$13</f>
        <v>-4000</v>
      </c>
      <c r="X170" s="133" t="n">
        <f aca="false">BF170-$D170*Inputs!$D$13</f>
        <v>-4000</v>
      </c>
      <c r="Y170" s="133" t="n">
        <f aca="false">BV170-$D170*Inputs!$E$13</f>
        <v>-4000</v>
      </c>
      <c r="Z170" s="133" t="n">
        <f aca="false">CL170-$D170*Inputs!$F$13</f>
        <v>-4000</v>
      </c>
      <c r="AA170" s="133" t="n">
        <f aca="false">DB170-$D170*Inputs!$G$13</f>
        <v>-4000</v>
      </c>
      <c r="AB170" s="133" t="n">
        <f aca="false">DR170-$D170*Inputs!$H$13</f>
        <v>7653.056640625</v>
      </c>
      <c r="AC170" s="133" t="n">
        <f aca="false">EH170-$D170*Inputs!$I$13</f>
        <v>7585.556640625</v>
      </c>
      <c r="AD170" s="133" t="n">
        <f aca="false">EX170-$D170*Inputs!$J$13</f>
        <v>7104.55615234375</v>
      </c>
      <c r="AE170" s="133" t="n">
        <f aca="false">FN170-$D170*Inputs!$K$13</f>
        <v>6332.97314453125</v>
      </c>
      <c r="AF170" s="133" t="n">
        <f aca="false">GD170-$D170*Inputs!$L$13</f>
        <v>6275.59814453125</v>
      </c>
      <c r="AG170" s="84" t="n">
        <f aca="false">GT170</f>
        <v>31091.1157226563</v>
      </c>
      <c r="AH170" s="84" t="n">
        <f aca="false">$D170*$E170</f>
        <v>270</v>
      </c>
      <c r="AI170" s="84" t="n">
        <f aca="false">BG170+$D170*$E170</f>
        <v>270</v>
      </c>
      <c r="AJ170" s="84" t="n">
        <f aca="false">BW170+$D170*$E170</f>
        <v>270</v>
      </c>
      <c r="AK170" s="84" t="n">
        <f aca="false">CM170+$D170*$E170</f>
        <v>270</v>
      </c>
      <c r="AL170" s="84" t="n">
        <f aca="false">DC170+$D170*$E170</f>
        <v>270</v>
      </c>
      <c r="AM170" s="84" t="n">
        <f aca="false">DS170+$D170*$E170</f>
        <v>270</v>
      </c>
      <c r="AN170" s="84" t="n">
        <f aca="false">EI170+$D170*$E170</f>
        <v>270</v>
      </c>
      <c r="AO170" s="84" t="n">
        <f aca="false">EY170+$D170*$E170</f>
        <v>683.50048828125</v>
      </c>
      <c r="AP170" s="84" t="n">
        <f aca="false">FO170+$D170*$E170</f>
        <v>1387.58349609375</v>
      </c>
      <c r="AQ170" s="84" t="n">
        <f aca="false">GE170+$D170*$E170</f>
        <v>1377.45849609375</v>
      </c>
      <c r="AR170" s="84" t="n">
        <f aca="false">GU170</f>
        <v>5486.66748046875</v>
      </c>
      <c r="AT170" s="133" t="n">
        <f aca="false">$D170*Inputs!$C$13-$D170*$E170</f>
        <v>3730</v>
      </c>
      <c r="AU170" s="84" t="n">
        <f aca="false">AT170*(1+$I170)</f>
        <v>4662.5</v>
      </c>
      <c r="AV170" s="133" t="n">
        <f aca="false">AU170*Inputs!$C$14</f>
        <v>0</v>
      </c>
      <c r="AW170" s="84" t="n">
        <f aca="false">AU170-AV170</f>
        <v>4662.5</v>
      </c>
      <c r="AX170" s="133" t="n">
        <f aca="false">$D170*Inputs!$C$13</f>
        <v>4000</v>
      </c>
      <c r="AY170" s="84" t="n">
        <f aca="false">MIN(AV170,AX170)</f>
        <v>0</v>
      </c>
      <c r="AZ170" s="84" t="n">
        <f aca="false">AX170-AY170</f>
        <v>4000</v>
      </c>
      <c r="BA170" s="84" t="n">
        <f aca="false">$G170*AX170</f>
        <v>0</v>
      </c>
      <c r="BB170" s="84" t="n">
        <f aca="false">MIN(AV170-AY170,BA170)</f>
        <v>0</v>
      </c>
      <c r="BC170" s="84" t="n">
        <f aca="false">BA170-BB170</f>
        <v>0</v>
      </c>
      <c r="BD170" s="84" t="n">
        <f aca="false">IF($H170=1,MIN(AV170-AY170-BB170,MAX(0,$F170/(1-$F170)*BB170)),0)</f>
        <v>0</v>
      </c>
      <c r="BE170" s="84" t="n">
        <f aca="false">AV170-AY170-BB170-BD170</f>
        <v>0</v>
      </c>
      <c r="BF170" s="84" t="n">
        <f aca="false">AY170+BB170+(1-$F170)*BE170</f>
        <v>0</v>
      </c>
      <c r="BG170" s="84" t="n">
        <f aca="false">BD170+$F170*BE170</f>
        <v>0</v>
      </c>
      <c r="BH170" s="84" t="n">
        <f aca="false">BB170+(1-$F170)*BE170</f>
        <v>0</v>
      </c>
      <c r="BI170" s="84" t="n">
        <f aca="false">BG170</f>
        <v>0</v>
      </c>
      <c r="BJ170" s="133" t="n">
        <f aca="false">AW170+$D170*Inputs!$D$13-$D170*$E170</f>
        <v>8392.5</v>
      </c>
      <c r="BK170" s="84" t="n">
        <f aca="false">BJ170*(1+$I170)</f>
        <v>10490.625</v>
      </c>
      <c r="BL170" s="133" t="n">
        <f aca="false">BK170*Inputs!$D$14</f>
        <v>0</v>
      </c>
      <c r="BM170" s="84" t="n">
        <f aca="false">BK170-BL170</f>
        <v>10490.625</v>
      </c>
      <c r="BN170" s="133" t="n">
        <f aca="false">AZ170+$D170*Inputs!$D$13</f>
        <v>8000</v>
      </c>
      <c r="BO170" s="84" t="n">
        <f aca="false">MIN(BL170,BN170)</f>
        <v>0</v>
      </c>
      <c r="BP170" s="84" t="n">
        <f aca="false">BN170-BO170</f>
        <v>8000</v>
      </c>
      <c r="BQ170" s="84" t="n">
        <f aca="false">BC170+$G170*(BN170+BC170)</f>
        <v>0</v>
      </c>
      <c r="BR170" s="84" t="n">
        <f aca="false">MIN(BL170-BO170,BQ170)</f>
        <v>0</v>
      </c>
      <c r="BS170" s="84" t="n">
        <f aca="false">BQ170-BR170</f>
        <v>0</v>
      </c>
      <c r="BT170" s="84" t="n">
        <f aca="false">IF($H170=1,MIN(BL170-BO170-BR170,MAX(0,$F170/(1-$F170)*(BH170+BR170)-BI170)),0)</f>
        <v>0</v>
      </c>
      <c r="BU170" s="84" t="n">
        <f aca="false">BL170-BO170-BR170-BT170</f>
        <v>0</v>
      </c>
      <c r="BV170" s="84" t="n">
        <f aca="false">BO170+BR170+(1-$F170)*BU170</f>
        <v>0</v>
      </c>
      <c r="BW170" s="84" t="n">
        <f aca="false">BT170+$F170*BU170</f>
        <v>0</v>
      </c>
      <c r="BX170" s="84" t="n">
        <f aca="false">BH170+BR170+(1-$F170)*BU170</f>
        <v>0</v>
      </c>
      <c r="BY170" s="84" t="n">
        <f aca="false">BI170+BW170</f>
        <v>0</v>
      </c>
      <c r="BZ170" s="133" t="n">
        <f aca="false">BM170+$D170*Inputs!$E$13-$D170*$E170</f>
        <v>14220.625</v>
      </c>
      <c r="CA170" s="84" t="n">
        <f aca="false">BZ170*(1+$I170)</f>
        <v>17775.78125</v>
      </c>
      <c r="CB170" s="133" t="n">
        <f aca="false">CA170*Inputs!$E$14</f>
        <v>0</v>
      </c>
      <c r="CC170" s="84" t="n">
        <f aca="false">CA170-CB170</f>
        <v>17775.78125</v>
      </c>
      <c r="CD170" s="133" t="n">
        <f aca="false">BP170+$D170*Inputs!$E$13</f>
        <v>12000</v>
      </c>
      <c r="CE170" s="84" t="n">
        <f aca="false">MIN(CB170,CD170)</f>
        <v>0</v>
      </c>
      <c r="CF170" s="84" t="n">
        <f aca="false">CD170-CE170</f>
        <v>12000</v>
      </c>
      <c r="CG170" s="84" t="n">
        <f aca="false">BS170+$G170*(CD170+BS170)</f>
        <v>0</v>
      </c>
      <c r="CH170" s="84" t="n">
        <f aca="false">MIN(CB170-CE170,CG170)</f>
        <v>0</v>
      </c>
      <c r="CI170" s="84" t="n">
        <f aca="false">CG170-CH170</f>
        <v>0</v>
      </c>
      <c r="CJ170" s="84" t="n">
        <f aca="false">IF($H170=1,MIN(CB170-CE170-CH170,MAX(0,$F170/(1-$F170)*(BX170+CH170)-BY170)),0)</f>
        <v>0</v>
      </c>
      <c r="CK170" s="84" t="n">
        <f aca="false">CB170-CE170-CH170-CJ170</f>
        <v>0</v>
      </c>
      <c r="CL170" s="84" t="n">
        <f aca="false">CE170+CH170+(1-$F170)*CK170</f>
        <v>0</v>
      </c>
      <c r="CM170" s="84" t="n">
        <f aca="false">CJ170+$F170*CK170</f>
        <v>0</v>
      </c>
      <c r="CN170" s="84" t="n">
        <f aca="false">BX170+CH170+(1-$F170)*CK170</f>
        <v>0</v>
      </c>
      <c r="CO170" s="84" t="n">
        <f aca="false">BY170+CM170</f>
        <v>0</v>
      </c>
      <c r="CP170" s="133" t="n">
        <f aca="false">CC170+$D170*Inputs!$F$13-$D170*$E170</f>
        <v>21505.78125</v>
      </c>
      <c r="CQ170" s="84" t="n">
        <f aca="false">CP170*(1+$I170)</f>
        <v>26882.2265625</v>
      </c>
      <c r="CR170" s="133" t="n">
        <f aca="false">CQ170*Inputs!$F$14</f>
        <v>0</v>
      </c>
      <c r="CS170" s="84" t="n">
        <f aca="false">CQ170-CR170</f>
        <v>26882.2265625</v>
      </c>
      <c r="CT170" s="133" t="n">
        <f aca="false">CF170+$D170*Inputs!$F$13</f>
        <v>16000</v>
      </c>
      <c r="CU170" s="84" t="n">
        <f aca="false">MIN(CR170,CT170)</f>
        <v>0</v>
      </c>
      <c r="CV170" s="84" t="n">
        <f aca="false">CT170-CU170</f>
        <v>16000</v>
      </c>
      <c r="CW170" s="84" t="n">
        <f aca="false">CI170+$G170*(CT170+CI170)</f>
        <v>0</v>
      </c>
      <c r="CX170" s="84" t="n">
        <f aca="false">MIN(CR170-CU170,CW170)</f>
        <v>0</v>
      </c>
      <c r="CY170" s="84" t="n">
        <f aca="false">CW170-CX170</f>
        <v>0</v>
      </c>
      <c r="CZ170" s="84" t="n">
        <f aca="false">IF($H170=1,MIN(CR170-CU170-CX170,MAX(0,$F170/(1-$F170)*(CN170+CX170)-CO170)),0)</f>
        <v>0</v>
      </c>
      <c r="DA170" s="84" t="n">
        <f aca="false">CR170-CU170-CX170-CZ170</f>
        <v>0</v>
      </c>
      <c r="DB170" s="84" t="n">
        <f aca="false">CU170+CX170+(1-$F170)*DA170</f>
        <v>0</v>
      </c>
      <c r="DC170" s="84" t="n">
        <f aca="false">CZ170+$F170*DA170</f>
        <v>0</v>
      </c>
      <c r="DD170" s="84" t="n">
        <f aca="false">CN170+CX170+(1-$F170)*DA170</f>
        <v>0</v>
      </c>
      <c r="DE170" s="84" t="n">
        <f aca="false">CO170+DC170</f>
        <v>0</v>
      </c>
      <c r="DF170" s="133" t="n">
        <f aca="false">CS170+$D170*Inputs!$G$13-$D170*$E170</f>
        <v>30612.2265625</v>
      </c>
      <c r="DG170" s="84" t="n">
        <f aca="false">DF170*(1+$I170)</f>
        <v>38265.283203125</v>
      </c>
      <c r="DH170" s="133" t="n">
        <f aca="false">DG170*Inputs!$G$14</f>
        <v>7653.056640625</v>
      </c>
      <c r="DI170" s="84" t="n">
        <f aca="false">DG170-DH170</f>
        <v>30612.2265625</v>
      </c>
      <c r="DJ170" s="133" t="n">
        <f aca="false">CV170+$D170*Inputs!$G$13</f>
        <v>20000</v>
      </c>
      <c r="DK170" s="84" t="n">
        <f aca="false">MIN(DH170,DJ170)</f>
        <v>7653.056640625</v>
      </c>
      <c r="DL170" s="84" t="n">
        <f aca="false">DJ170-DK170</f>
        <v>12346.943359375</v>
      </c>
      <c r="DM170" s="84" t="n">
        <f aca="false">CY170+$G170*(DJ170+CY170)</f>
        <v>0</v>
      </c>
      <c r="DN170" s="84" t="n">
        <f aca="false">MIN(DH170-DK170,DM170)</f>
        <v>0</v>
      </c>
      <c r="DO170" s="84" t="n">
        <f aca="false">DM170-DN170</f>
        <v>0</v>
      </c>
      <c r="DP170" s="84" t="n">
        <f aca="false">IF($H170=1,MIN(DH170-DK170-DN170,MAX(0,$F170/(1-$F170)*(DD170+DN170)-DE170)),0)</f>
        <v>0</v>
      </c>
      <c r="DQ170" s="84" t="n">
        <f aca="false">DH170-DK170-DN170-DP170</f>
        <v>0</v>
      </c>
      <c r="DR170" s="84" t="n">
        <f aca="false">DK170+DN170+(1-$F170)*DQ170</f>
        <v>7653.056640625</v>
      </c>
      <c r="DS170" s="84" t="n">
        <f aca="false">DP170+$F170*DQ170</f>
        <v>0</v>
      </c>
      <c r="DT170" s="84" t="n">
        <f aca="false">DD170+DN170+(1-$F170)*DQ170</f>
        <v>0</v>
      </c>
      <c r="DU170" s="84" t="n">
        <f aca="false">DE170+DS170</f>
        <v>0</v>
      </c>
      <c r="DV170" s="133" t="n">
        <f aca="false">DI170+$D170*Inputs!$H$13-$D170*$E170</f>
        <v>30342.2265625</v>
      </c>
      <c r="DW170" s="84" t="n">
        <f aca="false">DV170*(1+$I170)</f>
        <v>37927.783203125</v>
      </c>
      <c r="DX170" s="133" t="n">
        <f aca="false">DW170*Inputs!$H$14</f>
        <v>7585.556640625</v>
      </c>
      <c r="DY170" s="84" t="n">
        <f aca="false">DW170-DX170</f>
        <v>30342.2265625</v>
      </c>
      <c r="DZ170" s="133" t="n">
        <f aca="false">DL170+$D170*Inputs!$H$13</f>
        <v>12346.943359375</v>
      </c>
      <c r="EA170" s="84" t="n">
        <f aca="false">MIN(DX170,DZ170)</f>
        <v>7585.556640625</v>
      </c>
      <c r="EB170" s="84" t="n">
        <f aca="false">DZ170-EA170</f>
        <v>4761.38671875</v>
      </c>
      <c r="EC170" s="84" t="n">
        <f aca="false">DO170+$G170*(DZ170+DO170)</f>
        <v>0</v>
      </c>
      <c r="ED170" s="84" t="n">
        <f aca="false">MIN(DX170-EA170,EC170)</f>
        <v>0</v>
      </c>
      <c r="EE170" s="84" t="n">
        <f aca="false">EC170-ED170</f>
        <v>0</v>
      </c>
      <c r="EF170" s="84" t="n">
        <f aca="false">IF($H170=1,MIN(DX170-EA170-ED170,MAX(0,$F170/(1-$F170)*(DT170+ED170)-DU170)),0)</f>
        <v>0</v>
      </c>
      <c r="EG170" s="84" t="n">
        <f aca="false">DX170-EA170-ED170-EF170</f>
        <v>0</v>
      </c>
      <c r="EH170" s="84" t="n">
        <f aca="false">EA170+ED170+(1-$F170)*EG170</f>
        <v>7585.556640625</v>
      </c>
      <c r="EI170" s="84" t="n">
        <f aca="false">EF170+$F170*EG170</f>
        <v>0</v>
      </c>
      <c r="EJ170" s="84" t="n">
        <f aca="false">DT170+ED170+(1-$F170)*EG170</f>
        <v>0</v>
      </c>
      <c r="EK170" s="84" t="n">
        <f aca="false">DU170+EI170</f>
        <v>0</v>
      </c>
      <c r="EL170" s="133" t="n">
        <f aca="false">DY170+$D170*Inputs!$I$13-$D170*$E170</f>
        <v>30072.2265625</v>
      </c>
      <c r="EM170" s="84" t="n">
        <f aca="false">EL170*(1+$I170)</f>
        <v>37590.283203125</v>
      </c>
      <c r="EN170" s="133" t="n">
        <f aca="false">EM170*Inputs!$I$14</f>
        <v>7518.056640625</v>
      </c>
      <c r="EO170" s="84" t="n">
        <f aca="false">EM170-EN170</f>
        <v>30072.2265625</v>
      </c>
      <c r="EP170" s="133" t="n">
        <f aca="false">EB170+$D170*Inputs!$I$13</f>
        <v>4761.38671875</v>
      </c>
      <c r="EQ170" s="84" t="n">
        <f aca="false">MIN(EN170,EP170)</f>
        <v>4761.38671875</v>
      </c>
      <c r="ER170" s="84" t="n">
        <f aca="false">EP170-EQ170</f>
        <v>0</v>
      </c>
      <c r="ES170" s="84" t="n">
        <f aca="false">EE170+$G170*(EP170+EE170)</f>
        <v>0</v>
      </c>
      <c r="ET170" s="84" t="n">
        <f aca="false">MIN(EN170-EQ170,ES170)</f>
        <v>0</v>
      </c>
      <c r="EU170" s="84" t="n">
        <f aca="false">ES170-ET170</f>
        <v>0</v>
      </c>
      <c r="EV170" s="84" t="n">
        <f aca="false">IF($H170=1,MIN(EN170-EQ170-ET170,MAX(0,$F170/(1-$F170)*(EJ170+ET170)-EK170)),0)</f>
        <v>0</v>
      </c>
      <c r="EW170" s="84" t="n">
        <f aca="false">EN170-EQ170-ET170-EV170</f>
        <v>2756.669921875</v>
      </c>
      <c r="EX170" s="84" t="n">
        <f aca="false">EQ170+ET170+(1-$F170)*EW170</f>
        <v>7104.55615234375</v>
      </c>
      <c r="EY170" s="84" t="n">
        <f aca="false">EV170+$F170*EW170</f>
        <v>413.50048828125</v>
      </c>
      <c r="EZ170" s="84" t="n">
        <f aca="false">EJ170+ET170+(1-$F170)*EW170</f>
        <v>2343.16943359375</v>
      </c>
      <c r="FA170" s="84" t="n">
        <f aca="false">EK170+EY170</f>
        <v>413.50048828125</v>
      </c>
      <c r="FB170" s="133" t="n">
        <f aca="false">EO170+$D170*Inputs!$J$13-$D170*$E170</f>
        <v>29802.2265625</v>
      </c>
      <c r="FC170" s="84" t="n">
        <f aca="false">FB170*(1+$I170)</f>
        <v>37252.783203125</v>
      </c>
      <c r="FD170" s="133" t="n">
        <f aca="false">FC170*Inputs!$J$14</f>
        <v>7450.556640625</v>
      </c>
      <c r="FE170" s="84" t="n">
        <f aca="false">FC170-FD170</f>
        <v>29802.2265625</v>
      </c>
      <c r="FF170" s="133" t="n">
        <f aca="false">ER170+$D170*Inputs!$J$13</f>
        <v>0</v>
      </c>
      <c r="FG170" s="84" t="n">
        <f aca="false">MIN(FD170,FF170)</f>
        <v>0</v>
      </c>
      <c r="FH170" s="84" t="n">
        <f aca="false">FF170-FG170</f>
        <v>0</v>
      </c>
      <c r="FI170" s="84" t="n">
        <f aca="false">EU170+$G170*(FF170+EU170)</f>
        <v>0</v>
      </c>
      <c r="FJ170" s="84" t="n">
        <f aca="false">MIN(FD170-FG170,FI170)</f>
        <v>0</v>
      </c>
      <c r="FK170" s="84" t="n">
        <f aca="false">FI170-FJ170</f>
        <v>0</v>
      </c>
      <c r="FL170" s="84" t="n">
        <f aca="false">IF($H170=1,MIN(FD170-FG170-FJ170,MAX(0,$F170/(1-$F170)*(EZ170+FJ170)-FA170)),0)</f>
        <v>0</v>
      </c>
      <c r="FM170" s="84" t="n">
        <f aca="false">FD170-FG170-FJ170-FL170</f>
        <v>7450.556640625</v>
      </c>
      <c r="FN170" s="84" t="n">
        <f aca="false">FG170+FJ170+(1-$F170)*FM170</f>
        <v>6332.97314453125</v>
      </c>
      <c r="FO170" s="84" t="n">
        <f aca="false">FL170+$F170*FM170</f>
        <v>1117.58349609375</v>
      </c>
      <c r="FP170" s="84" t="n">
        <f aca="false">EZ170+FJ170+(1-$F170)*FM170</f>
        <v>8676.142578125</v>
      </c>
      <c r="FQ170" s="84" t="n">
        <f aca="false">FA170+FO170</f>
        <v>1531.083984375</v>
      </c>
      <c r="FR170" s="133" t="n">
        <f aca="false">FE170+$D170*Inputs!$K$13-$D170*$E170</f>
        <v>29532.2265625</v>
      </c>
      <c r="FS170" s="84" t="n">
        <f aca="false">FR170*(1+$I170)</f>
        <v>36915.283203125</v>
      </c>
      <c r="FT170" s="133" t="n">
        <f aca="false">FS170*Inputs!$K$14</f>
        <v>7383.056640625</v>
      </c>
      <c r="FU170" s="84" t="n">
        <f aca="false">FS170-FT170</f>
        <v>29532.2265625</v>
      </c>
      <c r="FV170" s="133" t="n">
        <f aca="false">FH170+$D170*Inputs!$K$13</f>
        <v>0</v>
      </c>
      <c r="FW170" s="84" t="n">
        <f aca="false">MIN(FT170,FV170)</f>
        <v>0</v>
      </c>
      <c r="FX170" s="84" t="n">
        <f aca="false">FV170-FW170</f>
        <v>0</v>
      </c>
      <c r="FY170" s="84" t="n">
        <f aca="false">FK170+$G170*(FV170+FK170)</f>
        <v>0</v>
      </c>
      <c r="FZ170" s="84" t="n">
        <f aca="false">MIN(FT170-FW170,FY170)</f>
        <v>0</v>
      </c>
      <c r="GA170" s="84" t="n">
        <f aca="false">FY170-FZ170</f>
        <v>0</v>
      </c>
      <c r="GB170" s="84" t="n">
        <f aca="false">IF($H170=1,MIN(FT170-FW170-FZ170,MAX(0,$F170/(1-$F170)*(FP170+FZ170)-FQ170)),0)</f>
        <v>0</v>
      </c>
      <c r="GC170" s="84" t="n">
        <f aca="false">FT170-FW170-FZ170-GB170</f>
        <v>7383.056640625</v>
      </c>
      <c r="GD170" s="84" t="n">
        <f aca="false">FW170+FZ170+(1-$F170)*GC170</f>
        <v>6275.59814453125</v>
      </c>
      <c r="GE170" s="84" t="n">
        <f aca="false">GB170+$F170*GC170</f>
        <v>1107.45849609375</v>
      </c>
      <c r="GF170" s="84" t="n">
        <f aca="false">FP170+FZ170+(1-$F170)*GC170</f>
        <v>14951.7407226563</v>
      </c>
      <c r="GG170" s="84" t="n">
        <f aca="false">FQ170+GE170</f>
        <v>2638.54248046875</v>
      </c>
      <c r="GH170" s="133" t="n">
        <f aca="false">FU170+$D170*Inputs!$L$13-$D170*$E170</f>
        <v>29262.2265625</v>
      </c>
      <c r="GI170" s="84" t="n">
        <f aca="false">GH170*(1+$I170)</f>
        <v>36577.783203125</v>
      </c>
      <c r="GJ170" s="133" t="n">
        <f aca="false">GI170*Inputs!$L$14</f>
        <v>36577.783203125</v>
      </c>
      <c r="GK170" s="84" t="n">
        <f aca="false">GI170-GJ170</f>
        <v>0</v>
      </c>
      <c r="GL170" s="133" t="n">
        <f aca="false">FX170+$D170*Inputs!$L$13</f>
        <v>0</v>
      </c>
      <c r="GM170" s="84" t="n">
        <f aca="false">MIN(GJ170,GL170)</f>
        <v>0</v>
      </c>
      <c r="GN170" s="84" t="n">
        <f aca="false">GL170-GM170</f>
        <v>0</v>
      </c>
      <c r="GO170" s="84" t="n">
        <f aca="false">GA170+$G170*(GL170+GA170)</f>
        <v>0</v>
      </c>
      <c r="GP170" s="84" t="n">
        <f aca="false">MIN(GJ170-GM170,GO170)</f>
        <v>0</v>
      </c>
      <c r="GQ170" s="84" t="n">
        <f aca="false">GO170-GP170</f>
        <v>0</v>
      </c>
      <c r="GR170" s="84" t="n">
        <f aca="false">IF($H170=1,MIN(GJ170-GM170-GP170,MAX(0,$F170/(1-$F170)*(GF170+GP170)-GG170)),0)</f>
        <v>0</v>
      </c>
      <c r="GS170" s="84" t="n">
        <f aca="false">GJ170-GM170-GP170-GR170</f>
        <v>36577.783203125</v>
      </c>
      <c r="GT170" s="84" t="n">
        <f aca="false">GM170+GP170+(1-$F170)*GS170</f>
        <v>31091.1157226563</v>
      </c>
      <c r="GU170" s="84" t="n">
        <f aca="false">GR170+$F170*GS170</f>
        <v>5486.66748046875</v>
      </c>
      <c r="GV170" s="84" t="n">
        <f aca="false">GF170+GP170+(1-$F170)*GS170</f>
        <v>46042.8564453125</v>
      </c>
      <c r="GW170" s="84" t="n">
        <f aca="false">GG170+GU170</f>
        <v>8125.2099609375</v>
      </c>
    </row>
    <row r="171" customFormat="false" ht="15" hidden="false" customHeight="false" outlineLevel="0" collapsed="false">
      <c r="A171" s="5" t="s">
        <v>641</v>
      </c>
      <c r="B171" s="5" t="s">
        <v>429</v>
      </c>
      <c r="C171" s="135" t="n">
        <v>26</v>
      </c>
      <c r="D171" s="47" t="n">
        <f aca="false">Inputs!$C$6</f>
        <v>20000</v>
      </c>
      <c r="E171" s="35" t="n">
        <f aca="false">Inputs!$C$19</f>
        <v>0.0135</v>
      </c>
      <c r="F171" s="36" t="n">
        <f aca="false">Inputs!$C$21</f>
        <v>0.15</v>
      </c>
      <c r="G171" s="30" t="n">
        <v>0</v>
      </c>
      <c r="H171" s="27" t="n">
        <v>0</v>
      </c>
      <c r="I171" s="132" t="n">
        <f aca="false">Inputs!$C$38+$C171*Inputs!$C$39</f>
        <v>0.26</v>
      </c>
      <c r="J171" s="36" t="n">
        <f aca="false">Inputs!$C$9</f>
        <v>0.15</v>
      </c>
      <c r="K171" s="89" t="n">
        <f aca="false">IRR(W171:AG171,0.1)</f>
        <v>0.222507805411996</v>
      </c>
      <c r="L171" s="45" t="n">
        <f aca="false">W171+NPV($J171,X171:AG171)</f>
        <v>6953.84809986084</v>
      </c>
      <c r="M171" s="45" t="n">
        <f aca="false">SUM(BF171,BV171,CL171,DB171,DR171,EH171,EX171,FN171,GD171,GT171)</f>
        <v>69706.8871995347</v>
      </c>
      <c r="N171" s="43" t="n">
        <f aca="false">IF($D171*SUM(Inputs!$C$13:$L$13)=0,0,M171/($D171*SUM(Inputs!$C$13:$L$13)))</f>
        <v>3.48534435997674</v>
      </c>
      <c r="O171" s="42" t="n">
        <f aca="false">$D171*$E171*COLUMNS(Inputs!$C$13:$L$13)</f>
        <v>2700</v>
      </c>
      <c r="P171" s="45" t="n">
        <f aca="false">SUM(BG171,BW171,CM171,DC171,DS171,EI171,EY171,FO171,GE171,GU171)</f>
        <v>8771.8036234473</v>
      </c>
      <c r="Q171" s="42" t="n">
        <f aca="false">PV($J171,COLUMNS(Inputs!$C$13:$L$13),-$D171*$E171,0,1)</f>
        <v>1558.32765832774</v>
      </c>
      <c r="R171" s="45" t="n">
        <f aca="false">NPV($J171,BG171,BW171,CM171,DC171,DS171,EI171,EY171,FO171,GE171,GU171)</f>
        <v>2374.95318219039</v>
      </c>
      <c r="S171" s="45" t="n">
        <f aca="false">Q171+R171</f>
        <v>3933.28084051813</v>
      </c>
      <c r="T171" s="32" t="n">
        <f aca="false">IF(S171=0,0,Q171/S171)</f>
        <v>0.39619028528928</v>
      </c>
      <c r="U171" s="45" t="n">
        <f aca="false">ROUND(ABS(GK171)+ABS(SUM(AV171,BL171,CB171,CR171,DH171,DX171,EN171,FD171,FT171,GJ171)-M171-P171)+ABS(S171-(AH171+NPV($J171,AI171:AR171))),6)</f>
        <v>0</v>
      </c>
      <c r="W171" s="133" t="n">
        <f aca="false">-$D171*Inputs!$C$13</f>
        <v>-4000</v>
      </c>
      <c r="X171" s="133" t="n">
        <f aca="false">BF171-$D171*Inputs!$D$13</f>
        <v>-4000</v>
      </c>
      <c r="Y171" s="133" t="n">
        <f aca="false">BV171-$D171*Inputs!$E$13</f>
        <v>-4000</v>
      </c>
      <c r="Z171" s="133" t="n">
        <f aca="false">CL171-$D171*Inputs!$F$13</f>
        <v>-4000</v>
      </c>
      <c r="AA171" s="133" t="n">
        <f aca="false">DB171-$D171*Inputs!$G$13</f>
        <v>-4000</v>
      </c>
      <c r="AB171" s="133" t="n">
        <f aca="false">DR171-$D171*Inputs!$H$13</f>
        <v>7866.0080364096</v>
      </c>
      <c r="AC171" s="133" t="n">
        <f aca="false">EH171-$D171*Inputs!$I$13</f>
        <v>7860.89610070088</v>
      </c>
      <c r="AD171" s="133" t="n">
        <f aca="false">EX171-$D171*Inputs!$J$13</f>
        <v>7318.34615851394</v>
      </c>
      <c r="AE171" s="133" t="n">
        <f aca="false">FN171-$D171*Inputs!$K$13</f>
        <v>6672.96683331316</v>
      </c>
      <c r="AF171" s="133" t="n">
        <f aca="false">GD171-$D171*Inputs!$L$13</f>
        <v>6668.51656797966</v>
      </c>
      <c r="AG171" s="84" t="n">
        <f aca="false">GT171</f>
        <v>33320.1535026175</v>
      </c>
      <c r="AH171" s="84" t="n">
        <f aca="false">$D171*$E171</f>
        <v>270</v>
      </c>
      <c r="AI171" s="84" t="n">
        <f aca="false">BG171+$D171*$E171</f>
        <v>270</v>
      </c>
      <c r="AJ171" s="84" t="n">
        <f aca="false">BW171+$D171*$E171</f>
        <v>270</v>
      </c>
      <c r="AK171" s="84" t="n">
        <f aca="false">CM171+$D171*$E171</f>
        <v>270</v>
      </c>
      <c r="AL171" s="84" t="n">
        <f aca="false">DC171+$D171*$E171</f>
        <v>270</v>
      </c>
      <c r="AM171" s="84" t="n">
        <f aca="false">DS171+$D171*$E171</f>
        <v>270</v>
      </c>
      <c r="AN171" s="84" t="n">
        <f aca="false">EI171+$D171*$E171</f>
        <v>270</v>
      </c>
      <c r="AO171" s="84" t="n">
        <f aca="false">EY171+$D171*$E171</f>
        <v>807.397110992544</v>
      </c>
      <c r="AP171" s="84" t="n">
        <f aca="false">FO171+$D171*$E171</f>
        <v>1447.58238234938</v>
      </c>
      <c r="AQ171" s="84" t="n">
        <f aca="false">GE171+$D171*$E171</f>
        <v>1446.79704140818</v>
      </c>
      <c r="AR171" s="84" t="n">
        <f aca="false">GU171</f>
        <v>5880.0270886972</v>
      </c>
      <c r="AT171" s="133" t="n">
        <f aca="false">$D171*Inputs!$C$13-$D171*$E171</f>
        <v>3730</v>
      </c>
      <c r="AU171" s="84" t="n">
        <f aca="false">AT171*(1+$I171)</f>
        <v>4699.8</v>
      </c>
      <c r="AV171" s="133" t="n">
        <f aca="false">AU171*Inputs!$C$14</f>
        <v>0</v>
      </c>
      <c r="AW171" s="84" t="n">
        <f aca="false">AU171-AV171</f>
        <v>4699.8</v>
      </c>
      <c r="AX171" s="133" t="n">
        <f aca="false">$D171*Inputs!$C$13</f>
        <v>4000</v>
      </c>
      <c r="AY171" s="84" t="n">
        <f aca="false">MIN(AV171,AX171)</f>
        <v>0</v>
      </c>
      <c r="AZ171" s="84" t="n">
        <f aca="false">AX171-AY171</f>
        <v>4000</v>
      </c>
      <c r="BA171" s="84" t="n">
        <f aca="false">$G171*AX171</f>
        <v>0</v>
      </c>
      <c r="BB171" s="84" t="n">
        <f aca="false">MIN(AV171-AY171,BA171)</f>
        <v>0</v>
      </c>
      <c r="BC171" s="84" t="n">
        <f aca="false">BA171-BB171</f>
        <v>0</v>
      </c>
      <c r="BD171" s="84" t="n">
        <f aca="false">IF($H171=1,MIN(AV171-AY171-BB171,MAX(0,$F171/(1-$F171)*BB171)),0)</f>
        <v>0</v>
      </c>
      <c r="BE171" s="84" t="n">
        <f aca="false">AV171-AY171-BB171-BD171</f>
        <v>0</v>
      </c>
      <c r="BF171" s="84" t="n">
        <f aca="false">AY171+BB171+(1-$F171)*BE171</f>
        <v>0</v>
      </c>
      <c r="BG171" s="84" t="n">
        <f aca="false">BD171+$F171*BE171</f>
        <v>0</v>
      </c>
      <c r="BH171" s="84" t="n">
        <f aca="false">BB171+(1-$F171)*BE171</f>
        <v>0</v>
      </c>
      <c r="BI171" s="84" t="n">
        <f aca="false">BG171</f>
        <v>0</v>
      </c>
      <c r="BJ171" s="133" t="n">
        <f aca="false">AW171+$D171*Inputs!$D$13-$D171*$E171</f>
        <v>8429.8</v>
      </c>
      <c r="BK171" s="84" t="n">
        <f aca="false">BJ171*(1+$I171)</f>
        <v>10621.548</v>
      </c>
      <c r="BL171" s="133" t="n">
        <f aca="false">BK171*Inputs!$D$14</f>
        <v>0</v>
      </c>
      <c r="BM171" s="84" t="n">
        <f aca="false">BK171-BL171</f>
        <v>10621.548</v>
      </c>
      <c r="BN171" s="133" t="n">
        <f aca="false">AZ171+$D171*Inputs!$D$13</f>
        <v>8000</v>
      </c>
      <c r="BO171" s="84" t="n">
        <f aca="false">MIN(BL171,BN171)</f>
        <v>0</v>
      </c>
      <c r="BP171" s="84" t="n">
        <f aca="false">BN171-BO171</f>
        <v>8000</v>
      </c>
      <c r="BQ171" s="84" t="n">
        <f aca="false">BC171+$G171*(BN171+BC171)</f>
        <v>0</v>
      </c>
      <c r="BR171" s="84" t="n">
        <f aca="false">MIN(BL171-BO171,BQ171)</f>
        <v>0</v>
      </c>
      <c r="BS171" s="84" t="n">
        <f aca="false">BQ171-BR171</f>
        <v>0</v>
      </c>
      <c r="BT171" s="84" t="n">
        <f aca="false">IF($H171=1,MIN(BL171-BO171-BR171,MAX(0,$F171/(1-$F171)*(BH171+BR171)-BI171)),0)</f>
        <v>0</v>
      </c>
      <c r="BU171" s="84" t="n">
        <f aca="false">BL171-BO171-BR171-BT171</f>
        <v>0</v>
      </c>
      <c r="BV171" s="84" t="n">
        <f aca="false">BO171+BR171+(1-$F171)*BU171</f>
        <v>0</v>
      </c>
      <c r="BW171" s="84" t="n">
        <f aca="false">BT171+$F171*BU171</f>
        <v>0</v>
      </c>
      <c r="BX171" s="84" t="n">
        <f aca="false">BH171+BR171+(1-$F171)*BU171</f>
        <v>0</v>
      </c>
      <c r="BY171" s="84" t="n">
        <f aca="false">BI171+BW171</f>
        <v>0</v>
      </c>
      <c r="BZ171" s="133" t="n">
        <f aca="false">BM171+$D171*Inputs!$E$13-$D171*$E171</f>
        <v>14351.548</v>
      </c>
      <c r="CA171" s="84" t="n">
        <f aca="false">BZ171*(1+$I171)</f>
        <v>18082.95048</v>
      </c>
      <c r="CB171" s="133" t="n">
        <f aca="false">CA171*Inputs!$E$14</f>
        <v>0</v>
      </c>
      <c r="CC171" s="84" t="n">
        <f aca="false">CA171-CB171</f>
        <v>18082.95048</v>
      </c>
      <c r="CD171" s="133" t="n">
        <f aca="false">BP171+$D171*Inputs!$E$13</f>
        <v>12000</v>
      </c>
      <c r="CE171" s="84" t="n">
        <f aca="false">MIN(CB171,CD171)</f>
        <v>0</v>
      </c>
      <c r="CF171" s="84" t="n">
        <f aca="false">CD171-CE171</f>
        <v>12000</v>
      </c>
      <c r="CG171" s="84" t="n">
        <f aca="false">BS171+$G171*(CD171+BS171)</f>
        <v>0</v>
      </c>
      <c r="CH171" s="84" t="n">
        <f aca="false">MIN(CB171-CE171,CG171)</f>
        <v>0</v>
      </c>
      <c r="CI171" s="84" t="n">
        <f aca="false">CG171-CH171</f>
        <v>0</v>
      </c>
      <c r="CJ171" s="84" t="n">
        <f aca="false">IF($H171=1,MIN(CB171-CE171-CH171,MAX(0,$F171/(1-$F171)*(BX171+CH171)-BY171)),0)</f>
        <v>0</v>
      </c>
      <c r="CK171" s="84" t="n">
        <f aca="false">CB171-CE171-CH171-CJ171</f>
        <v>0</v>
      </c>
      <c r="CL171" s="84" t="n">
        <f aca="false">CE171+CH171+(1-$F171)*CK171</f>
        <v>0</v>
      </c>
      <c r="CM171" s="84" t="n">
        <f aca="false">CJ171+$F171*CK171</f>
        <v>0</v>
      </c>
      <c r="CN171" s="84" t="n">
        <f aca="false">BX171+CH171+(1-$F171)*CK171</f>
        <v>0</v>
      </c>
      <c r="CO171" s="84" t="n">
        <f aca="false">BY171+CM171</f>
        <v>0</v>
      </c>
      <c r="CP171" s="133" t="n">
        <f aca="false">CC171+$D171*Inputs!$F$13-$D171*$E171</f>
        <v>21812.95048</v>
      </c>
      <c r="CQ171" s="84" t="n">
        <f aca="false">CP171*(1+$I171)</f>
        <v>27484.3176048</v>
      </c>
      <c r="CR171" s="133" t="n">
        <f aca="false">CQ171*Inputs!$F$14</f>
        <v>0</v>
      </c>
      <c r="CS171" s="84" t="n">
        <f aca="false">CQ171-CR171</f>
        <v>27484.3176048</v>
      </c>
      <c r="CT171" s="133" t="n">
        <f aca="false">CF171+$D171*Inputs!$F$13</f>
        <v>16000</v>
      </c>
      <c r="CU171" s="84" t="n">
        <f aca="false">MIN(CR171,CT171)</f>
        <v>0</v>
      </c>
      <c r="CV171" s="84" t="n">
        <f aca="false">CT171-CU171</f>
        <v>16000</v>
      </c>
      <c r="CW171" s="84" t="n">
        <f aca="false">CI171+$G171*(CT171+CI171)</f>
        <v>0</v>
      </c>
      <c r="CX171" s="84" t="n">
        <f aca="false">MIN(CR171-CU171,CW171)</f>
        <v>0</v>
      </c>
      <c r="CY171" s="84" t="n">
        <f aca="false">CW171-CX171</f>
        <v>0</v>
      </c>
      <c r="CZ171" s="84" t="n">
        <f aca="false">IF($H171=1,MIN(CR171-CU171-CX171,MAX(0,$F171/(1-$F171)*(CN171+CX171)-CO171)),0)</f>
        <v>0</v>
      </c>
      <c r="DA171" s="84" t="n">
        <f aca="false">CR171-CU171-CX171-CZ171</f>
        <v>0</v>
      </c>
      <c r="DB171" s="84" t="n">
        <f aca="false">CU171+CX171+(1-$F171)*DA171</f>
        <v>0</v>
      </c>
      <c r="DC171" s="84" t="n">
        <f aca="false">CZ171+$F171*DA171</f>
        <v>0</v>
      </c>
      <c r="DD171" s="84" t="n">
        <f aca="false">CN171+CX171+(1-$F171)*DA171</f>
        <v>0</v>
      </c>
      <c r="DE171" s="84" t="n">
        <f aca="false">CO171+DC171</f>
        <v>0</v>
      </c>
      <c r="DF171" s="133" t="n">
        <f aca="false">CS171+$D171*Inputs!$G$13-$D171*$E171</f>
        <v>31214.3176048</v>
      </c>
      <c r="DG171" s="84" t="n">
        <f aca="false">DF171*(1+$I171)</f>
        <v>39330.040182048</v>
      </c>
      <c r="DH171" s="133" t="n">
        <f aca="false">DG171*Inputs!$G$14</f>
        <v>7866.0080364096</v>
      </c>
      <c r="DI171" s="84" t="n">
        <f aca="false">DG171-DH171</f>
        <v>31464.0321456384</v>
      </c>
      <c r="DJ171" s="133" t="n">
        <f aca="false">CV171+$D171*Inputs!$G$13</f>
        <v>20000</v>
      </c>
      <c r="DK171" s="84" t="n">
        <f aca="false">MIN(DH171,DJ171)</f>
        <v>7866.0080364096</v>
      </c>
      <c r="DL171" s="84" t="n">
        <f aca="false">DJ171-DK171</f>
        <v>12133.9919635904</v>
      </c>
      <c r="DM171" s="84" t="n">
        <f aca="false">CY171+$G171*(DJ171+CY171)</f>
        <v>0</v>
      </c>
      <c r="DN171" s="84" t="n">
        <f aca="false">MIN(DH171-DK171,DM171)</f>
        <v>0</v>
      </c>
      <c r="DO171" s="84" t="n">
        <f aca="false">DM171-DN171</f>
        <v>0</v>
      </c>
      <c r="DP171" s="84" t="n">
        <f aca="false">IF($H171=1,MIN(DH171-DK171-DN171,MAX(0,$F171/(1-$F171)*(DD171+DN171)-DE171)),0)</f>
        <v>0</v>
      </c>
      <c r="DQ171" s="84" t="n">
        <f aca="false">DH171-DK171-DN171-DP171</f>
        <v>0</v>
      </c>
      <c r="DR171" s="84" t="n">
        <f aca="false">DK171+DN171+(1-$F171)*DQ171</f>
        <v>7866.0080364096</v>
      </c>
      <c r="DS171" s="84" t="n">
        <f aca="false">DP171+$F171*DQ171</f>
        <v>0</v>
      </c>
      <c r="DT171" s="84" t="n">
        <f aca="false">DD171+DN171+(1-$F171)*DQ171</f>
        <v>0</v>
      </c>
      <c r="DU171" s="84" t="n">
        <f aca="false">DE171+DS171</f>
        <v>0</v>
      </c>
      <c r="DV171" s="133" t="n">
        <f aca="false">DI171+$D171*Inputs!$H$13-$D171*$E171</f>
        <v>31194.0321456384</v>
      </c>
      <c r="DW171" s="84" t="n">
        <f aca="false">DV171*(1+$I171)</f>
        <v>39304.4805035044</v>
      </c>
      <c r="DX171" s="133" t="n">
        <f aca="false">DW171*Inputs!$H$14</f>
        <v>7860.89610070088</v>
      </c>
      <c r="DY171" s="84" t="n">
        <f aca="false">DW171-DX171</f>
        <v>31443.5844028035</v>
      </c>
      <c r="DZ171" s="133" t="n">
        <f aca="false">DL171+$D171*Inputs!$H$13</f>
        <v>12133.9919635904</v>
      </c>
      <c r="EA171" s="84" t="n">
        <f aca="false">MIN(DX171,DZ171)</f>
        <v>7860.89610070088</v>
      </c>
      <c r="EB171" s="84" t="n">
        <f aca="false">DZ171-EA171</f>
        <v>4273.09586288952</v>
      </c>
      <c r="EC171" s="84" t="n">
        <f aca="false">DO171+$G171*(DZ171+DO171)</f>
        <v>0</v>
      </c>
      <c r="ED171" s="84" t="n">
        <f aca="false">MIN(DX171-EA171,EC171)</f>
        <v>0</v>
      </c>
      <c r="EE171" s="84" t="n">
        <f aca="false">EC171-ED171</f>
        <v>0</v>
      </c>
      <c r="EF171" s="84" t="n">
        <f aca="false">IF($H171=1,MIN(DX171-EA171-ED171,MAX(0,$F171/(1-$F171)*(DT171+ED171)-DU171)),0)</f>
        <v>0</v>
      </c>
      <c r="EG171" s="84" t="n">
        <f aca="false">DX171-EA171-ED171-EF171</f>
        <v>0</v>
      </c>
      <c r="EH171" s="84" t="n">
        <f aca="false">EA171+ED171+(1-$F171)*EG171</f>
        <v>7860.89610070088</v>
      </c>
      <c r="EI171" s="84" t="n">
        <f aca="false">EF171+$F171*EG171</f>
        <v>0</v>
      </c>
      <c r="EJ171" s="84" t="n">
        <f aca="false">DT171+ED171+(1-$F171)*EG171</f>
        <v>0</v>
      </c>
      <c r="EK171" s="84" t="n">
        <f aca="false">DU171+EI171</f>
        <v>0</v>
      </c>
      <c r="EL171" s="133" t="n">
        <f aca="false">DY171+$D171*Inputs!$I$13-$D171*$E171</f>
        <v>31173.5844028035</v>
      </c>
      <c r="EM171" s="84" t="n">
        <f aca="false">EL171*(1+$I171)</f>
        <v>39278.7163475324</v>
      </c>
      <c r="EN171" s="133" t="n">
        <f aca="false">EM171*Inputs!$I$14</f>
        <v>7855.74326950648</v>
      </c>
      <c r="EO171" s="84" t="n">
        <f aca="false">EM171-EN171</f>
        <v>31422.9730780259</v>
      </c>
      <c r="EP171" s="133" t="n">
        <f aca="false">EB171+$D171*Inputs!$I$13</f>
        <v>4273.09586288952</v>
      </c>
      <c r="EQ171" s="84" t="n">
        <f aca="false">MIN(EN171,EP171)</f>
        <v>4273.09586288952</v>
      </c>
      <c r="ER171" s="84" t="n">
        <f aca="false">EP171-EQ171</f>
        <v>0</v>
      </c>
      <c r="ES171" s="84" t="n">
        <f aca="false">EE171+$G171*(EP171+EE171)</f>
        <v>0</v>
      </c>
      <c r="ET171" s="84" t="n">
        <f aca="false">MIN(EN171-EQ171,ES171)</f>
        <v>0</v>
      </c>
      <c r="EU171" s="84" t="n">
        <f aca="false">ES171-ET171</f>
        <v>0</v>
      </c>
      <c r="EV171" s="84" t="n">
        <f aca="false">IF($H171=1,MIN(EN171-EQ171-ET171,MAX(0,$F171/(1-$F171)*(EJ171+ET171)-EK171)),0)</f>
        <v>0</v>
      </c>
      <c r="EW171" s="84" t="n">
        <f aca="false">EN171-EQ171-ET171-EV171</f>
        <v>3582.64740661696</v>
      </c>
      <c r="EX171" s="84" t="n">
        <f aca="false">EQ171+ET171+(1-$F171)*EW171</f>
        <v>7318.34615851394</v>
      </c>
      <c r="EY171" s="84" t="n">
        <f aca="false">EV171+$F171*EW171</f>
        <v>537.397110992544</v>
      </c>
      <c r="EZ171" s="84" t="n">
        <f aca="false">EJ171+ET171+(1-$F171)*EW171</f>
        <v>3045.25029562442</v>
      </c>
      <c r="FA171" s="84" t="n">
        <f aca="false">EK171+EY171</f>
        <v>537.397110992544</v>
      </c>
      <c r="FB171" s="133" t="n">
        <f aca="false">EO171+$D171*Inputs!$J$13-$D171*$E171</f>
        <v>31152.9730780259</v>
      </c>
      <c r="FC171" s="84" t="n">
        <f aca="false">FB171*(1+$I171)</f>
        <v>39252.7460783127</v>
      </c>
      <c r="FD171" s="133" t="n">
        <f aca="false">FC171*Inputs!$J$14</f>
        <v>7850.54921566254</v>
      </c>
      <c r="FE171" s="84" t="n">
        <f aca="false">FC171-FD171</f>
        <v>31402.1968626501</v>
      </c>
      <c r="FF171" s="133" t="n">
        <f aca="false">ER171+$D171*Inputs!$J$13</f>
        <v>0</v>
      </c>
      <c r="FG171" s="84" t="n">
        <f aca="false">MIN(FD171,FF171)</f>
        <v>0</v>
      </c>
      <c r="FH171" s="84" t="n">
        <f aca="false">FF171-FG171</f>
        <v>0</v>
      </c>
      <c r="FI171" s="84" t="n">
        <f aca="false">EU171+$G171*(FF171+EU171)</f>
        <v>0</v>
      </c>
      <c r="FJ171" s="84" t="n">
        <f aca="false">MIN(FD171-FG171,FI171)</f>
        <v>0</v>
      </c>
      <c r="FK171" s="84" t="n">
        <f aca="false">FI171-FJ171</f>
        <v>0</v>
      </c>
      <c r="FL171" s="84" t="n">
        <f aca="false">IF($H171=1,MIN(FD171-FG171-FJ171,MAX(0,$F171/(1-$F171)*(EZ171+FJ171)-FA171)),0)</f>
        <v>0</v>
      </c>
      <c r="FM171" s="84" t="n">
        <f aca="false">FD171-FG171-FJ171-FL171</f>
        <v>7850.54921566254</v>
      </c>
      <c r="FN171" s="84" t="n">
        <f aca="false">FG171+FJ171+(1-$F171)*FM171</f>
        <v>6672.96683331316</v>
      </c>
      <c r="FO171" s="84" t="n">
        <f aca="false">FL171+$F171*FM171</f>
        <v>1177.58238234938</v>
      </c>
      <c r="FP171" s="84" t="n">
        <f aca="false">EZ171+FJ171+(1-$F171)*FM171</f>
        <v>9718.21712893757</v>
      </c>
      <c r="FQ171" s="84" t="n">
        <f aca="false">FA171+FO171</f>
        <v>1714.97949334192</v>
      </c>
      <c r="FR171" s="133" t="n">
        <f aca="false">FE171+$D171*Inputs!$K$13-$D171*$E171</f>
        <v>31132.1968626501</v>
      </c>
      <c r="FS171" s="84" t="n">
        <f aca="false">FR171*(1+$I171)</f>
        <v>39226.5680469392</v>
      </c>
      <c r="FT171" s="133" t="n">
        <f aca="false">FS171*Inputs!$K$14</f>
        <v>7845.31360938784</v>
      </c>
      <c r="FU171" s="84" t="n">
        <f aca="false">FS171-FT171</f>
        <v>31381.2544375513</v>
      </c>
      <c r="FV171" s="133" t="n">
        <f aca="false">FH171+$D171*Inputs!$K$13</f>
        <v>0</v>
      </c>
      <c r="FW171" s="84" t="n">
        <f aca="false">MIN(FT171,FV171)</f>
        <v>0</v>
      </c>
      <c r="FX171" s="84" t="n">
        <f aca="false">FV171-FW171</f>
        <v>0</v>
      </c>
      <c r="FY171" s="84" t="n">
        <f aca="false">FK171+$G171*(FV171+FK171)</f>
        <v>0</v>
      </c>
      <c r="FZ171" s="84" t="n">
        <f aca="false">MIN(FT171-FW171,FY171)</f>
        <v>0</v>
      </c>
      <c r="GA171" s="84" t="n">
        <f aca="false">FY171-FZ171</f>
        <v>0</v>
      </c>
      <c r="GB171" s="84" t="n">
        <f aca="false">IF($H171=1,MIN(FT171-FW171-FZ171,MAX(0,$F171/(1-$F171)*(FP171+FZ171)-FQ171)),0)</f>
        <v>0</v>
      </c>
      <c r="GC171" s="84" t="n">
        <f aca="false">FT171-FW171-FZ171-GB171</f>
        <v>7845.31360938784</v>
      </c>
      <c r="GD171" s="84" t="n">
        <f aca="false">FW171+FZ171+(1-$F171)*GC171</f>
        <v>6668.51656797966</v>
      </c>
      <c r="GE171" s="84" t="n">
        <f aca="false">GB171+$F171*GC171</f>
        <v>1176.79704140818</v>
      </c>
      <c r="GF171" s="84" t="n">
        <f aca="false">FP171+FZ171+(1-$F171)*GC171</f>
        <v>16386.7336969172</v>
      </c>
      <c r="GG171" s="84" t="n">
        <f aca="false">FQ171+GE171</f>
        <v>2891.7765347501</v>
      </c>
      <c r="GH171" s="133" t="n">
        <f aca="false">FU171+$D171*Inputs!$L$13-$D171*$E171</f>
        <v>31111.2544375513</v>
      </c>
      <c r="GI171" s="84" t="n">
        <f aca="false">GH171*(1+$I171)</f>
        <v>39200.1805913147</v>
      </c>
      <c r="GJ171" s="133" t="n">
        <f aca="false">GI171*Inputs!$L$14</f>
        <v>39200.1805913147</v>
      </c>
      <c r="GK171" s="84" t="n">
        <f aca="false">GI171-GJ171</f>
        <v>0</v>
      </c>
      <c r="GL171" s="133" t="n">
        <f aca="false">FX171+$D171*Inputs!$L$13</f>
        <v>0</v>
      </c>
      <c r="GM171" s="84" t="n">
        <f aca="false">MIN(GJ171,GL171)</f>
        <v>0</v>
      </c>
      <c r="GN171" s="84" t="n">
        <f aca="false">GL171-GM171</f>
        <v>0</v>
      </c>
      <c r="GO171" s="84" t="n">
        <f aca="false">GA171+$G171*(GL171+GA171)</f>
        <v>0</v>
      </c>
      <c r="GP171" s="84" t="n">
        <f aca="false">MIN(GJ171-GM171,GO171)</f>
        <v>0</v>
      </c>
      <c r="GQ171" s="84" t="n">
        <f aca="false">GO171-GP171</f>
        <v>0</v>
      </c>
      <c r="GR171" s="84" t="n">
        <f aca="false">IF($H171=1,MIN(GJ171-GM171-GP171,MAX(0,$F171/(1-$F171)*(GF171+GP171)-GG171)),0)</f>
        <v>0</v>
      </c>
      <c r="GS171" s="84" t="n">
        <f aca="false">GJ171-GM171-GP171-GR171</f>
        <v>39200.1805913147</v>
      </c>
      <c r="GT171" s="84" t="n">
        <f aca="false">GM171+GP171+(1-$F171)*GS171</f>
        <v>33320.1535026175</v>
      </c>
      <c r="GU171" s="84" t="n">
        <f aca="false">GR171+$F171*GS171</f>
        <v>5880.0270886972</v>
      </c>
      <c r="GV171" s="84" t="n">
        <f aca="false">GF171+GP171+(1-$F171)*GS171</f>
        <v>49706.8871995347</v>
      </c>
      <c r="GW171" s="84" t="n">
        <f aca="false">GG171+GU171</f>
        <v>8771.8036234473</v>
      </c>
    </row>
    <row r="172" customFormat="false" ht="15" hidden="false" customHeight="false" outlineLevel="0" collapsed="false">
      <c r="A172" s="5" t="s">
        <v>641</v>
      </c>
      <c r="B172" s="5" t="s">
        <v>429</v>
      </c>
      <c r="C172" s="135" t="n">
        <v>27</v>
      </c>
      <c r="D172" s="47" t="n">
        <f aca="false">Inputs!$C$6</f>
        <v>20000</v>
      </c>
      <c r="E172" s="35" t="n">
        <f aca="false">Inputs!$C$19</f>
        <v>0.0135</v>
      </c>
      <c r="F172" s="36" t="n">
        <f aca="false">Inputs!$C$21</f>
        <v>0.15</v>
      </c>
      <c r="G172" s="30" t="n">
        <v>0</v>
      </c>
      <c r="H172" s="27" t="n">
        <v>0</v>
      </c>
      <c r="I172" s="132" t="n">
        <f aca="false">Inputs!$C$38+$C172*Inputs!$C$39</f>
        <v>0.27</v>
      </c>
      <c r="J172" s="36" t="n">
        <f aca="false">Inputs!$C$9</f>
        <v>0.15</v>
      </c>
      <c r="K172" s="89" t="n">
        <f aca="false">IRR(W172:AG172,0.1)</f>
        <v>0.232127382844332</v>
      </c>
      <c r="L172" s="45" t="n">
        <f aca="false">W172+NPV($J172,X172:AG172)</f>
        <v>8088.96320835684</v>
      </c>
      <c r="M172" s="45" t="n">
        <f aca="false">SUM(BF172,BV172,CL172,DB172,DR172,EH172,EX172,FN172,GD172,GT172)</f>
        <v>73572.7507995982</v>
      </c>
      <c r="N172" s="43" t="n">
        <f aca="false">IF($D172*SUM(Inputs!$C$13:$L$13)=0,0,M172/($D172*SUM(Inputs!$C$13:$L$13)))</f>
        <v>3.67863753997991</v>
      </c>
      <c r="O172" s="42" t="n">
        <f aca="false">$D172*$E172*COLUMNS(Inputs!$C$13:$L$13)</f>
        <v>2700</v>
      </c>
      <c r="P172" s="45" t="n">
        <f aca="false">SUM(BG172,BW172,CM172,DC172,DS172,EI172,EY172,FO172,GE172,GU172)</f>
        <v>9454.01484698792</v>
      </c>
      <c r="Q172" s="42" t="n">
        <f aca="false">PV($J172,COLUMNS(Inputs!$C$13:$L$13),-$D172*$E172,0,1)</f>
        <v>1558.32765832774</v>
      </c>
      <c r="R172" s="45" t="n">
        <f aca="false">NPV($J172,BG172,BW172,CM172,DC172,DS172,EI172,EY172,FO172,GE172,GU172)</f>
        <v>2567.77630210637</v>
      </c>
      <c r="S172" s="45" t="n">
        <f aca="false">Q172+R172</f>
        <v>4126.10396043411</v>
      </c>
      <c r="T172" s="32" t="n">
        <f aca="false">IF(S172=0,0,Q172/S172)</f>
        <v>0.377675325990523</v>
      </c>
      <c r="U172" s="45" t="n">
        <f aca="false">ROUND(ABS(GK172)+ABS(SUM(AV172,BL172,CB172,CR172,DH172,DX172,EN172,FD172,FT172,GJ172)-M172-P172)+ABS(S172-(AH172+NPV($J172,AI172:AR172))),6)</f>
        <v>0</v>
      </c>
      <c r="W172" s="133" t="n">
        <f aca="false">-$D172*Inputs!$C$13</f>
        <v>-4000</v>
      </c>
      <c r="X172" s="133" t="n">
        <f aca="false">BF172-$D172*Inputs!$D$13</f>
        <v>-4000</v>
      </c>
      <c r="Y172" s="133" t="n">
        <f aca="false">BV172-$D172*Inputs!$E$13</f>
        <v>-4000</v>
      </c>
      <c r="Z172" s="133" t="n">
        <f aca="false">CL172-$D172*Inputs!$F$13</f>
        <v>-4000</v>
      </c>
      <c r="AA172" s="133" t="n">
        <f aca="false">DB172-$D172*Inputs!$G$13</f>
        <v>-4000</v>
      </c>
      <c r="AB172" s="133" t="n">
        <f aca="false">DR172-$D172*Inputs!$H$13</f>
        <v>8084.0784976222</v>
      </c>
      <c r="AC172" s="133" t="n">
        <f aca="false">EH172-$D172*Inputs!$I$13</f>
        <v>8144.84375358416</v>
      </c>
      <c r="AD172" s="133" t="n">
        <f aca="false">EX172-$D172*Inputs!$J$13</f>
        <v>7541.25572791432</v>
      </c>
      <c r="AE172" s="133" t="n">
        <f aca="false">FN172-$D172*Inputs!$K$13</f>
        <v>7028.9105706448</v>
      </c>
      <c r="AF172" s="133" t="n">
        <f aca="false">GD172-$D172*Inputs!$L$13</f>
        <v>7083.08013977512</v>
      </c>
      <c r="AG172" s="84" t="n">
        <f aca="false">GT172</f>
        <v>35690.5821100576</v>
      </c>
      <c r="AH172" s="84" t="n">
        <f aca="false">$D172*$E172</f>
        <v>270</v>
      </c>
      <c r="AI172" s="84" t="n">
        <f aca="false">BG172+$D172*$E172</f>
        <v>270</v>
      </c>
      <c r="AJ172" s="84" t="n">
        <f aca="false">BW172+$D172*$E172</f>
        <v>270</v>
      </c>
      <c r="AK172" s="84" t="n">
        <f aca="false">CM172+$D172*$E172</f>
        <v>270</v>
      </c>
      <c r="AL172" s="84" t="n">
        <f aca="false">DC172+$D172*$E172</f>
        <v>270</v>
      </c>
      <c r="AM172" s="84" t="n">
        <f aca="false">DS172+$D172*$E172</f>
        <v>270</v>
      </c>
      <c r="AN172" s="84" t="n">
        <f aca="false">EI172+$D172*$E172</f>
        <v>270</v>
      </c>
      <c r="AO172" s="84" t="n">
        <f aca="false">EY172+$D172*$E172</f>
        <v>935.325525727179</v>
      </c>
      <c r="AP172" s="84" t="n">
        <f aca="false">FO172+$D172*$E172</f>
        <v>1510.39598305496</v>
      </c>
      <c r="AQ172" s="84" t="n">
        <f aca="false">GE172+$D172*$E172</f>
        <v>1519.95531878384</v>
      </c>
      <c r="AR172" s="84" t="n">
        <f aca="false">GU172</f>
        <v>6298.33801942193</v>
      </c>
      <c r="AT172" s="133" t="n">
        <f aca="false">$D172*Inputs!$C$13-$D172*$E172</f>
        <v>3730</v>
      </c>
      <c r="AU172" s="84" t="n">
        <f aca="false">AT172*(1+$I172)</f>
        <v>4737.1</v>
      </c>
      <c r="AV172" s="133" t="n">
        <f aca="false">AU172*Inputs!$C$14</f>
        <v>0</v>
      </c>
      <c r="AW172" s="84" t="n">
        <f aca="false">AU172-AV172</f>
        <v>4737.1</v>
      </c>
      <c r="AX172" s="133" t="n">
        <f aca="false">$D172*Inputs!$C$13</f>
        <v>4000</v>
      </c>
      <c r="AY172" s="84" t="n">
        <f aca="false">MIN(AV172,AX172)</f>
        <v>0</v>
      </c>
      <c r="AZ172" s="84" t="n">
        <f aca="false">AX172-AY172</f>
        <v>4000</v>
      </c>
      <c r="BA172" s="84" t="n">
        <f aca="false">$G172*AX172</f>
        <v>0</v>
      </c>
      <c r="BB172" s="84" t="n">
        <f aca="false">MIN(AV172-AY172,BA172)</f>
        <v>0</v>
      </c>
      <c r="BC172" s="84" t="n">
        <f aca="false">BA172-BB172</f>
        <v>0</v>
      </c>
      <c r="BD172" s="84" t="n">
        <f aca="false">IF($H172=1,MIN(AV172-AY172-BB172,MAX(0,$F172/(1-$F172)*BB172)),0)</f>
        <v>0</v>
      </c>
      <c r="BE172" s="84" t="n">
        <f aca="false">AV172-AY172-BB172-BD172</f>
        <v>0</v>
      </c>
      <c r="BF172" s="84" t="n">
        <f aca="false">AY172+BB172+(1-$F172)*BE172</f>
        <v>0</v>
      </c>
      <c r="BG172" s="84" t="n">
        <f aca="false">BD172+$F172*BE172</f>
        <v>0</v>
      </c>
      <c r="BH172" s="84" t="n">
        <f aca="false">BB172+(1-$F172)*BE172</f>
        <v>0</v>
      </c>
      <c r="BI172" s="84" t="n">
        <f aca="false">BG172</f>
        <v>0</v>
      </c>
      <c r="BJ172" s="133" t="n">
        <f aca="false">AW172+$D172*Inputs!$D$13-$D172*$E172</f>
        <v>8467.1</v>
      </c>
      <c r="BK172" s="84" t="n">
        <f aca="false">BJ172*(1+$I172)</f>
        <v>10753.217</v>
      </c>
      <c r="BL172" s="133" t="n">
        <f aca="false">BK172*Inputs!$D$14</f>
        <v>0</v>
      </c>
      <c r="BM172" s="84" t="n">
        <f aca="false">BK172-BL172</f>
        <v>10753.217</v>
      </c>
      <c r="BN172" s="133" t="n">
        <f aca="false">AZ172+$D172*Inputs!$D$13</f>
        <v>8000</v>
      </c>
      <c r="BO172" s="84" t="n">
        <f aca="false">MIN(BL172,BN172)</f>
        <v>0</v>
      </c>
      <c r="BP172" s="84" t="n">
        <f aca="false">BN172-BO172</f>
        <v>8000</v>
      </c>
      <c r="BQ172" s="84" t="n">
        <f aca="false">BC172+$G172*(BN172+BC172)</f>
        <v>0</v>
      </c>
      <c r="BR172" s="84" t="n">
        <f aca="false">MIN(BL172-BO172,BQ172)</f>
        <v>0</v>
      </c>
      <c r="BS172" s="84" t="n">
        <f aca="false">BQ172-BR172</f>
        <v>0</v>
      </c>
      <c r="BT172" s="84" t="n">
        <f aca="false">IF($H172=1,MIN(BL172-BO172-BR172,MAX(0,$F172/(1-$F172)*(BH172+BR172)-BI172)),0)</f>
        <v>0</v>
      </c>
      <c r="BU172" s="84" t="n">
        <f aca="false">BL172-BO172-BR172-BT172</f>
        <v>0</v>
      </c>
      <c r="BV172" s="84" t="n">
        <f aca="false">BO172+BR172+(1-$F172)*BU172</f>
        <v>0</v>
      </c>
      <c r="BW172" s="84" t="n">
        <f aca="false">BT172+$F172*BU172</f>
        <v>0</v>
      </c>
      <c r="BX172" s="84" t="n">
        <f aca="false">BH172+BR172+(1-$F172)*BU172</f>
        <v>0</v>
      </c>
      <c r="BY172" s="84" t="n">
        <f aca="false">BI172+BW172</f>
        <v>0</v>
      </c>
      <c r="BZ172" s="133" t="n">
        <f aca="false">BM172+$D172*Inputs!$E$13-$D172*$E172</f>
        <v>14483.217</v>
      </c>
      <c r="CA172" s="84" t="n">
        <f aca="false">BZ172*(1+$I172)</f>
        <v>18393.68559</v>
      </c>
      <c r="CB172" s="133" t="n">
        <f aca="false">CA172*Inputs!$E$14</f>
        <v>0</v>
      </c>
      <c r="CC172" s="84" t="n">
        <f aca="false">CA172-CB172</f>
        <v>18393.68559</v>
      </c>
      <c r="CD172" s="133" t="n">
        <f aca="false">BP172+$D172*Inputs!$E$13</f>
        <v>12000</v>
      </c>
      <c r="CE172" s="84" t="n">
        <f aca="false">MIN(CB172,CD172)</f>
        <v>0</v>
      </c>
      <c r="CF172" s="84" t="n">
        <f aca="false">CD172-CE172</f>
        <v>12000</v>
      </c>
      <c r="CG172" s="84" t="n">
        <f aca="false">BS172+$G172*(CD172+BS172)</f>
        <v>0</v>
      </c>
      <c r="CH172" s="84" t="n">
        <f aca="false">MIN(CB172-CE172,CG172)</f>
        <v>0</v>
      </c>
      <c r="CI172" s="84" t="n">
        <f aca="false">CG172-CH172</f>
        <v>0</v>
      </c>
      <c r="CJ172" s="84" t="n">
        <f aca="false">IF($H172=1,MIN(CB172-CE172-CH172,MAX(0,$F172/(1-$F172)*(BX172+CH172)-BY172)),0)</f>
        <v>0</v>
      </c>
      <c r="CK172" s="84" t="n">
        <f aca="false">CB172-CE172-CH172-CJ172</f>
        <v>0</v>
      </c>
      <c r="CL172" s="84" t="n">
        <f aca="false">CE172+CH172+(1-$F172)*CK172</f>
        <v>0</v>
      </c>
      <c r="CM172" s="84" t="n">
        <f aca="false">CJ172+$F172*CK172</f>
        <v>0</v>
      </c>
      <c r="CN172" s="84" t="n">
        <f aca="false">BX172+CH172+(1-$F172)*CK172</f>
        <v>0</v>
      </c>
      <c r="CO172" s="84" t="n">
        <f aca="false">BY172+CM172</f>
        <v>0</v>
      </c>
      <c r="CP172" s="133" t="n">
        <f aca="false">CC172+$D172*Inputs!$F$13-$D172*$E172</f>
        <v>22123.68559</v>
      </c>
      <c r="CQ172" s="84" t="n">
        <f aca="false">CP172*(1+$I172)</f>
        <v>28097.0806993</v>
      </c>
      <c r="CR172" s="133" t="n">
        <f aca="false">CQ172*Inputs!$F$14</f>
        <v>0</v>
      </c>
      <c r="CS172" s="84" t="n">
        <f aca="false">CQ172-CR172</f>
        <v>28097.0806993</v>
      </c>
      <c r="CT172" s="133" t="n">
        <f aca="false">CF172+$D172*Inputs!$F$13</f>
        <v>16000</v>
      </c>
      <c r="CU172" s="84" t="n">
        <f aca="false">MIN(CR172,CT172)</f>
        <v>0</v>
      </c>
      <c r="CV172" s="84" t="n">
        <f aca="false">CT172-CU172</f>
        <v>16000</v>
      </c>
      <c r="CW172" s="84" t="n">
        <f aca="false">CI172+$G172*(CT172+CI172)</f>
        <v>0</v>
      </c>
      <c r="CX172" s="84" t="n">
        <f aca="false">MIN(CR172-CU172,CW172)</f>
        <v>0</v>
      </c>
      <c r="CY172" s="84" t="n">
        <f aca="false">CW172-CX172</f>
        <v>0</v>
      </c>
      <c r="CZ172" s="84" t="n">
        <f aca="false">IF($H172=1,MIN(CR172-CU172-CX172,MAX(0,$F172/(1-$F172)*(CN172+CX172)-CO172)),0)</f>
        <v>0</v>
      </c>
      <c r="DA172" s="84" t="n">
        <f aca="false">CR172-CU172-CX172-CZ172</f>
        <v>0</v>
      </c>
      <c r="DB172" s="84" t="n">
        <f aca="false">CU172+CX172+(1-$F172)*DA172</f>
        <v>0</v>
      </c>
      <c r="DC172" s="84" t="n">
        <f aca="false">CZ172+$F172*DA172</f>
        <v>0</v>
      </c>
      <c r="DD172" s="84" t="n">
        <f aca="false">CN172+CX172+(1-$F172)*DA172</f>
        <v>0</v>
      </c>
      <c r="DE172" s="84" t="n">
        <f aca="false">CO172+DC172</f>
        <v>0</v>
      </c>
      <c r="DF172" s="133" t="n">
        <f aca="false">CS172+$D172*Inputs!$G$13-$D172*$E172</f>
        <v>31827.0806993</v>
      </c>
      <c r="DG172" s="84" t="n">
        <f aca="false">DF172*(1+$I172)</f>
        <v>40420.392488111</v>
      </c>
      <c r="DH172" s="133" t="n">
        <f aca="false">DG172*Inputs!$G$14</f>
        <v>8084.0784976222</v>
      </c>
      <c r="DI172" s="84" t="n">
        <f aca="false">DG172-DH172</f>
        <v>32336.3139904888</v>
      </c>
      <c r="DJ172" s="133" t="n">
        <f aca="false">CV172+$D172*Inputs!$G$13</f>
        <v>20000</v>
      </c>
      <c r="DK172" s="84" t="n">
        <f aca="false">MIN(DH172,DJ172)</f>
        <v>8084.0784976222</v>
      </c>
      <c r="DL172" s="84" t="n">
        <f aca="false">DJ172-DK172</f>
        <v>11915.9215023778</v>
      </c>
      <c r="DM172" s="84" t="n">
        <f aca="false">CY172+$G172*(DJ172+CY172)</f>
        <v>0</v>
      </c>
      <c r="DN172" s="84" t="n">
        <f aca="false">MIN(DH172-DK172,DM172)</f>
        <v>0</v>
      </c>
      <c r="DO172" s="84" t="n">
        <f aca="false">DM172-DN172</f>
        <v>0</v>
      </c>
      <c r="DP172" s="84" t="n">
        <f aca="false">IF($H172=1,MIN(DH172-DK172-DN172,MAX(0,$F172/(1-$F172)*(DD172+DN172)-DE172)),0)</f>
        <v>0</v>
      </c>
      <c r="DQ172" s="84" t="n">
        <f aca="false">DH172-DK172-DN172-DP172</f>
        <v>0</v>
      </c>
      <c r="DR172" s="84" t="n">
        <f aca="false">DK172+DN172+(1-$F172)*DQ172</f>
        <v>8084.0784976222</v>
      </c>
      <c r="DS172" s="84" t="n">
        <f aca="false">DP172+$F172*DQ172</f>
        <v>0</v>
      </c>
      <c r="DT172" s="84" t="n">
        <f aca="false">DD172+DN172+(1-$F172)*DQ172</f>
        <v>0</v>
      </c>
      <c r="DU172" s="84" t="n">
        <f aca="false">DE172+DS172</f>
        <v>0</v>
      </c>
      <c r="DV172" s="133" t="n">
        <f aca="false">DI172+$D172*Inputs!$H$13-$D172*$E172</f>
        <v>32066.3139904888</v>
      </c>
      <c r="DW172" s="84" t="n">
        <f aca="false">DV172*(1+$I172)</f>
        <v>40724.2187679208</v>
      </c>
      <c r="DX172" s="133" t="n">
        <f aca="false">DW172*Inputs!$H$14</f>
        <v>8144.84375358416</v>
      </c>
      <c r="DY172" s="84" t="n">
        <f aca="false">DW172-DX172</f>
        <v>32579.3750143366</v>
      </c>
      <c r="DZ172" s="133" t="n">
        <f aca="false">DL172+$D172*Inputs!$H$13</f>
        <v>11915.9215023778</v>
      </c>
      <c r="EA172" s="84" t="n">
        <f aca="false">MIN(DX172,DZ172)</f>
        <v>8144.84375358416</v>
      </c>
      <c r="EB172" s="84" t="n">
        <f aca="false">DZ172-EA172</f>
        <v>3771.07774879364</v>
      </c>
      <c r="EC172" s="84" t="n">
        <f aca="false">DO172+$G172*(DZ172+DO172)</f>
        <v>0</v>
      </c>
      <c r="ED172" s="84" t="n">
        <f aca="false">MIN(DX172-EA172,EC172)</f>
        <v>0</v>
      </c>
      <c r="EE172" s="84" t="n">
        <f aca="false">EC172-ED172</f>
        <v>0</v>
      </c>
      <c r="EF172" s="84" t="n">
        <f aca="false">IF($H172=1,MIN(DX172-EA172-ED172,MAX(0,$F172/(1-$F172)*(DT172+ED172)-DU172)),0)</f>
        <v>0</v>
      </c>
      <c r="EG172" s="84" t="n">
        <f aca="false">DX172-EA172-ED172-EF172</f>
        <v>0</v>
      </c>
      <c r="EH172" s="84" t="n">
        <f aca="false">EA172+ED172+(1-$F172)*EG172</f>
        <v>8144.84375358416</v>
      </c>
      <c r="EI172" s="84" t="n">
        <f aca="false">EF172+$F172*EG172</f>
        <v>0</v>
      </c>
      <c r="EJ172" s="84" t="n">
        <f aca="false">DT172+ED172+(1-$F172)*EG172</f>
        <v>0</v>
      </c>
      <c r="EK172" s="84" t="n">
        <f aca="false">DU172+EI172</f>
        <v>0</v>
      </c>
      <c r="EL172" s="133" t="n">
        <f aca="false">DY172+$D172*Inputs!$I$13-$D172*$E172</f>
        <v>32309.3750143366</v>
      </c>
      <c r="EM172" s="84" t="n">
        <f aca="false">EL172*(1+$I172)</f>
        <v>41032.9062682075</v>
      </c>
      <c r="EN172" s="133" t="n">
        <f aca="false">EM172*Inputs!$I$14</f>
        <v>8206.5812536415</v>
      </c>
      <c r="EO172" s="84" t="n">
        <f aca="false">EM172-EN172</f>
        <v>32826.325014566</v>
      </c>
      <c r="EP172" s="133" t="n">
        <f aca="false">EB172+$D172*Inputs!$I$13</f>
        <v>3771.07774879364</v>
      </c>
      <c r="EQ172" s="84" t="n">
        <f aca="false">MIN(EN172,EP172)</f>
        <v>3771.07774879364</v>
      </c>
      <c r="ER172" s="84" t="n">
        <f aca="false">EP172-EQ172</f>
        <v>0</v>
      </c>
      <c r="ES172" s="84" t="n">
        <f aca="false">EE172+$G172*(EP172+EE172)</f>
        <v>0</v>
      </c>
      <c r="ET172" s="84" t="n">
        <f aca="false">MIN(EN172-EQ172,ES172)</f>
        <v>0</v>
      </c>
      <c r="EU172" s="84" t="n">
        <f aca="false">ES172-ET172</f>
        <v>0</v>
      </c>
      <c r="EV172" s="84" t="n">
        <f aca="false">IF($H172=1,MIN(EN172-EQ172-ET172,MAX(0,$F172/(1-$F172)*(EJ172+ET172)-EK172)),0)</f>
        <v>0</v>
      </c>
      <c r="EW172" s="84" t="n">
        <f aca="false">EN172-EQ172-ET172-EV172</f>
        <v>4435.50350484786</v>
      </c>
      <c r="EX172" s="84" t="n">
        <f aca="false">EQ172+ET172+(1-$F172)*EW172</f>
        <v>7541.25572791432</v>
      </c>
      <c r="EY172" s="84" t="n">
        <f aca="false">EV172+$F172*EW172</f>
        <v>665.325525727179</v>
      </c>
      <c r="EZ172" s="84" t="n">
        <f aca="false">EJ172+ET172+(1-$F172)*EW172</f>
        <v>3770.17797912068</v>
      </c>
      <c r="FA172" s="84" t="n">
        <f aca="false">EK172+EY172</f>
        <v>665.325525727179</v>
      </c>
      <c r="FB172" s="133" t="n">
        <f aca="false">EO172+$D172*Inputs!$J$13-$D172*$E172</f>
        <v>32556.325014566</v>
      </c>
      <c r="FC172" s="84" t="n">
        <f aca="false">FB172*(1+$I172)</f>
        <v>41346.5327684988</v>
      </c>
      <c r="FD172" s="133" t="n">
        <f aca="false">FC172*Inputs!$J$14</f>
        <v>8269.30655369977</v>
      </c>
      <c r="FE172" s="84" t="n">
        <f aca="false">FC172-FD172</f>
        <v>33077.2262147991</v>
      </c>
      <c r="FF172" s="133" t="n">
        <f aca="false">ER172+$D172*Inputs!$J$13</f>
        <v>0</v>
      </c>
      <c r="FG172" s="84" t="n">
        <f aca="false">MIN(FD172,FF172)</f>
        <v>0</v>
      </c>
      <c r="FH172" s="84" t="n">
        <f aca="false">FF172-FG172</f>
        <v>0</v>
      </c>
      <c r="FI172" s="84" t="n">
        <f aca="false">EU172+$G172*(FF172+EU172)</f>
        <v>0</v>
      </c>
      <c r="FJ172" s="84" t="n">
        <f aca="false">MIN(FD172-FG172,FI172)</f>
        <v>0</v>
      </c>
      <c r="FK172" s="84" t="n">
        <f aca="false">FI172-FJ172</f>
        <v>0</v>
      </c>
      <c r="FL172" s="84" t="n">
        <f aca="false">IF($H172=1,MIN(FD172-FG172-FJ172,MAX(0,$F172/(1-$F172)*(EZ172+FJ172)-FA172)),0)</f>
        <v>0</v>
      </c>
      <c r="FM172" s="84" t="n">
        <f aca="false">FD172-FG172-FJ172-FL172</f>
        <v>8269.30655369977</v>
      </c>
      <c r="FN172" s="84" t="n">
        <f aca="false">FG172+FJ172+(1-$F172)*FM172</f>
        <v>7028.9105706448</v>
      </c>
      <c r="FO172" s="84" t="n">
        <f aca="false">FL172+$F172*FM172</f>
        <v>1240.39598305496</v>
      </c>
      <c r="FP172" s="84" t="n">
        <f aca="false">EZ172+FJ172+(1-$F172)*FM172</f>
        <v>10799.0885497655</v>
      </c>
      <c r="FQ172" s="84" t="n">
        <f aca="false">FA172+FO172</f>
        <v>1905.72150878214</v>
      </c>
      <c r="FR172" s="133" t="n">
        <f aca="false">FE172+$D172*Inputs!$K$13-$D172*$E172</f>
        <v>32807.2262147991</v>
      </c>
      <c r="FS172" s="84" t="n">
        <f aca="false">FR172*(1+$I172)</f>
        <v>41665.1772927948</v>
      </c>
      <c r="FT172" s="133" t="n">
        <f aca="false">FS172*Inputs!$K$14</f>
        <v>8333.03545855896</v>
      </c>
      <c r="FU172" s="84" t="n">
        <f aca="false">FS172-FT172</f>
        <v>33332.1418342359</v>
      </c>
      <c r="FV172" s="133" t="n">
        <f aca="false">FH172+$D172*Inputs!$K$13</f>
        <v>0</v>
      </c>
      <c r="FW172" s="84" t="n">
        <f aca="false">MIN(FT172,FV172)</f>
        <v>0</v>
      </c>
      <c r="FX172" s="84" t="n">
        <f aca="false">FV172-FW172</f>
        <v>0</v>
      </c>
      <c r="FY172" s="84" t="n">
        <f aca="false">FK172+$G172*(FV172+FK172)</f>
        <v>0</v>
      </c>
      <c r="FZ172" s="84" t="n">
        <f aca="false">MIN(FT172-FW172,FY172)</f>
        <v>0</v>
      </c>
      <c r="GA172" s="84" t="n">
        <f aca="false">FY172-FZ172</f>
        <v>0</v>
      </c>
      <c r="GB172" s="84" t="n">
        <f aca="false">IF($H172=1,MIN(FT172-FW172-FZ172,MAX(0,$F172/(1-$F172)*(FP172+FZ172)-FQ172)),0)</f>
        <v>0</v>
      </c>
      <c r="GC172" s="84" t="n">
        <f aca="false">FT172-FW172-FZ172-GB172</f>
        <v>8333.03545855896</v>
      </c>
      <c r="GD172" s="84" t="n">
        <f aca="false">FW172+FZ172+(1-$F172)*GC172</f>
        <v>7083.08013977512</v>
      </c>
      <c r="GE172" s="84" t="n">
        <f aca="false">GB172+$F172*GC172</f>
        <v>1249.95531878384</v>
      </c>
      <c r="GF172" s="84" t="n">
        <f aca="false">FP172+FZ172+(1-$F172)*GC172</f>
        <v>17882.1686895406</v>
      </c>
      <c r="GG172" s="84" t="n">
        <f aca="false">FQ172+GE172</f>
        <v>3155.67682756599</v>
      </c>
      <c r="GH172" s="133" t="n">
        <f aca="false">FU172+$D172*Inputs!$L$13-$D172*$E172</f>
        <v>33062.1418342359</v>
      </c>
      <c r="GI172" s="84" t="n">
        <f aca="false">GH172*(1+$I172)</f>
        <v>41988.9201294795</v>
      </c>
      <c r="GJ172" s="133" t="n">
        <f aca="false">GI172*Inputs!$L$14</f>
        <v>41988.9201294795</v>
      </c>
      <c r="GK172" s="84" t="n">
        <f aca="false">GI172-GJ172</f>
        <v>0</v>
      </c>
      <c r="GL172" s="133" t="n">
        <f aca="false">FX172+$D172*Inputs!$L$13</f>
        <v>0</v>
      </c>
      <c r="GM172" s="84" t="n">
        <f aca="false">MIN(GJ172,GL172)</f>
        <v>0</v>
      </c>
      <c r="GN172" s="84" t="n">
        <f aca="false">GL172-GM172</f>
        <v>0</v>
      </c>
      <c r="GO172" s="84" t="n">
        <f aca="false">GA172+$G172*(GL172+GA172)</f>
        <v>0</v>
      </c>
      <c r="GP172" s="84" t="n">
        <f aca="false">MIN(GJ172-GM172,GO172)</f>
        <v>0</v>
      </c>
      <c r="GQ172" s="84" t="n">
        <f aca="false">GO172-GP172</f>
        <v>0</v>
      </c>
      <c r="GR172" s="84" t="n">
        <f aca="false">IF($H172=1,MIN(GJ172-GM172-GP172,MAX(0,$F172/(1-$F172)*(GF172+GP172)-GG172)),0)</f>
        <v>0</v>
      </c>
      <c r="GS172" s="84" t="n">
        <f aca="false">GJ172-GM172-GP172-GR172</f>
        <v>41988.9201294795</v>
      </c>
      <c r="GT172" s="84" t="n">
        <f aca="false">GM172+GP172+(1-$F172)*GS172</f>
        <v>35690.5821100576</v>
      </c>
      <c r="GU172" s="84" t="n">
        <f aca="false">GR172+$F172*GS172</f>
        <v>6298.33801942193</v>
      </c>
      <c r="GV172" s="84" t="n">
        <f aca="false">GF172+GP172+(1-$F172)*GS172</f>
        <v>53572.7507995982</v>
      </c>
      <c r="GW172" s="84" t="n">
        <f aca="false">GG172+GU172</f>
        <v>9454.01484698792</v>
      </c>
    </row>
    <row r="173" customFormat="false" ht="15" hidden="false" customHeight="false" outlineLevel="0" collapsed="false">
      <c r="A173" s="5" t="s">
        <v>641</v>
      </c>
      <c r="B173" s="5" t="s">
        <v>429</v>
      </c>
      <c r="C173" s="135" t="n">
        <v>28</v>
      </c>
      <c r="D173" s="47" t="n">
        <f aca="false">Inputs!$C$6</f>
        <v>20000</v>
      </c>
      <c r="E173" s="35" t="n">
        <f aca="false">Inputs!$C$19</f>
        <v>0.0135</v>
      </c>
      <c r="F173" s="36" t="n">
        <f aca="false">Inputs!$C$21</f>
        <v>0.15</v>
      </c>
      <c r="G173" s="30" t="n">
        <v>0</v>
      </c>
      <c r="H173" s="27" t="n">
        <v>0</v>
      </c>
      <c r="I173" s="132" t="n">
        <f aca="false">Inputs!$C$38+$C173*Inputs!$C$39</f>
        <v>0.28</v>
      </c>
      <c r="J173" s="36" t="n">
        <f aca="false">Inputs!$C$9</f>
        <v>0.15</v>
      </c>
      <c r="K173" s="89" t="n">
        <f aca="false">IRR(W173:AG173,0.1)</f>
        <v>0.241755923249559</v>
      </c>
      <c r="L173" s="45" t="n">
        <f aca="false">W173+NPV($J173,X173:AG173)</f>
        <v>9282.83209151332</v>
      </c>
      <c r="M173" s="45" t="n">
        <f aca="false">SUM(BF173,BV173,CL173,DB173,DR173,EH173,EX173,FN173,GD173,GT173)</f>
        <v>77650.7393342514</v>
      </c>
      <c r="N173" s="43" t="n">
        <f aca="false">IF($D173*SUM(Inputs!$C$13:$L$13)=0,0,M173/($D173*SUM(Inputs!$C$13:$L$13)))</f>
        <v>3.88253696671257</v>
      </c>
      <c r="O173" s="42" t="n">
        <f aca="false">$D173*$E173*COLUMNS(Inputs!$C$13:$L$13)</f>
        <v>2700</v>
      </c>
      <c r="P173" s="45" t="n">
        <f aca="false">SUM(BG173,BW173,CM173,DC173,DS173,EI173,EY173,FO173,GE173,GU173)</f>
        <v>10173.659882515</v>
      </c>
      <c r="Q173" s="42" t="n">
        <f aca="false">PV($J173,COLUMNS(Inputs!$C$13:$L$13),-$D173*$E173,0,1)</f>
        <v>1558.32765832774</v>
      </c>
      <c r="R173" s="45" t="n">
        <f aca="false">NPV($J173,BG173,BW173,CM173,DC173,DS173,EI173,EY173,FO173,GE173,GU173)</f>
        <v>2770.7682073746</v>
      </c>
      <c r="S173" s="45" t="n">
        <f aca="false">Q173+R173</f>
        <v>4329.09586570233</v>
      </c>
      <c r="T173" s="32" t="n">
        <f aca="false">IF(S173=0,0,Q173/S173)</f>
        <v>0.35996607759919</v>
      </c>
      <c r="U173" s="45" t="n">
        <f aca="false">ROUND(ABS(GK173)+ABS(SUM(AV173,BL173,CB173,CR173,DH173,DX173,EN173,FD173,FT173,GJ173)-M173-P173)+ABS(S173-(AH173+NPV($J173,AI173:AR173))),6)</f>
        <v>0</v>
      </c>
      <c r="W173" s="133" t="n">
        <f aca="false">-$D173*Inputs!$C$13</f>
        <v>-4000</v>
      </c>
      <c r="X173" s="133" t="n">
        <f aca="false">BF173-$D173*Inputs!$D$13</f>
        <v>-4000</v>
      </c>
      <c r="Y173" s="133" t="n">
        <f aca="false">BV173-$D173*Inputs!$E$13</f>
        <v>-4000</v>
      </c>
      <c r="Z173" s="133" t="n">
        <f aca="false">CL173-$D173*Inputs!$F$13</f>
        <v>-4000</v>
      </c>
      <c r="AA173" s="133" t="n">
        <f aca="false">DB173-$D173*Inputs!$G$13</f>
        <v>-4000</v>
      </c>
      <c r="AB173" s="133" t="n">
        <f aca="false">DR173-$D173*Inputs!$H$13</f>
        <v>8307.3667760128</v>
      </c>
      <c r="AC173" s="133" t="n">
        <f aca="false">EH173-$D173*Inputs!$I$13</f>
        <v>8437.62357863711</v>
      </c>
      <c r="AD173" s="133" t="n">
        <f aca="false">EX173-$D173*Inputs!$J$13</f>
        <v>7773.60700964825</v>
      </c>
      <c r="AE173" s="133" t="n">
        <f aca="false">FN173-$D173*Inputs!$K$13</f>
        <v>7401.45209635404</v>
      </c>
      <c r="AF173" s="133" t="n">
        <f aca="false">GD173-$D173*Inputs!$L$13</f>
        <v>7520.33494666653</v>
      </c>
      <c r="AG173" s="84" t="n">
        <f aca="false">GT173</f>
        <v>38210.3549269327</v>
      </c>
      <c r="AH173" s="84" t="n">
        <f aca="false">$D173*$E173</f>
        <v>270</v>
      </c>
      <c r="AI173" s="84" t="n">
        <f aca="false">BG173+$D173*$E173</f>
        <v>270</v>
      </c>
      <c r="AJ173" s="84" t="n">
        <f aca="false">BW173+$D173*$E173</f>
        <v>270</v>
      </c>
      <c r="AK173" s="84" t="n">
        <f aca="false">CM173+$D173*$E173</f>
        <v>270</v>
      </c>
      <c r="AL173" s="84" t="n">
        <f aca="false">DC173+$D173*$E173</f>
        <v>270</v>
      </c>
      <c r="AM173" s="84" t="n">
        <f aca="false">DS173+$D173*$E173</f>
        <v>270</v>
      </c>
      <c r="AN173" s="84" t="n">
        <f aca="false">EI173+$D173*$E173</f>
        <v>270</v>
      </c>
      <c r="AO173" s="84" t="n">
        <f aca="false">EY173+$D173*$E173</f>
        <v>1067.39953487615</v>
      </c>
      <c r="AP173" s="84" t="n">
        <f aca="false">FO173+$D173*$E173</f>
        <v>1576.13860523895</v>
      </c>
      <c r="AQ173" s="84" t="n">
        <f aca="false">GE173+$D173*$E173</f>
        <v>1597.11793176468</v>
      </c>
      <c r="AR173" s="84" t="n">
        <f aca="false">GU173</f>
        <v>6743.00381063518</v>
      </c>
      <c r="AT173" s="133" t="n">
        <f aca="false">$D173*Inputs!$C$13-$D173*$E173</f>
        <v>3730</v>
      </c>
      <c r="AU173" s="84" t="n">
        <f aca="false">AT173*(1+$I173)</f>
        <v>4774.4</v>
      </c>
      <c r="AV173" s="133" t="n">
        <f aca="false">AU173*Inputs!$C$14</f>
        <v>0</v>
      </c>
      <c r="AW173" s="84" t="n">
        <f aca="false">AU173-AV173</f>
        <v>4774.4</v>
      </c>
      <c r="AX173" s="133" t="n">
        <f aca="false">$D173*Inputs!$C$13</f>
        <v>4000</v>
      </c>
      <c r="AY173" s="84" t="n">
        <f aca="false">MIN(AV173,AX173)</f>
        <v>0</v>
      </c>
      <c r="AZ173" s="84" t="n">
        <f aca="false">AX173-AY173</f>
        <v>4000</v>
      </c>
      <c r="BA173" s="84" t="n">
        <f aca="false">$G173*AX173</f>
        <v>0</v>
      </c>
      <c r="BB173" s="84" t="n">
        <f aca="false">MIN(AV173-AY173,BA173)</f>
        <v>0</v>
      </c>
      <c r="BC173" s="84" t="n">
        <f aca="false">BA173-BB173</f>
        <v>0</v>
      </c>
      <c r="BD173" s="84" t="n">
        <f aca="false">IF($H173=1,MIN(AV173-AY173-BB173,MAX(0,$F173/(1-$F173)*BB173)),0)</f>
        <v>0</v>
      </c>
      <c r="BE173" s="84" t="n">
        <f aca="false">AV173-AY173-BB173-BD173</f>
        <v>0</v>
      </c>
      <c r="BF173" s="84" t="n">
        <f aca="false">AY173+BB173+(1-$F173)*BE173</f>
        <v>0</v>
      </c>
      <c r="BG173" s="84" t="n">
        <f aca="false">BD173+$F173*BE173</f>
        <v>0</v>
      </c>
      <c r="BH173" s="84" t="n">
        <f aca="false">BB173+(1-$F173)*BE173</f>
        <v>0</v>
      </c>
      <c r="BI173" s="84" t="n">
        <f aca="false">BG173</f>
        <v>0</v>
      </c>
      <c r="BJ173" s="133" t="n">
        <f aca="false">AW173+$D173*Inputs!$D$13-$D173*$E173</f>
        <v>8504.4</v>
      </c>
      <c r="BK173" s="84" t="n">
        <f aca="false">BJ173*(1+$I173)</f>
        <v>10885.632</v>
      </c>
      <c r="BL173" s="133" t="n">
        <f aca="false">BK173*Inputs!$D$14</f>
        <v>0</v>
      </c>
      <c r="BM173" s="84" t="n">
        <f aca="false">BK173-BL173</f>
        <v>10885.632</v>
      </c>
      <c r="BN173" s="133" t="n">
        <f aca="false">AZ173+$D173*Inputs!$D$13</f>
        <v>8000</v>
      </c>
      <c r="BO173" s="84" t="n">
        <f aca="false">MIN(BL173,BN173)</f>
        <v>0</v>
      </c>
      <c r="BP173" s="84" t="n">
        <f aca="false">BN173-BO173</f>
        <v>8000</v>
      </c>
      <c r="BQ173" s="84" t="n">
        <f aca="false">BC173+$G173*(BN173+BC173)</f>
        <v>0</v>
      </c>
      <c r="BR173" s="84" t="n">
        <f aca="false">MIN(BL173-BO173,BQ173)</f>
        <v>0</v>
      </c>
      <c r="BS173" s="84" t="n">
        <f aca="false">BQ173-BR173</f>
        <v>0</v>
      </c>
      <c r="BT173" s="84" t="n">
        <f aca="false">IF($H173=1,MIN(BL173-BO173-BR173,MAX(0,$F173/(1-$F173)*(BH173+BR173)-BI173)),0)</f>
        <v>0</v>
      </c>
      <c r="BU173" s="84" t="n">
        <f aca="false">BL173-BO173-BR173-BT173</f>
        <v>0</v>
      </c>
      <c r="BV173" s="84" t="n">
        <f aca="false">BO173+BR173+(1-$F173)*BU173</f>
        <v>0</v>
      </c>
      <c r="BW173" s="84" t="n">
        <f aca="false">BT173+$F173*BU173</f>
        <v>0</v>
      </c>
      <c r="BX173" s="84" t="n">
        <f aca="false">BH173+BR173+(1-$F173)*BU173</f>
        <v>0</v>
      </c>
      <c r="BY173" s="84" t="n">
        <f aca="false">BI173+BW173</f>
        <v>0</v>
      </c>
      <c r="BZ173" s="133" t="n">
        <f aca="false">BM173+$D173*Inputs!$E$13-$D173*$E173</f>
        <v>14615.632</v>
      </c>
      <c r="CA173" s="84" t="n">
        <f aca="false">BZ173*(1+$I173)</f>
        <v>18708.00896</v>
      </c>
      <c r="CB173" s="133" t="n">
        <f aca="false">CA173*Inputs!$E$14</f>
        <v>0</v>
      </c>
      <c r="CC173" s="84" t="n">
        <f aca="false">CA173-CB173</f>
        <v>18708.00896</v>
      </c>
      <c r="CD173" s="133" t="n">
        <f aca="false">BP173+$D173*Inputs!$E$13</f>
        <v>12000</v>
      </c>
      <c r="CE173" s="84" t="n">
        <f aca="false">MIN(CB173,CD173)</f>
        <v>0</v>
      </c>
      <c r="CF173" s="84" t="n">
        <f aca="false">CD173-CE173</f>
        <v>12000</v>
      </c>
      <c r="CG173" s="84" t="n">
        <f aca="false">BS173+$G173*(CD173+BS173)</f>
        <v>0</v>
      </c>
      <c r="CH173" s="84" t="n">
        <f aca="false">MIN(CB173-CE173,CG173)</f>
        <v>0</v>
      </c>
      <c r="CI173" s="84" t="n">
        <f aca="false">CG173-CH173</f>
        <v>0</v>
      </c>
      <c r="CJ173" s="84" t="n">
        <f aca="false">IF($H173=1,MIN(CB173-CE173-CH173,MAX(0,$F173/(1-$F173)*(BX173+CH173)-BY173)),0)</f>
        <v>0</v>
      </c>
      <c r="CK173" s="84" t="n">
        <f aca="false">CB173-CE173-CH173-CJ173</f>
        <v>0</v>
      </c>
      <c r="CL173" s="84" t="n">
        <f aca="false">CE173+CH173+(1-$F173)*CK173</f>
        <v>0</v>
      </c>
      <c r="CM173" s="84" t="n">
        <f aca="false">CJ173+$F173*CK173</f>
        <v>0</v>
      </c>
      <c r="CN173" s="84" t="n">
        <f aca="false">BX173+CH173+(1-$F173)*CK173</f>
        <v>0</v>
      </c>
      <c r="CO173" s="84" t="n">
        <f aca="false">BY173+CM173</f>
        <v>0</v>
      </c>
      <c r="CP173" s="133" t="n">
        <f aca="false">CC173+$D173*Inputs!$F$13-$D173*$E173</f>
        <v>22438.00896</v>
      </c>
      <c r="CQ173" s="84" t="n">
        <f aca="false">CP173*(1+$I173)</f>
        <v>28720.6514688</v>
      </c>
      <c r="CR173" s="133" t="n">
        <f aca="false">CQ173*Inputs!$F$14</f>
        <v>0</v>
      </c>
      <c r="CS173" s="84" t="n">
        <f aca="false">CQ173-CR173</f>
        <v>28720.6514688</v>
      </c>
      <c r="CT173" s="133" t="n">
        <f aca="false">CF173+$D173*Inputs!$F$13</f>
        <v>16000</v>
      </c>
      <c r="CU173" s="84" t="n">
        <f aca="false">MIN(CR173,CT173)</f>
        <v>0</v>
      </c>
      <c r="CV173" s="84" t="n">
        <f aca="false">CT173-CU173</f>
        <v>16000</v>
      </c>
      <c r="CW173" s="84" t="n">
        <f aca="false">CI173+$G173*(CT173+CI173)</f>
        <v>0</v>
      </c>
      <c r="CX173" s="84" t="n">
        <f aca="false">MIN(CR173-CU173,CW173)</f>
        <v>0</v>
      </c>
      <c r="CY173" s="84" t="n">
        <f aca="false">CW173-CX173</f>
        <v>0</v>
      </c>
      <c r="CZ173" s="84" t="n">
        <f aca="false">IF($H173=1,MIN(CR173-CU173-CX173,MAX(0,$F173/(1-$F173)*(CN173+CX173)-CO173)),0)</f>
        <v>0</v>
      </c>
      <c r="DA173" s="84" t="n">
        <f aca="false">CR173-CU173-CX173-CZ173</f>
        <v>0</v>
      </c>
      <c r="DB173" s="84" t="n">
        <f aca="false">CU173+CX173+(1-$F173)*DA173</f>
        <v>0</v>
      </c>
      <c r="DC173" s="84" t="n">
        <f aca="false">CZ173+$F173*DA173</f>
        <v>0</v>
      </c>
      <c r="DD173" s="84" t="n">
        <f aca="false">CN173+CX173+(1-$F173)*DA173</f>
        <v>0</v>
      </c>
      <c r="DE173" s="84" t="n">
        <f aca="false">CO173+DC173</f>
        <v>0</v>
      </c>
      <c r="DF173" s="133" t="n">
        <f aca="false">CS173+$D173*Inputs!$G$13-$D173*$E173</f>
        <v>32450.6514688</v>
      </c>
      <c r="DG173" s="84" t="n">
        <f aca="false">DF173*(1+$I173)</f>
        <v>41536.833880064</v>
      </c>
      <c r="DH173" s="133" t="n">
        <f aca="false">DG173*Inputs!$G$14</f>
        <v>8307.3667760128</v>
      </c>
      <c r="DI173" s="84" t="n">
        <f aca="false">DG173-DH173</f>
        <v>33229.4671040512</v>
      </c>
      <c r="DJ173" s="133" t="n">
        <f aca="false">CV173+$D173*Inputs!$G$13</f>
        <v>20000</v>
      </c>
      <c r="DK173" s="84" t="n">
        <f aca="false">MIN(DH173,DJ173)</f>
        <v>8307.3667760128</v>
      </c>
      <c r="DL173" s="84" t="n">
        <f aca="false">DJ173-DK173</f>
        <v>11692.6332239872</v>
      </c>
      <c r="DM173" s="84" t="n">
        <f aca="false">CY173+$G173*(DJ173+CY173)</f>
        <v>0</v>
      </c>
      <c r="DN173" s="84" t="n">
        <f aca="false">MIN(DH173-DK173,DM173)</f>
        <v>0</v>
      </c>
      <c r="DO173" s="84" t="n">
        <f aca="false">DM173-DN173</f>
        <v>0</v>
      </c>
      <c r="DP173" s="84" t="n">
        <f aca="false">IF($H173=1,MIN(DH173-DK173-DN173,MAX(0,$F173/(1-$F173)*(DD173+DN173)-DE173)),0)</f>
        <v>0</v>
      </c>
      <c r="DQ173" s="84" t="n">
        <f aca="false">DH173-DK173-DN173-DP173</f>
        <v>0</v>
      </c>
      <c r="DR173" s="84" t="n">
        <f aca="false">DK173+DN173+(1-$F173)*DQ173</f>
        <v>8307.3667760128</v>
      </c>
      <c r="DS173" s="84" t="n">
        <f aca="false">DP173+$F173*DQ173</f>
        <v>0</v>
      </c>
      <c r="DT173" s="84" t="n">
        <f aca="false">DD173+DN173+(1-$F173)*DQ173</f>
        <v>0</v>
      </c>
      <c r="DU173" s="84" t="n">
        <f aca="false">DE173+DS173</f>
        <v>0</v>
      </c>
      <c r="DV173" s="133" t="n">
        <f aca="false">DI173+$D173*Inputs!$H$13-$D173*$E173</f>
        <v>32959.4671040512</v>
      </c>
      <c r="DW173" s="84" t="n">
        <f aca="false">DV173*(1+$I173)</f>
        <v>42188.1178931855</v>
      </c>
      <c r="DX173" s="133" t="n">
        <f aca="false">DW173*Inputs!$H$14</f>
        <v>8437.62357863711</v>
      </c>
      <c r="DY173" s="84" t="n">
        <f aca="false">DW173-DX173</f>
        <v>33750.4943145484</v>
      </c>
      <c r="DZ173" s="133" t="n">
        <f aca="false">DL173+$D173*Inputs!$H$13</f>
        <v>11692.6332239872</v>
      </c>
      <c r="EA173" s="84" t="n">
        <f aca="false">MIN(DX173,DZ173)</f>
        <v>8437.62357863711</v>
      </c>
      <c r="EB173" s="84" t="n">
        <f aca="false">DZ173-EA173</f>
        <v>3255.00964535009</v>
      </c>
      <c r="EC173" s="84" t="n">
        <f aca="false">DO173+$G173*(DZ173+DO173)</f>
        <v>0</v>
      </c>
      <c r="ED173" s="84" t="n">
        <f aca="false">MIN(DX173-EA173,EC173)</f>
        <v>0</v>
      </c>
      <c r="EE173" s="84" t="n">
        <f aca="false">EC173-ED173</f>
        <v>0</v>
      </c>
      <c r="EF173" s="84" t="n">
        <f aca="false">IF($H173=1,MIN(DX173-EA173-ED173,MAX(0,$F173/(1-$F173)*(DT173+ED173)-DU173)),0)</f>
        <v>0</v>
      </c>
      <c r="EG173" s="84" t="n">
        <f aca="false">DX173-EA173-ED173-EF173</f>
        <v>0</v>
      </c>
      <c r="EH173" s="84" t="n">
        <f aca="false">EA173+ED173+(1-$F173)*EG173</f>
        <v>8437.62357863711</v>
      </c>
      <c r="EI173" s="84" t="n">
        <f aca="false">EF173+$F173*EG173</f>
        <v>0</v>
      </c>
      <c r="EJ173" s="84" t="n">
        <f aca="false">DT173+ED173+(1-$F173)*EG173</f>
        <v>0</v>
      </c>
      <c r="EK173" s="84" t="n">
        <f aca="false">DU173+EI173</f>
        <v>0</v>
      </c>
      <c r="EL173" s="133" t="n">
        <f aca="false">DY173+$D173*Inputs!$I$13-$D173*$E173</f>
        <v>33480.4943145484</v>
      </c>
      <c r="EM173" s="84" t="n">
        <f aca="false">EL173*(1+$I173)</f>
        <v>42855.032722622</v>
      </c>
      <c r="EN173" s="133" t="n">
        <f aca="false">EM173*Inputs!$I$14</f>
        <v>8571.0065445244</v>
      </c>
      <c r="EO173" s="84" t="n">
        <f aca="false">EM173-EN173</f>
        <v>34284.0261780976</v>
      </c>
      <c r="EP173" s="133" t="n">
        <f aca="false">EB173+$D173*Inputs!$I$13</f>
        <v>3255.00964535009</v>
      </c>
      <c r="EQ173" s="84" t="n">
        <f aca="false">MIN(EN173,EP173)</f>
        <v>3255.00964535009</v>
      </c>
      <c r="ER173" s="84" t="n">
        <f aca="false">EP173-EQ173</f>
        <v>0</v>
      </c>
      <c r="ES173" s="84" t="n">
        <f aca="false">EE173+$G173*(EP173+EE173)</f>
        <v>0</v>
      </c>
      <c r="ET173" s="84" t="n">
        <f aca="false">MIN(EN173-EQ173,ES173)</f>
        <v>0</v>
      </c>
      <c r="EU173" s="84" t="n">
        <f aca="false">ES173-ET173</f>
        <v>0</v>
      </c>
      <c r="EV173" s="84" t="n">
        <f aca="false">IF($H173=1,MIN(EN173-EQ173-ET173,MAX(0,$F173/(1-$F173)*(EJ173+ET173)-EK173)),0)</f>
        <v>0</v>
      </c>
      <c r="EW173" s="84" t="n">
        <f aca="false">EN173-EQ173-ET173-EV173</f>
        <v>5315.99689917431</v>
      </c>
      <c r="EX173" s="84" t="n">
        <f aca="false">EQ173+ET173+(1-$F173)*EW173</f>
        <v>7773.60700964825</v>
      </c>
      <c r="EY173" s="84" t="n">
        <f aca="false">EV173+$F173*EW173</f>
        <v>797.399534876146</v>
      </c>
      <c r="EZ173" s="84" t="n">
        <f aca="false">EJ173+ET173+(1-$F173)*EW173</f>
        <v>4518.59736429816</v>
      </c>
      <c r="FA173" s="84" t="n">
        <f aca="false">EK173+EY173</f>
        <v>797.399534876146</v>
      </c>
      <c r="FB173" s="133" t="n">
        <f aca="false">EO173+$D173*Inputs!$J$13-$D173*$E173</f>
        <v>34014.0261780976</v>
      </c>
      <c r="FC173" s="84" t="n">
        <f aca="false">FB173*(1+$I173)</f>
        <v>43537.9535079649</v>
      </c>
      <c r="FD173" s="133" t="n">
        <f aca="false">FC173*Inputs!$J$14</f>
        <v>8707.59070159298</v>
      </c>
      <c r="FE173" s="84" t="n">
        <f aca="false">FC173-FD173</f>
        <v>34830.3628063719</v>
      </c>
      <c r="FF173" s="133" t="n">
        <f aca="false">ER173+$D173*Inputs!$J$13</f>
        <v>0</v>
      </c>
      <c r="FG173" s="84" t="n">
        <f aca="false">MIN(FD173,FF173)</f>
        <v>0</v>
      </c>
      <c r="FH173" s="84" t="n">
        <f aca="false">FF173-FG173</f>
        <v>0</v>
      </c>
      <c r="FI173" s="84" t="n">
        <f aca="false">EU173+$G173*(FF173+EU173)</f>
        <v>0</v>
      </c>
      <c r="FJ173" s="84" t="n">
        <f aca="false">MIN(FD173-FG173,FI173)</f>
        <v>0</v>
      </c>
      <c r="FK173" s="84" t="n">
        <f aca="false">FI173-FJ173</f>
        <v>0</v>
      </c>
      <c r="FL173" s="84" t="n">
        <f aca="false">IF($H173=1,MIN(FD173-FG173-FJ173,MAX(0,$F173/(1-$F173)*(EZ173+FJ173)-FA173)),0)</f>
        <v>0</v>
      </c>
      <c r="FM173" s="84" t="n">
        <f aca="false">FD173-FG173-FJ173-FL173</f>
        <v>8707.59070159298</v>
      </c>
      <c r="FN173" s="84" t="n">
        <f aca="false">FG173+FJ173+(1-$F173)*FM173</f>
        <v>7401.45209635404</v>
      </c>
      <c r="FO173" s="84" t="n">
        <f aca="false">FL173+$F173*FM173</f>
        <v>1306.13860523895</v>
      </c>
      <c r="FP173" s="84" t="n">
        <f aca="false">EZ173+FJ173+(1-$F173)*FM173</f>
        <v>11920.0494606522</v>
      </c>
      <c r="FQ173" s="84" t="n">
        <f aca="false">FA173+FO173</f>
        <v>2103.53814011509</v>
      </c>
      <c r="FR173" s="133" t="n">
        <f aca="false">FE173+$D173*Inputs!$K$13-$D173*$E173</f>
        <v>34560.3628063719</v>
      </c>
      <c r="FS173" s="84" t="n">
        <f aca="false">FR173*(1+$I173)</f>
        <v>44237.2643921561</v>
      </c>
      <c r="FT173" s="133" t="n">
        <f aca="false">FS173*Inputs!$K$14</f>
        <v>8847.45287843122</v>
      </c>
      <c r="FU173" s="84" t="n">
        <f aca="false">FS173-FT173</f>
        <v>35389.8115137249</v>
      </c>
      <c r="FV173" s="133" t="n">
        <f aca="false">FH173+$D173*Inputs!$K$13</f>
        <v>0</v>
      </c>
      <c r="FW173" s="84" t="n">
        <f aca="false">MIN(FT173,FV173)</f>
        <v>0</v>
      </c>
      <c r="FX173" s="84" t="n">
        <f aca="false">FV173-FW173</f>
        <v>0</v>
      </c>
      <c r="FY173" s="84" t="n">
        <f aca="false">FK173+$G173*(FV173+FK173)</f>
        <v>0</v>
      </c>
      <c r="FZ173" s="84" t="n">
        <f aca="false">MIN(FT173-FW173,FY173)</f>
        <v>0</v>
      </c>
      <c r="GA173" s="84" t="n">
        <f aca="false">FY173-FZ173</f>
        <v>0</v>
      </c>
      <c r="GB173" s="84" t="n">
        <f aca="false">IF($H173=1,MIN(FT173-FW173-FZ173,MAX(0,$F173/(1-$F173)*(FP173+FZ173)-FQ173)),0)</f>
        <v>0</v>
      </c>
      <c r="GC173" s="84" t="n">
        <f aca="false">FT173-FW173-FZ173-GB173</f>
        <v>8847.45287843122</v>
      </c>
      <c r="GD173" s="84" t="n">
        <f aca="false">FW173+FZ173+(1-$F173)*GC173</f>
        <v>7520.33494666653</v>
      </c>
      <c r="GE173" s="84" t="n">
        <f aca="false">GB173+$F173*GC173</f>
        <v>1327.11793176468</v>
      </c>
      <c r="GF173" s="84" t="n">
        <f aca="false">FP173+FZ173+(1-$F173)*GC173</f>
        <v>19440.3844073187</v>
      </c>
      <c r="GG173" s="84" t="n">
        <f aca="false">FQ173+GE173</f>
        <v>3430.65607187978</v>
      </c>
      <c r="GH173" s="133" t="n">
        <f aca="false">FU173+$D173*Inputs!$L$13-$D173*$E173</f>
        <v>35119.8115137249</v>
      </c>
      <c r="GI173" s="84" t="n">
        <f aca="false">GH173*(1+$I173)</f>
        <v>44953.3587375678</v>
      </c>
      <c r="GJ173" s="133" t="n">
        <f aca="false">GI173*Inputs!$L$14</f>
        <v>44953.3587375678</v>
      </c>
      <c r="GK173" s="84" t="n">
        <f aca="false">GI173-GJ173</f>
        <v>0</v>
      </c>
      <c r="GL173" s="133" t="n">
        <f aca="false">FX173+$D173*Inputs!$L$13</f>
        <v>0</v>
      </c>
      <c r="GM173" s="84" t="n">
        <f aca="false">MIN(GJ173,GL173)</f>
        <v>0</v>
      </c>
      <c r="GN173" s="84" t="n">
        <f aca="false">GL173-GM173</f>
        <v>0</v>
      </c>
      <c r="GO173" s="84" t="n">
        <f aca="false">GA173+$G173*(GL173+GA173)</f>
        <v>0</v>
      </c>
      <c r="GP173" s="84" t="n">
        <f aca="false">MIN(GJ173-GM173,GO173)</f>
        <v>0</v>
      </c>
      <c r="GQ173" s="84" t="n">
        <f aca="false">GO173-GP173</f>
        <v>0</v>
      </c>
      <c r="GR173" s="84" t="n">
        <f aca="false">IF($H173=1,MIN(GJ173-GM173-GP173,MAX(0,$F173/(1-$F173)*(GF173+GP173)-GG173)),0)</f>
        <v>0</v>
      </c>
      <c r="GS173" s="84" t="n">
        <f aca="false">GJ173-GM173-GP173-GR173</f>
        <v>44953.3587375678</v>
      </c>
      <c r="GT173" s="84" t="n">
        <f aca="false">GM173+GP173+(1-$F173)*GS173</f>
        <v>38210.3549269327</v>
      </c>
      <c r="GU173" s="84" t="n">
        <f aca="false">GR173+$F173*GS173</f>
        <v>6743.00381063518</v>
      </c>
      <c r="GV173" s="84" t="n">
        <f aca="false">GF173+GP173+(1-$F173)*GS173</f>
        <v>57650.7393342514</v>
      </c>
      <c r="GW173" s="84" t="n">
        <f aca="false">GG173+GU173</f>
        <v>10173.659882515</v>
      </c>
    </row>
    <row r="174" customFormat="false" ht="15" hidden="false" customHeight="false" outlineLevel="0" collapsed="false">
      <c r="A174" s="5" t="s">
        <v>641</v>
      </c>
      <c r="B174" s="5" t="s">
        <v>429</v>
      </c>
      <c r="C174" s="135" t="n">
        <v>29</v>
      </c>
      <c r="D174" s="47" t="n">
        <f aca="false">Inputs!$C$6</f>
        <v>20000</v>
      </c>
      <c r="E174" s="35" t="n">
        <f aca="false">Inputs!$C$19</f>
        <v>0.0135</v>
      </c>
      <c r="F174" s="36" t="n">
        <f aca="false">Inputs!$C$21</f>
        <v>0.15</v>
      </c>
      <c r="G174" s="30" t="n">
        <v>0</v>
      </c>
      <c r="H174" s="27" t="n">
        <v>0</v>
      </c>
      <c r="I174" s="132" t="n">
        <f aca="false">Inputs!$C$38+$C174*Inputs!$C$39</f>
        <v>0.29</v>
      </c>
      <c r="J174" s="36" t="n">
        <f aca="false">Inputs!$C$9</f>
        <v>0.15</v>
      </c>
      <c r="K174" s="89" t="n">
        <f aca="false">IRR(W174:AG174,0.1)</f>
        <v>0.251392993096299</v>
      </c>
      <c r="L174" s="45" t="n">
        <f aca="false">W174+NPV($J174,X174:AG174)</f>
        <v>10538.3196717532</v>
      </c>
      <c r="M174" s="45" t="n">
        <f aca="false">SUM(BF174,BV174,CL174,DB174,DR174,EH174,EX174,FN174,GD174,GT174)</f>
        <v>81951.6185499734</v>
      </c>
      <c r="N174" s="43" t="n">
        <f aca="false">IF($D174*SUM(Inputs!$C$13:$L$13)=0,0,M174/($D174*SUM(Inputs!$C$13:$L$13)))</f>
        <v>4.09758092749867</v>
      </c>
      <c r="O174" s="42" t="n">
        <f aca="false">$D174*$E174*COLUMNS(Inputs!$C$13:$L$13)</f>
        <v>2700</v>
      </c>
      <c r="P174" s="45" t="n">
        <f aca="false">SUM(BG174,BW174,CM174,DC174,DS174,EI174,EY174,FO174,GE174,GU174)</f>
        <v>10932.6385676424</v>
      </c>
      <c r="Q174" s="42" t="n">
        <f aca="false">PV($J174,COLUMNS(Inputs!$C$13:$L$13),-$D174*$E174,0,1)</f>
        <v>1558.32765832774</v>
      </c>
      <c r="R174" s="45" t="n">
        <f aca="false">NPV($J174,BG174,BW174,CM174,DC174,DS174,EI174,EY174,FO174,GE174,GU174)</f>
        <v>2984.43005772682</v>
      </c>
      <c r="S174" s="45" t="n">
        <f aca="false">Q174+R174</f>
        <v>4542.75771605456</v>
      </c>
      <c r="T174" s="32" t="n">
        <f aca="false">IF(S174=0,0,Q174/S174)</f>
        <v>0.343035608705358</v>
      </c>
      <c r="U174" s="45" t="n">
        <f aca="false">ROUND(ABS(GK174)+ABS(SUM(AV174,BL174,CB174,CR174,DH174,DX174,EN174,FD174,FT174,GJ174)-M174-P174)+ABS(S174-(AH174+NPV($J174,AI174:AR174))),6)</f>
        <v>0</v>
      </c>
      <c r="W174" s="133" t="n">
        <f aca="false">-$D174*Inputs!$C$13</f>
        <v>-4000</v>
      </c>
      <c r="X174" s="133" t="n">
        <f aca="false">BF174-$D174*Inputs!$D$13</f>
        <v>-4000</v>
      </c>
      <c r="Y174" s="133" t="n">
        <f aca="false">BV174-$D174*Inputs!$E$13</f>
        <v>-4000</v>
      </c>
      <c r="Z174" s="133" t="n">
        <f aca="false">CL174-$D174*Inputs!$F$13</f>
        <v>-4000</v>
      </c>
      <c r="AA174" s="133" t="n">
        <f aca="false">DB174-$D174*Inputs!$G$13</f>
        <v>-4000</v>
      </c>
      <c r="AB174" s="133" t="n">
        <f aca="false">DR174-$D174*Inputs!$H$13</f>
        <v>8535.9729392754</v>
      </c>
      <c r="AC174" s="133" t="n">
        <f aca="false">EH174-$D174*Inputs!$I$13</f>
        <v>8739.46407333221</v>
      </c>
      <c r="AD174" s="133" t="n">
        <f aca="false">EX174-$D174*Inputs!$J$13</f>
        <v>8015.73133323588</v>
      </c>
      <c r="AE174" s="133" t="n">
        <f aca="false">FN174-$D174*Inputs!$K$13</f>
        <v>7791.26138545108</v>
      </c>
      <c r="AF174" s="133" t="n">
        <f aca="false">GD174-$D174*Inputs!$L$13</f>
        <v>7981.37074978552</v>
      </c>
      <c r="AG174" s="84" t="n">
        <f aca="false">GT174</f>
        <v>40887.8180688933</v>
      </c>
      <c r="AH174" s="84" t="n">
        <f aca="false">$D174*$E174</f>
        <v>270</v>
      </c>
      <c r="AI174" s="84" t="n">
        <f aca="false">BG174+$D174*$E174</f>
        <v>270</v>
      </c>
      <c r="AJ174" s="84" t="n">
        <f aca="false">BW174+$D174*$E174</f>
        <v>270</v>
      </c>
      <c r="AK174" s="84" t="n">
        <f aca="false">CM174+$D174*$E174</f>
        <v>270</v>
      </c>
      <c r="AL174" s="84" t="n">
        <f aca="false">DC174+$D174*$E174</f>
        <v>270</v>
      </c>
      <c r="AM174" s="84" t="n">
        <f aca="false">DS174+$D174*$E174</f>
        <v>270</v>
      </c>
      <c r="AN174" s="84" t="n">
        <f aca="false">EI174+$D174*$E174</f>
        <v>270</v>
      </c>
      <c r="AO174" s="84" t="n">
        <f aca="false">EY174+$D174*$E174</f>
        <v>1203.73559044297</v>
      </c>
      <c r="AP174" s="84" t="n">
        <f aca="false">FO174+$D174*$E174</f>
        <v>1644.92847978549</v>
      </c>
      <c r="AQ174" s="84" t="n">
        <f aca="false">GE174+$D174*$E174</f>
        <v>1678.47719113862</v>
      </c>
      <c r="AR174" s="84" t="n">
        <f aca="false">GU174</f>
        <v>7215.49730627528</v>
      </c>
      <c r="AT174" s="133" t="n">
        <f aca="false">$D174*Inputs!$C$13-$D174*$E174</f>
        <v>3730</v>
      </c>
      <c r="AU174" s="84" t="n">
        <f aca="false">AT174*(1+$I174)</f>
        <v>4811.7</v>
      </c>
      <c r="AV174" s="133" t="n">
        <f aca="false">AU174*Inputs!$C$14</f>
        <v>0</v>
      </c>
      <c r="AW174" s="84" t="n">
        <f aca="false">AU174-AV174</f>
        <v>4811.7</v>
      </c>
      <c r="AX174" s="133" t="n">
        <f aca="false">$D174*Inputs!$C$13</f>
        <v>4000</v>
      </c>
      <c r="AY174" s="84" t="n">
        <f aca="false">MIN(AV174,AX174)</f>
        <v>0</v>
      </c>
      <c r="AZ174" s="84" t="n">
        <f aca="false">AX174-AY174</f>
        <v>4000</v>
      </c>
      <c r="BA174" s="84" t="n">
        <f aca="false">$G174*AX174</f>
        <v>0</v>
      </c>
      <c r="BB174" s="84" t="n">
        <f aca="false">MIN(AV174-AY174,BA174)</f>
        <v>0</v>
      </c>
      <c r="BC174" s="84" t="n">
        <f aca="false">BA174-BB174</f>
        <v>0</v>
      </c>
      <c r="BD174" s="84" t="n">
        <f aca="false">IF($H174=1,MIN(AV174-AY174-BB174,MAX(0,$F174/(1-$F174)*BB174)),0)</f>
        <v>0</v>
      </c>
      <c r="BE174" s="84" t="n">
        <f aca="false">AV174-AY174-BB174-BD174</f>
        <v>0</v>
      </c>
      <c r="BF174" s="84" t="n">
        <f aca="false">AY174+BB174+(1-$F174)*BE174</f>
        <v>0</v>
      </c>
      <c r="BG174" s="84" t="n">
        <f aca="false">BD174+$F174*BE174</f>
        <v>0</v>
      </c>
      <c r="BH174" s="84" t="n">
        <f aca="false">BB174+(1-$F174)*BE174</f>
        <v>0</v>
      </c>
      <c r="BI174" s="84" t="n">
        <f aca="false">BG174</f>
        <v>0</v>
      </c>
      <c r="BJ174" s="133" t="n">
        <f aca="false">AW174+$D174*Inputs!$D$13-$D174*$E174</f>
        <v>8541.7</v>
      </c>
      <c r="BK174" s="84" t="n">
        <f aca="false">BJ174*(1+$I174)</f>
        <v>11018.793</v>
      </c>
      <c r="BL174" s="133" t="n">
        <f aca="false">BK174*Inputs!$D$14</f>
        <v>0</v>
      </c>
      <c r="BM174" s="84" t="n">
        <f aca="false">BK174-BL174</f>
        <v>11018.793</v>
      </c>
      <c r="BN174" s="133" t="n">
        <f aca="false">AZ174+$D174*Inputs!$D$13</f>
        <v>8000</v>
      </c>
      <c r="BO174" s="84" t="n">
        <f aca="false">MIN(BL174,BN174)</f>
        <v>0</v>
      </c>
      <c r="BP174" s="84" t="n">
        <f aca="false">BN174-BO174</f>
        <v>8000</v>
      </c>
      <c r="BQ174" s="84" t="n">
        <f aca="false">BC174+$G174*(BN174+BC174)</f>
        <v>0</v>
      </c>
      <c r="BR174" s="84" t="n">
        <f aca="false">MIN(BL174-BO174,BQ174)</f>
        <v>0</v>
      </c>
      <c r="BS174" s="84" t="n">
        <f aca="false">BQ174-BR174</f>
        <v>0</v>
      </c>
      <c r="BT174" s="84" t="n">
        <f aca="false">IF($H174=1,MIN(BL174-BO174-BR174,MAX(0,$F174/(1-$F174)*(BH174+BR174)-BI174)),0)</f>
        <v>0</v>
      </c>
      <c r="BU174" s="84" t="n">
        <f aca="false">BL174-BO174-BR174-BT174</f>
        <v>0</v>
      </c>
      <c r="BV174" s="84" t="n">
        <f aca="false">BO174+BR174+(1-$F174)*BU174</f>
        <v>0</v>
      </c>
      <c r="BW174" s="84" t="n">
        <f aca="false">BT174+$F174*BU174</f>
        <v>0</v>
      </c>
      <c r="BX174" s="84" t="n">
        <f aca="false">BH174+BR174+(1-$F174)*BU174</f>
        <v>0</v>
      </c>
      <c r="BY174" s="84" t="n">
        <f aca="false">BI174+BW174</f>
        <v>0</v>
      </c>
      <c r="BZ174" s="133" t="n">
        <f aca="false">BM174+$D174*Inputs!$E$13-$D174*$E174</f>
        <v>14748.793</v>
      </c>
      <c r="CA174" s="84" t="n">
        <f aca="false">BZ174*(1+$I174)</f>
        <v>19025.94297</v>
      </c>
      <c r="CB174" s="133" t="n">
        <f aca="false">CA174*Inputs!$E$14</f>
        <v>0</v>
      </c>
      <c r="CC174" s="84" t="n">
        <f aca="false">CA174-CB174</f>
        <v>19025.94297</v>
      </c>
      <c r="CD174" s="133" t="n">
        <f aca="false">BP174+$D174*Inputs!$E$13</f>
        <v>12000</v>
      </c>
      <c r="CE174" s="84" t="n">
        <f aca="false">MIN(CB174,CD174)</f>
        <v>0</v>
      </c>
      <c r="CF174" s="84" t="n">
        <f aca="false">CD174-CE174</f>
        <v>12000</v>
      </c>
      <c r="CG174" s="84" t="n">
        <f aca="false">BS174+$G174*(CD174+BS174)</f>
        <v>0</v>
      </c>
      <c r="CH174" s="84" t="n">
        <f aca="false">MIN(CB174-CE174,CG174)</f>
        <v>0</v>
      </c>
      <c r="CI174" s="84" t="n">
        <f aca="false">CG174-CH174</f>
        <v>0</v>
      </c>
      <c r="CJ174" s="84" t="n">
        <f aca="false">IF($H174=1,MIN(CB174-CE174-CH174,MAX(0,$F174/(1-$F174)*(BX174+CH174)-BY174)),0)</f>
        <v>0</v>
      </c>
      <c r="CK174" s="84" t="n">
        <f aca="false">CB174-CE174-CH174-CJ174</f>
        <v>0</v>
      </c>
      <c r="CL174" s="84" t="n">
        <f aca="false">CE174+CH174+(1-$F174)*CK174</f>
        <v>0</v>
      </c>
      <c r="CM174" s="84" t="n">
        <f aca="false">CJ174+$F174*CK174</f>
        <v>0</v>
      </c>
      <c r="CN174" s="84" t="n">
        <f aca="false">BX174+CH174+(1-$F174)*CK174</f>
        <v>0</v>
      </c>
      <c r="CO174" s="84" t="n">
        <f aca="false">BY174+CM174</f>
        <v>0</v>
      </c>
      <c r="CP174" s="133" t="n">
        <f aca="false">CC174+$D174*Inputs!$F$13-$D174*$E174</f>
        <v>22755.94297</v>
      </c>
      <c r="CQ174" s="84" t="n">
        <f aca="false">CP174*(1+$I174)</f>
        <v>29355.1664313</v>
      </c>
      <c r="CR174" s="133" t="n">
        <f aca="false">CQ174*Inputs!$F$14</f>
        <v>0</v>
      </c>
      <c r="CS174" s="84" t="n">
        <f aca="false">CQ174-CR174</f>
        <v>29355.1664313</v>
      </c>
      <c r="CT174" s="133" t="n">
        <f aca="false">CF174+$D174*Inputs!$F$13</f>
        <v>16000</v>
      </c>
      <c r="CU174" s="84" t="n">
        <f aca="false">MIN(CR174,CT174)</f>
        <v>0</v>
      </c>
      <c r="CV174" s="84" t="n">
        <f aca="false">CT174-CU174</f>
        <v>16000</v>
      </c>
      <c r="CW174" s="84" t="n">
        <f aca="false">CI174+$G174*(CT174+CI174)</f>
        <v>0</v>
      </c>
      <c r="CX174" s="84" t="n">
        <f aca="false">MIN(CR174-CU174,CW174)</f>
        <v>0</v>
      </c>
      <c r="CY174" s="84" t="n">
        <f aca="false">CW174-CX174</f>
        <v>0</v>
      </c>
      <c r="CZ174" s="84" t="n">
        <f aca="false">IF($H174=1,MIN(CR174-CU174-CX174,MAX(0,$F174/(1-$F174)*(CN174+CX174)-CO174)),0)</f>
        <v>0</v>
      </c>
      <c r="DA174" s="84" t="n">
        <f aca="false">CR174-CU174-CX174-CZ174</f>
        <v>0</v>
      </c>
      <c r="DB174" s="84" t="n">
        <f aca="false">CU174+CX174+(1-$F174)*DA174</f>
        <v>0</v>
      </c>
      <c r="DC174" s="84" t="n">
        <f aca="false">CZ174+$F174*DA174</f>
        <v>0</v>
      </c>
      <c r="DD174" s="84" t="n">
        <f aca="false">CN174+CX174+(1-$F174)*DA174</f>
        <v>0</v>
      </c>
      <c r="DE174" s="84" t="n">
        <f aca="false">CO174+DC174</f>
        <v>0</v>
      </c>
      <c r="DF174" s="133" t="n">
        <f aca="false">CS174+$D174*Inputs!$G$13-$D174*$E174</f>
        <v>33085.1664313</v>
      </c>
      <c r="DG174" s="84" t="n">
        <f aca="false">DF174*(1+$I174)</f>
        <v>42679.864696377</v>
      </c>
      <c r="DH174" s="133" t="n">
        <f aca="false">DG174*Inputs!$G$14</f>
        <v>8535.9729392754</v>
      </c>
      <c r="DI174" s="84" t="n">
        <f aca="false">DG174-DH174</f>
        <v>34143.8917571016</v>
      </c>
      <c r="DJ174" s="133" t="n">
        <f aca="false">CV174+$D174*Inputs!$G$13</f>
        <v>20000</v>
      </c>
      <c r="DK174" s="84" t="n">
        <f aca="false">MIN(DH174,DJ174)</f>
        <v>8535.9729392754</v>
      </c>
      <c r="DL174" s="84" t="n">
        <f aca="false">DJ174-DK174</f>
        <v>11464.0270607246</v>
      </c>
      <c r="DM174" s="84" t="n">
        <f aca="false">CY174+$G174*(DJ174+CY174)</f>
        <v>0</v>
      </c>
      <c r="DN174" s="84" t="n">
        <f aca="false">MIN(DH174-DK174,DM174)</f>
        <v>0</v>
      </c>
      <c r="DO174" s="84" t="n">
        <f aca="false">DM174-DN174</f>
        <v>0</v>
      </c>
      <c r="DP174" s="84" t="n">
        <f aca="false">IF($H174=1,MIN(DH174-DK174-DN174,MAX(0,$F174/(1-$F174)*(DD174+DN174)-DE174)),0)</f>
        <v>0</v>
      </c>
      <c r="DQ174" s="84" t="n">
        <f aca="false">DH174-DK174-DN174-DP174</f>
        <v>0</v>
      </c>
      <c r="DR174" s="84" t="n">
        <f aca="false">DK174+DN174+(1-$F174)*DQ174</f>
        <v>8535.9729392754</v>
      </c>
      <c r="DS174" s="84" t="n">
        <f aca="false">DP174+$F174*DQ174</f>
        <v>0</v>
      </c>
      <c r="DT174" s="84" t="n">
        <f aca="false">DD174+DN174+(1-$F174)*DQ174</f>
        <v>0</v>
      </c>
      <c r="DU174" s="84" t="n">
        <f aca="false">DE174+DS174</f>
        <v>0</v>
      </c>
      <c r="DV174" s="133" t="n">
        <f aca="false">DI174+$D174*Inputs!$H$13-$D174*$E174</f>
        <v>33873.8917571016</v>
      </c>
      <c r="DW174" s="84" t="n">
        <f aca="false">DV174*(1+$I174)</f>
        <v>43697.3203666611</v>
      </c>
      <c r="DX174" s="133" t="n">
        <f aca="false">DW174*Inputs!$H$14</f>
        <v>8739.46407333221</v>
      </c>
      <c r="DY174" s="84" t="n">
        <f aca="false">DW174-DX174</f>
        <v>34957.8562933289</v>
      </c>
      <c r="DZ174" s="133" t="n">
        <f aca="false">DL174+$D174*Inputs!$H$13</f>
        <v>11464.0270607246</v>
      </c>
      <c r="EA174" s="84" t="n">
        <f aca="false">MIN(DX174,DZ174)</f>
        <v>8739.46407333221</v>
      </c>
      <c r="EB174" s="84" t="n">
        <f aca="false">DZ174-EA174</f>
        <v>2724.56298739238</v>
      </c>
      <c r="EC174" s="84" t="n">
        <f aca="false">DO174+$G174*(DZ174+DO174)</f>
        <v>0</v>
      </c>
      <c r="ED174" s="84" t="n">
        <f aca="false">MIN(DX174-EA174,EC174)</f>
        <v>0</v>
      </c>
      <c r="EE174" s="84" t="n">
        <f aca="false">EC174-ED174</f>
        <v>0</v>
      </c>
      <c r="EF174" s="84" t="n">
        <f aca="false">IF($H174=1,MIN(DX174-EA174-ED174,MAX(0,$F174/(1-$F174)*(DT174+ED174)-DU174)),0)</f>
        <v>0</v>
      </c>
      <c r="EG174" s="84" t="n">
        <f aca="false">DX174-EA174-ED174-EF174</f>
        <v>0</v>
      </c>
      <c r="EH174" s="84" t="n">
        <f aca="false">EA174+ED174+(1-$F174)*EG174</f>
        <v>8739.46407333221</v>
      </c>
      <c r="EI174" s="84" t="n">
        <f aca="false">EF174+$F174*EG174</f>
        <v>0</v>
      </c>
      <c r="EJ174" s="84" t="n">
        <f aca="false">DT174+ED174+(1-$F174)*EG174</f>
        <v>0</v>
      </c>
      <c r="EK174" s="84" t="n">
        <f aca="false">DU174+EI174</f>
        <v>0</v>
      </c>
      <c r="EL174" s="133" t="n">
        <f aca="false">DY174+$D174*Inputs!$I$13-$D174*$E174</f>
        <v>34687.8562933289</v>
      </c>
      <c r="EM174" s="84" t="n">
        <f aca="false">EL174*(1+$I174)</f>
        <v>44747.3346183942</v>
      </c>
      <c r="EN174" s="133" t="n">
        <f aca="false">EM174*Inputs!$I$14</f>
        <v>8949.46692367885</v>
      </c>
      <c r="EO174" s="84" t="n">
        <f aca="false">EM174-EN174</f>
        <v>35797.8676947154</v>
      </c>
      <c r="EP174" s="133" t="n">
        <f aca="false">EB174+$D174*Inputs!$I$13</f>
        <v>2724.56298739238</v>
      </c>
      <c r="EQ174" s="84" t="n">
        <f aca="false">MIN(EN174,EP174)</f>
        <v>2724.56298739238</v>
      </c>
      <c r="ER174" s="84" t="n">
        <f aca="false">EP174-EQ174</f>
        <v>0</v>
      </c>
      <c r="ES174" s="84" t="n">
        <f aca="false">EE174+$G174*(EP174+EE174)</f>
        <v>0</v>
      </c>
      <c r="ET174" s="84" t="n">
        <f aca="false">MIN(EN174-EQ174,ES174)</f>
        <v>0</v>
      </c>
      <c r="EU174" s="84" t="n">
        <f aca="false">ES174-ET174</f>
        <v>0</v>
      </c>
      <c r="EV174" s="84" t="n">
        <f aca="false">IF($H174=1,MIN(EN174-EQ174-ET174,MAX(0,$F174/(1-$F174)*(EJ174+ET174)-EK174)),0)</f>
        <v>0</v>
      </c>
      <c r="EW174" s="84" t="n">
        <f aca="false">EN174-EQ174-ET174-EV174</f>
        <v>6224.90393628646</v>
      </c>
      <c r="EX174" s="84" t="n">
        <f aca="false">EQ174+ET174+(1-$F174)*EW174</f>
        <v>8015.73133323588</v>
      </c>
      <c r="EY174" s="84" t="n">
        <f aca="false">EV174+$F174*EW174</f>
        <v>933.735590442969</v>
      </c>
      <c r="EZ174" s="84" t="n">
        <f aca="false">EJ174+ET174+(1-$F174)*EW174</f>
        <v>5291.16834584349</v>
      </c>
      <c r="FA174" s="84" t="n">
        <f aca="false">EK174+EY174</f>
        <v>933.735590442969</v>
      </c>
      <c r="FB174" s="133" t="n">
        <f aca="false">EO174+$D174*Inputs!$J$13-$D174*$E174</f>
        <v>35527.8676947154</v>
      </c>
      <c r="FC174" s="84" t="n">
        <f aca="false">FB174*(1+$I174)</f>
        <v>45830.9493261828</v>
      </c>
      <c r="FD174" s="133" t="n">
        <f aca="false">FC174*Inputs!$J$14</f>
        <v>9166.18986523657</v>
      </c>
      <c r="FE174" s="84" t="n">
        <f aca="false">FC174-FD174</f>
        <v>36664.7594609463</v>
      </c>
      <c r="FF174" s="133" t="n">
        <f aca="false">ER174+$D174*Inputs!$J$13</f>
        <v>0</v>
      </c>
      <c r="FG174" s="84" t="n">
        <f aca="false">MIN(FD174,FF174)</f>
        <v>0</v>
      </c>
      <c r="FH174" s="84" t="n">
        <f aca="false">FF174-FG174</f>
        <v>0</v>
      </c>
      <c r="FI174" s="84" t="n">
        <f aca="false">EU174+$G174*(FF174+EU174)</f>
        <v>0</v>
      </c>
      <c r="FJ174" s="84" t="n">
        <f aca="false">MIN(FD174-FG174,FI174)</f>
        <v>0</v>
      </c>
      <c r="FK174" s="84" t="n">
        <f aca="false">FI174-FJ174</f>
        <v>0</v>
      </c>
      <c r="FL174" s="84" t="n">
        <f aca="false">IF($H174=1,MIN(FD174-FG174-FJ174,MAX(0,$F174/(1-$F174)*(EZ174+FJ174)-FA174)),0)</f>
        <v>0</v>
      </c>
      <c r="FM174" s="84" t="n">
        <f aca="false">FD174-FG174-FJ174-FL174</f>
        <v>9166.18986523657</v>
      </c>
      <c r="FN174" s="84" t="n">
        <f aca="false">FG174+FJ174+(1-$F174)*FM174</f>
        <v>7791.26138545108</v>
      </c>
      <c r="FO174" s="84" t="n">
        <f aca="false">FL174+$F174*FM174</f>
        <v>1374.92847978549</v>
      </c>
      <c r="FP174" s="84" t="n">
        <f aca="false">EZ174+FJ174+(1-$F174)*FM174</f>
        <v>13082.4297312946</v>
      </c>
      <c r="FQ174" s="84" t="n">
        <f aca="false">FA174+FO174</f>
        <v>2308.66407022845</v>
      </c>
      <c r="FR174" s="133" t="n">
        <f aca="false">FE174+$D174*Inputs!$K$13-$D174*$E174</f>
        <v>36394.7594609463</v>
      </c>
      <c r="FS174" s="84" t="n">
        <f aca="false">FR174*(1+$I174)</f>
        <v>46949.2397046207</v>
      </c>
      <c r="FT174" s="133" t="n">
        <f aca="false">FS174*Inputs!$K$14</f>
        <v>9389.84794092414</v>
      </c>
      <c r="FU174" s="84" t="n">
        <f aca="false">FS174-FT174</f>
        <v>37559.3917636966</v>
      </c>
      <c r="FV174" s="133" t="n">
        <f aca="false">FH174+$D174*Inputs!$K$13</f>
        <v>0</v>
      </c>
      <c r="FW174" s="84" t="n">
        <f aca="false">MIN(FT174,FV174)</f>
        <v>0</v>
      </c>
      <c r="FX174" s="84" t="n">
        <f aca="false">FV174-FW174</f>
        <v>0</v>
      </c>
      <c r="FY174" s="84" t="n">
        <f aca="false">FK174+$G174*(FV174+FK174)</f>
        <v>0</v>
      </c>
      <c r="FZ174" s="84" t="n">
        <f aca="false">MIN(FT174-FW174,FY174)</f>
        <v>0</v>
      </c>
      <c r="GA174" s="84" t="n">
        <f aca="false">FY174-FZ174</f>
        <v>0</v>
      </c>
      <c r="GB174" s="84" t="n">
        <f aca="false">IF($H174=1,MIN(FT174-FW174-FZ174,MAX(0,$F174/(1-$F174)*(FP174+FZ174)-FQ174)),0)</f>
        <v>0</v>
      </c>
      <c r="GC174" s="84" t="n">
        <f aca="false">FT174-FW174-FZ174-GB174</f>
        <v>9389.84794092414</v>
      </c>
      <c r="GD174" s="84" t="n">
        <f aca="false">FW174+FZ174+(1-$F174)*GC174</f>
        <v>7981.37074978552</v>
      </c>
      <c r="GE174" s="84" t="n">
        <f aca="false">GB174+$F174*GC174</f>
        <v>1408.47719113862</v>
      </c>
      <c r="GF174" s="84" t="n">
        <f aca="false">FP174+FZ174+(1-$F174)*GC174</f>
        <v>21063.8004810801</v>
      </c>
      <c r="GG174" s="84" t="n">
        <f aca="false">FQ174+GE174</f>
        <v>3717.14126136708</v>
      </c>
      <c r="GH174" s="133" t="n">
        <f aca="false">FU174+$D174*Inputs!$L$13-$D174*$E174</f>
        <v>37289.3917636966</v>
      </c>
      <c r="GI174" s="84" t="n">
        <f aca="false">GH174*(1+$I174)</f>
        <v>48103.3153751685</v>
      </c>
      <c r="GJ174" s="133" t="n">
        <f aca="false">GI174*Inputs!$L$14</f>
        <v>48103.3153751685</v>
      </c>
      <c r="GK174" s="84" t="n">
        <f aca="false">GI174-GJ174</f>
        <v>0</v>
      </c>
      <c r="GL174" s="133" t="n">
        <f aca="false">FX174+$D174*Inputs!$L$13</f>
        <v>0</v>
      </c>
      <c r="GM174" s="84" t="n">
        <f aca="false">MIN(GJ174,GL174)</f>
        <v>0</v>
      </c>
      <c r="GN174" s="84" t="n">
        <f aca="false">GL174-GM174</f>
        <v>0</v>
      </c>
      <c r="GO174" s="84" t="n">
        <f aca="false">GA174+$G174*(GL174+GA174)</f>
        <v>0</v>
      </c>
      <c r="GP174" s="84" t="n">
        <f aca="false">MIN(GJ174-GM174,GO174)</f>
        <v>0</v>
      </c>
      <c r="GQ174" s="84" t="n">
        <f aca="false">GO174-GP174</f>
        <v>0</v>
      </c>
      <c r="GR174" s="84" t="n">
        <f aca="false">IF($H174=1,MIN(GJ174-GM174-GP174,MAX(0,$F174/(1-$F174)*(GF174+GP174)-GG174)),0)</f>
        <v>0</v>
      </c>
      <c r="GS174" s="84" t="n">
        <f aca="false">GJ174-GM174-GP174-GR174</f>
        <v>48103.3153751685</v>
      </c>
      <c r="GT174" s="84" t="n">
        <f aca="false">GM174+GP174+(1-$F174)*GS174</f>
        <v>40887.8180688933</v>
      </c>
      <c r="GU174" s="84" t="n">
        <f aca="false">GR174+$F174*GS174</f>
        <v>7215.49730627528</v>
      </c>
      <c r="GV174" s="84" t="n">
        <f aca="false">GF174+GP174+(1-$F174)*GS174</f>
        <v>61951.6185499734</v>
      </c>
      <c r="GW174" s="84" t="n">
        <f aca="false">GG174+GU174</f>
        <v>10932.6385676424</v>
      </c>
    </row>
    <row r="175" customFormat="false" ht="15" hidden="false" customHeight="false" outlineLevel="0" collapsed="false">
      <c r="A175" s="5" t="s">
        <v>641</v>
      </c>
      <c r="B175" s="5" t="s">
        <v>429</v>
      </c>
      <c r="C175" s="135" t="n">
        <v>30</v>
      </c>
      <c r="D175" s="47" t="n">
        <f aca="false">Inputs!$C$6</f>
        <v>20000</v>
      </c>
      <c r="E175" s="35" t="n">
        <f aca="false">Inputs!$C$19</f>
        <v>0.0135</v>
      </c>
      <c r="F175" s="36" t="n">
        <f aca="false">Inputs!$C$21</f>
        <v>0.15</v>
      </c>
      <c r="G175" s="30" t="n">
        <v>0</v>
      </c>
      <c r="H175" s="27" t="n">
        <v>0</v>
      </c>
      <c r="I175" s="132" t="n">
        <f aca="false">Inputs!$C$38+$C175*Inputs!$C$39</f>
        <v>0.3</v>
      </c>
      <c r="J175" s="36" t="n">
        <f aca="false">Inputs!$C$9</f>
        <v>0.15</v>
      </c>
      <c r="K175" s="89" t="n">
        <f aca="false">IRR(W175:AG175,0.1)</f>
        <v>0.26103817986097</v>
      </c>
      <c r="L175" s="45" t="n">
        <f aca="false">W175+NPV($J175,X175:AG175)</f>
        <v>11858.4185652032</v>
      </c>
      <c r="M175" s="45" t="n">
        <f aca="false">SUM(BF175,BV175,CL175,DB175,DR175,EH175,EX175,FN175,GD175,GT175)</f>
        <v>86486.6469786366</v>
      </c>
      <c r="N175" s="43" t="n">
        <f aca="false">IF($D175*SUM(Inputs!$C$13:$L$13)=0,0,M175/($D175*SUM(Inputs!$C$13:$L$13)))</f>
        <v>4.32433234893183</v>
      </c>
      <c r="O175" s="42" t="n">
        <f aca="false">$D175*$E175*COLUMNS(Inputs!$C$13:$L$13)</f>
        <v>2700</v>
      </c>
      <c r="P175" s="45" t="n">
        <f aca="false">SUM(BG175,BW175,CM175,DC175,DS175,EI175,EY175,FO175,GE175,GU175)</f>
        <v>11732.9377021123</v>
      </c>
      <c r="Q175" s="42" t="n">
        <f aca="false">PV($J175,COLUMNS(Inputs!$C$13:$L$13),-$D175*$E175,0,1)</f>
        <v>1558.32765832774</v>
      </c>
      <c r="R175" s="45" t="n">
        <f aca="false">NPV($J175,BG175,BW175,CM175,DC175,DS175,EI175,EY175,FO175,GE175,GU175)</f>
        <v>3209.28547315398</v>
      </c>
      <c r="S175" s="45" t="n">
        <f aca="false">Q175+R175</f>
        <v>4767.61313148172</v>
      </c>
      <c r="T175" s="32" t="n">
        <f aca="false">IF(S175=0,0,Q175/S175)</f>
        <v>0.326856985949157</v>
      </c>
      <c r="U175" s="45" t="n">
        <f aca="false">ROUND(ABS(GK175)+ABS(SUM(AV175,BL175,CB175,CR175,DH175,DX175,EN175,FD175,FT175,GJ175)-M175-P175)+ABS(S175-(AH175+NPV($J175,AI175:AR175))),6)</f>
        <v>0</v>
      </c>
      <c r="W175" s="133" t="n">
        <f aca="false">-$D175*Inputs!$C$13</f>
        <v>-4000</v>
      </c>
      <c r="X175" s="133" t="n">
        <f aca="false">BF175-$D175*Inputs!$D$13</f>
        <v>-4000</v>
      </c>
      <c r="Y175" s="133" t="n">
        <f aca="false">BV175-$D175*Inputs!$E$13</f>
        <v>-4000</v>
      </c>
      <c r="Z175" s="133" t="n">
        <f aca="false">CL175-$D175*Inputs!$F$13</f>
        <v>-4000</v>
      </c>
      <c r="AA175" s="133" t="n">
        <f aca="false">DB175-$D175*Inputs!$G$13</f>
        <v>-4000</v>
      </c>
      <c r="AB175" s="133" t="n">
        <f aca="false">DR175-$D175*Inputs!$H$13</f>
        <v>8769.99838</v>
      </c>
      <c r="AC175" s="133" t="n">
        <f aca="false">EH175-$D175*Inputs!$I$13</f>
        <v>9050.5983152</v>
      </c>
      <c r="AD175" s="133" t="n">
        <f aca="false">EX175-$D175*Inputs!$J$13</f>
        <v>8267.9694063568</v>
      </c>
      <c r="AE175" s="133" t="n">
        <f aca="false">FN175-$D175*Inputs!$K$13</f>
        <v>8199.03126706227</v>
      </c>
      <c r="AF175" s="133" t="n">
        <f aca="false">GD175-$D175*Inputs!$L$13</f>
        <v>8467.32251774476</v>
      </c>
      <c r="AG175" s="84" t="n">
        <f aca="false">GT175</f>
        <v>43731.7270922728</v>
      </c>
      <c r="AH175" s="84" t="n">
        <f aca="false">$D175*$E175</f>
        <v>270</v>
      </c>
      <c r="AI175" s="84" t="n">
        <f aca="false">BG175+$D175*$E175</f>
        <v>270</v>
      </c>
      <c r="AJ175" s="84" t="n">
        <f aca="false">BW175+$D175*$E175</f>
        <v>270</v>
      </c>
      <c r="AK175" s="84" t="n">
        <f aca="false">CM175+$D175*$E175</f>
        <v>270</v>
      </c>
      <c r="AL175" s="84" t="n">
        <f aca="false">DC175+$D175*$E175</f>
        <v>270</v>
      </c>
      <c r="AM175" s="84" t="n">
        <f aca="false">DS175+$D175*$E175</f>
        <v>270</v>
      </c>
      <c r="AN175" s="84" t="n">
        <f aca="false">EI175+$D175*$E175</f>
        <v>270</v>
      </c>
      <c r="AO175" s="84" t="n">
        <f aca="false">EY175+$D175*$E175</f>
        <v>1344.4528414512</v>
      </c>
      <c r="AP175" s="84" t="n">
        <f aca="false">FO175+$D175*$E175</f>
        <v>1716.88787065805</v>
      </c>
      <c r="AQ175" s="84" t="n">
        <f aca="false">GE175+$D175*$E175</f>
        <v>1764.23338548437</v>
      </c>
      <c r="AR175" s="84" t="n">
        <f aca="false">GU175</f>
        <v>7717.36360451872</v>
      </c>
      <c r="AT175" s="133" t="n">
        <f aca="false">$D175*Inputs!$C$13-$D175*$E175</f>
        <v>3730</v>
      </c>
      <c r="AU175" s="84" t="n">
        <f aca="false">AT175*(1+$I175)</f>
        <v>4849</v>
      </c>
      <c r="AV175" s="133" t="n">
        <f aca="false">AU175*Inputs!$C$14</f>
        <v>0</v>
      </c>
      <c r="AW175" s="84" t="n">
        <f aca="false">AU175-AV175</f>
        <v>4849</v>
      </c>
      <c r="AX175" s="133" t="n">
        <f aca="false">$D175*Inputs!$C$13</f>
        <v>4000</v>
      </c>
      <c r="AY175" s="84" t="n">
        <f aca="false">MIN(AV175,AX175)</f>
        <v>0</v>
      </c>
      <c r="AZ175" s="84" t="n">
        <f aca="false">AX175-AY175</f>
        <v>4000</v>
      </c>
      <c r="BA175" s="84" t="n">
        <f aca="false">$G175*AX175</f>
        <v>0</v>
      </c>
      <c r="BB175" s="84" t="n">
        <f aca="false">MIN(AV175-AY175,BA175)</f>
        <v>0</v>
      </c>
      <c r="BC175" s="84" t="n">
        <f aca="false">BA175-BB175</f>
        <v>0</v>
      </c>
      <c r="BD175" s="84" t="n">
        <f aca="false">IF($H175=1,MIN(AV175-AY175-BB175,MAX(0,$F175/(1-$F175)*BB175)),0)</f>
        <v>0</v>
      </c>
      <c r="BE175" s="84" t="n">
        <f aca="false">AV175-AY175-BB175-BD175</f>
        <v>0</v>
      </c>
      <c r="BF175" s="84" t="n">
        <f aca="false">AY175+BB175+(1-$F175)*BE175</f>
        <v>0</v>
      </c>
      <c r="BG175" s="84" t="n">
        <f aca="false">BD175+$F175*BE175</f>
        <v>0</v>
      </c>
      <c r="BH175" s="84" t="n">
        <f aca="false">BB175+(1-$F175)*BE175</f>
        <v>0</v>
      </c>
      <c r="BI175" s="84" t="n">
        <f aca="false">BG175</f>
        <v>0</v>
      </c>
      <c r="BJ175" s="133" t="n">
        <f aca="false">AW175+$D175*Inputs!$D$13-$D175*$E175</f>
        <v>8579</v>
      </c>
      <c r="BK175" s="84" t="n">
        <f aca="false">BJ175*(1+$I175)</f>
        <v>11152.7</v>
      </c>
      <c r="BL175" s="133" t="n">
        <f aca="false">BK175*Inputs!$D$14</f>
        <v>0</v>
      </c>
      <c r="BM175" s="84" t="n">
        <f aca="false">BK175-BL175</f>
        <v>11152.7</v>
      </c>
      <c r="BN175" s="133" t="n">
        <f aca="false">AZ175+$D175*Inputs!$D$13</f>
        <v>8000</v>
      </c>
      <c r="BO175" s="84" t="n">
        <f aca="false">MIN(BL175,BN175)</f>
        <v>0</v>
      </c>
      <c r="BP175" s="84" t="n">
        <f aca="false">BN175-BO175</f>
        <v>8000</v>
      </c>
      <c r="BQ175" s="84" t="n">
        <f aca="false">BC175+$G175*(BN175+BC175)</f>
        <v>0</v>
      </c>
      <c r="BR175" s="84" t="n">
        <f aca="false">MIN(BL175-BO175,BQ175)</f>
        <v>0</v>
      </c>
      <c r="BS175" s="84" t="n">
        <f aca="false">BQ175-BR175</f>
        <v>0</v>
      </c>
      <c r="BT175" s="84" t="n">
        <f aca="false">IF($H175=1,MIN(BL175-BO175-BR175,MAX(0,$F175/(1-$F175)*(BH175+BR175)-BI175)),0)</f>
        <v>0</v>
      </c>
      <c r="BU175" s="84" t="n">
        <f aca="false">BL175-BO175-BR175-BT175</f>
        <v>0</v>
      </c>
      <c r="BV175" s="84" t="n">
        <f aca="false">BO175+BR175+(1-$F175)*BU175</f>
        <v>0</v>
      </c>
      <c r="BW175" s="84" t="n">
        <f aca="false">BT175+$F175*BU175</f>
        <v>0</v>
      </c>
      <c r="BX175" s="84" t="n">
        <f aca="false">BH175+BR175+(1-$F175)*BU175</f>
        <v>0</v>
      </c>
      <c r="BY175" s="84" t="n">
        <f aca="false">BI175+BW175</f>
        <v>0</v>
      </c>
      <c r="BZ175" s="133" t="n">
        <f aca="false">BM175+$D175*Inputs!$E$13-$D175*$E175</f>
        <v>14882.7</v>
      </c>
      <c r="CA175" s="84" t="n">
        <f aca="false">BZ175*(1+$I175)</f>
        <v>19347.51</v>
      </c>
      <c r="CB175" s="133" t="n">
        <f aca="false">CA175*Inputs!$E$14</f>
        <v>0</v>
      </c>
      <c r="CC175" s="84" t="n">
        <f aca="false">CA175-CB175</f>
        <v>19347.51</v>
      </c>
      <c r="CD175" s="133" t="n">
        <f aca="false">BP175+$D175*Inputs!$E$13</f>
        <v>12000</v>
      </c>
      <c r="CE175" s="84" t="n">
        <f aca="false">MIN(CB175,CD175)</f>
        <v>0</v>
      </c>
      <c r="CF175" s="84" t="n">
        <f aca="false">CD175-CE175</f>
        <v>12000</v>
      </c>
      <c r="CG175" s="84" t="n">
        <f aca="false">BS175+$G175*(CD175+BS175)</f>
        <v>0</v>
      </c>
      <c r="CH175" s="84" t="n">
        <f aca="false">MIN(CB175-CE175,CG175)</f>
        <v>0</v>
      </c>
      <c r="CI175" s="84" t="n">
        <f aca="false">CG175-CH175</f>
        <v>0</v>
      </c>
      <c r="CJ175" s="84" t="n">
        <f aca="false">IF($H175=1,MIN(CB175-CE175-CH175,MAX(0,$F175/(1-$F175)*(BX175+CH175)-BY175)),0)</f>
        <v>0</v>
      </c>
      <c r="CK175" s="84" t="n">
        <f aca="false">CB175-CE175-CH175-CJ175</f>
        <v>0</v>
      </c>
      <c r="CL175" s="84" t="n">
        <f aca="false">CE175+CH175+(1-$F175)*CK175</f>
        <v>0</v>
      </c>
      <c r="CM175" s="84" t="n">
        <f aca="false">CJ175+$F175*CK175</f>
        <v>0</v>
      </c>
      <c r="CN175" s="84" t="n">
        <f aca="false">BX175+CH175+(1-$F175)*CK175</f>
        <v>0</v>
      </c>
      <c r="CO175" s="84" t="n">
        <f aca="false">BY175+CM175</f>
        <v>0</v>
      </c>
      <c r="CP175" s="133" t="n">
        <f aca="false">CC175+$D175*Inputs!$F$13-$D175*$E175</f>
        <v>23077.51</v>
      </c>
      <c r="CQ175" s="84" t="n">
        <f aca="false">CP175*(1+$I175)</f>
        <v>30000.763</v>
      </c>
      <c r="CR175" s="133" t="n">
        <f aca="false">CQ175*Inputs!$F$14</f>
        <v>0</v>
      </c>
      <c r="CS175" s="84" t="n">
        <f aca="false">CQ175-CR175</f>
        <v>30000.763</v>
      </c>
      <c r="CT175" s="133" t="n">
        <f aca="false">CF175+$D175*Inputs!$F$13</f>
        <v>16000</v>
      </c>
      <c r="CU175" s="84" t="n">
        <f aca="false">MIN(CR175,CT175)</f>
        <v>0</v>
      </c>
      <c r="CV175" s="84" t="n">
        <f aca="false">CT175-CU175</f>
        <v>16000</v>
      </c>
      <c r="CW175" s="84" t="n">
        <f aca="false">CI175+$G175*(CT175+CI175)</f>
        <v>0</v>
      </c>
      <c r="CX175" s="84" t="n">
        <f aca="false">MIN(CR175-CU175,CW175)</f>
        <v>0</v>
      </c>
      <c r="CY175" s="84" t="n">
        <f aca="false">CW175-CX175</f>
        <v>0</v>
      </c>
      <c r="CZ175" s="84" t="n">
        <f aca="false">IF($H175=1,MIN(CR175-CU175-CX175,MAX(0,$F175/(1-$F175)*(CN175+CX175)-CO175)),0)</f>
        <v>0</v>
      </c>
      <c r="DA175" s="84" t="n">
        <f aca="false">CR175-CU175-CX175-CZ175</f>
        <v>0</v>
      </c>
      <c r="DB175" s="84" t="n">
        <f aca="false">CU175+CX175+(1-$F175)*DA175</f>
        <v>0</v>
      </c>
      <c r="DC175" s="84" t="n">
        <f aca="false">CZ175+$F175*DA175</f>
        <v>0</v>
      </c>
      <c r="DD175" s="84" t="n">
        <f aca="false">CN175+CX175+(1-$F175)*DA175</f>
        <v>0</v>
      </c>
      <c r="DE175" s="84" t="n">
        <f aca="false">CO175+DC175</f>
        <v>0</v>
      </c>
      <c r="DF175" s="133" t="n">
        <f aca="false">CS175+$D175*Inputs!$G$13-$D175*$E175</f>
        <v>33730.763</v>
      </c>
      <c r="DG175" s="84" t="n">
        <f aca="false">DF175*(1+$I175)</f>
        <v>43849.9919</v>
      </c>
      <c r="DH175" s="133" t="n">
        <f aca="false">DG175*Inputs!$G$14</f>
        <v>8769.99838</v>
      </c>
      <c r="DI175" s="84" t="n">
        <f aca="false">DG175-DH175</f>
        <v>35079.99352</v>
      </c>
      <c r="DJ175" s="133" t="n">
        <f aca="false">CV175+$D175*Inputs!$G$13</f>
        <v>20000</v>
      </c>
      <c r="DK175" s="84" t="n">
        <f aca="false">MIN(DH175,DJ175)</f>
        <v>8769.99838</v>
      </c>
      <c r="DL175" s="84" t="n">
        <f aca="false">DJ175-DK175</f>
        <v>11230.00162</v>
      </c>
      <c r="DM175" s="84" t="n">
        <f aca="false">CY175+$G175*(DJ175+CY175)</f>
        <v>0</v>
      </c>
      <c r="DN175" s="84" t="n">
        <f aca="false">MIN(DH175-DK175,DM175)</f>
        <v>0</v>
      </c>
      <c r="DO175" s="84" t="n">
        <f aca="false">DM175-DN175</f>
        <v>0</v>
      </c>
      <c r="DP175" s="84" t="n">
        <f aca="false">IF($H175=1,MIN(DH175-DK175-DN175,MAX(0,$F175/(1-$F175)*(DD175+DN175)-DE175)),0)</f>
        <v>0</v>
      </c>
      <c r="DQ175" s="84" t="n">
        <f aca="false">DH175-DK175-DN175-DP175</f>
        <v>0</v>
      </c>
      <c r="DR175" s="84" t="n">
        <f aca="false">DK175+DN175+(1-$F175)*DQ175</f>
        <v>8769.99838</v>
      </c>
      <c r="DS175" s="84" t="n">
        <f aca="false">DP175+$F175*DQ175</f>
        <v>0</v>
      </c>
      <c r="DT175" s="84" t="n">
        <f aca="false">DD175+DN175+(1-$F175)*DQ175</f>
        <v>0</v>
      </c>
      <c r="DU175" s="84" t="n">
        <f aca="false">DE175+DS175</f>
        <v>0</v>
      </c>
      <c r="DV175" s="133" t="n">
        <f aca="false">DI175+$D175*Inputs!$H$13-$D175*$E175</f>
        <v>34809.99352</v>
      </c>
      <c r="DW175" s="84" t="n">
        <f aca="false">DV175*(1+$I175)</f>
        <v>45252.991576</v>
      </c>
      <c r="DX175" s="133" t="n">
        <f aca="false">DW175*Inputs!$H$14</f>
        <v>9050.5983152</v>
      </c>
      <c r="DY175" s="84" t="n">
        <f aca="false">DW175-DX175</f>
        <v>36202.3932608</v>
      </c>
      <c r="DZ175" s="133" t="n">
        <f aca="false">DL175+$D175*Inputs!$H$13</f>
        <v>11230.00162</v>
      </c>
      <c r="EA175" s="84" t="n">
        <f aca="false">MIN(DX175,DZ175)</f>
        <v>9050.5983152</v>
      </c>
      <c r="EB175" s="84" t="n">
        <f aca="false">DZ175-EA175</f>
        <v>2179.40330479999</v>
      </c>
      <c r="EC175" s="84" t="n">
        <f aca="false">DO175+$G175*(DZ175+DO175)</f>
        <v>0</v>
      </c>
      <c r="ED175" s="84" t="n">
        <f aca="false">MIN(DX175-EA175,EC175)</f>
        <v>0</v>
      </c>
      <c r="EE175" s="84" t="n">
        <f aca="false">EC175-ED175</f>
        <v>0</v>
      </c>
      <c r="EF175" s="84" t="n">
        <f aca="false">IF($H175=1,MIN(DX175-EA175-ED175,MAX(0,$F175/(1-$F175)*(DT175+ED175)-DU175)),0)</f>
        <v>0</v>
      </c>
      <c r="EG175" s="84" t="n">
        <f aca="false">DX175-EA175-ED175-EF175</f>
        <v>0</v>
      </c>
      <c r="EH175" s="84" t="n">
        <f aca="false">EA175+ED175+(1-$F175)*EG175</f>
        <v>9050.5983152</v>
      </c>
      <c r="EI175" s="84" t="n">
        <f aca="false">EF175+$F175*EG175</f>
        <v>0</v>
      </c>
      <c r="EJ175" s="84" t="n">
        <f aca="false">DT175+ED175+(1-$F175)*EG175</f>
        <v>0</v>
      </c>
      <c r="EK175" s="84" t="n">
        <f aca="false">DU175+EI175</f>
        <v>0</v>
      </c>
      <c r="EL175" s="133" t="n">
        <f aca="false">DY175+$D175*Inputs!$I$13-$D175*$E175</f>
        <v>35932.3932608</v>
      </c>
      <c r="EM175" s="84" t="n">
        <f aca="false">EL175*(1+$I175)</f>
        <v>46712.11123904</v>
      </c>
      <c r="EN175" s="133" t="n">
        <f aca="false">EM175*Inputs!$I$14</f>
        <v>9342.422247808</v>
      </c>
      <c r="EO175" s="84" t="n">
        <f aca="false">EM175-EN175</f>
        <v>37369.688991232</v>
      </c>
      <c r="EP175" s="133" t="n">
        <f aca="false">EB175+$D175*Inputs!$I$13</f>
        <v>2179.40330479999</v>
      </c>
      <c r="EQ175" s="84" t="n">
        <f aca="false">MIN(EN175,EP175)</f>
        <v>2179.40330479999</v>
      </c>
      <c r="ER175" s="84" t="n">
        <f aca="false">EP175-EQ175</f>
        <v>0</v>
      </c>
      <c r="ES175" s="84" t="n">
        <f aca="false">EE175+$G175*(EP175+EE175)</f>
        <v>0</v>
      </c>
      <c r="ET175" s="84" t="n">
        <f aca="false">MIN(EN175-EQ175,ES175)</f>
        <v>0</v>
      </c>
      <c r="EU175" s="84" t="n">
        <f aca="false">ES175-ET175</f>
        <v>0</v>
      </c>
      <c r="EV175" s="84" t="n">
        <f aca="false">IF($H175=1,MIN(EN175-EQ175-ET175,MAX(0,$F175/(1-$F175)*(EJ175+ET175)-EK175)),0)</f>
        <v>0</v>
      </c>
      <c r="EW175" s="84" t="n">
        <f aca="false">EN175-EQ175-ET175-EV175</f>
        <v>7163.01894300801</v>
      </c>
      <c r="EX175" s="84" t="n">
        <f aca="false">EQ175+ET175+(1-$F175)*EW175</f>
        <v>8267.9694063568</v>
      </c>
      <c r="EY175" s="84" t="n">
        <f aca="false">EV175+$F175*EW175</f>
        <v>1074.4528414512</v>
      </c>
      <c r="EZ175" s="84" t="n">
        <f aca="false">EJ175+ET175+(1-$F175)*EW175</f>
        <v>6088.56610155681</v>
      </c>
      <c r="FA175" s="84" t="n">
        <f aca="false">EK175+EY175</f>
        <v>1074.4528414512</v>
      </c>
      <c r="FB175" s="133" t="n">
        <f aca="false">EO175+$D175*Inputs!$J$13-$D175*$E175</f>
        <v>37099.688991232</v>
      </c>
      <c r="FC175" s="84" t="n">
        <f aca="false">FB175*(1+$I175)</f>
        <v>48229.5956886016</v>
      </c>
      <c r="FD175" s="133" t="n">
        <f aca="false">FC175*Inputs!$J$14</f>
        <v>9645.91913772032</v>
      </c>
      <c r="FE175" s="84" t="n">
        <f aca="false">FC175-FD175</f>
        <v>38583.6765508813</v>
      </c>
      <c r="FF175" s="133" t="n">
        <f aca="false">ER175+$D175*Inputs!$J$13</f>
        <v>0</v>
      </c>
      <c r="FG175" s="84" t="n">
        <f aca="false">MIN(FD175,FF175)</f>
        <v>0</v>
      </c>
      <c r="FH175" s="84" t="n">
        <f aca="false">FF175-FG175</f>
        <v>0</v>
      </c>
      <c r="FI175" s="84" t="n">
        <f aca="false">EU175+$G175*(FF175+EU175)</f>
        <v>0</v>
      </c>
      <c r="FJ175" s="84" t="n">
        <f aca="false">MIN(FD175-FG175,FI175)</f>
        <v>0</v>
      </c>
      <c r="FK175" s="84" t="n">
        <f aca="false">FI175-FJ175</f>
        <v>0</v>
      </c>
      <c r="FL175" s="84" t="n">
        <f aca="false">IF($H175=1,MIN(FD175-FG175-FJ175,MAX(0,$F175/(1-$F175)*(EZ175+FJ175)-FA175)),0)</f>
        <v>0</v>
      </c>
      <c r="FM175" s="84" t="n">
        <f aca="false">FD175-FG175-FJ175-FL175</f>
        <v>9645.91913772032</v>
      </c>
      <c r="FN175" s="84" t="n">
        <f aca="false">FG175+FJ175+(1-$F175)*FM175</f>
        <v>8199.03126706227</v>
      </c>
      <c r="FO175" s="84" t="n">
        <f aca="false">FL175+$F175*FM175</f>
        <v>1446.88787065805</v>
      </c>
      <c r="FP175" s="84" t="n">
        <f aca="false">EZ175+FJ175+(1-$F175)*FM175</f>
        <v>14287.5973686191</v>
      </c>
      <c r="FQ175" s="84" t="n">
        <f aca="false">FA175+FO175</f>
        <v>2521.34071210925</v>
      </c>
      <c r="FR175" s="133" t="n">
        <f aca="false">FE175+$D175*Inputs!$K$13-$D175*$E175</f>
        <v>38313.6765508813</v>
      </c>
      <c r="FS175" s="84" t="n">
        <f aca="false">FR175*(1+$I175)</f>
        <v>49807.7795161457</v>
      </c>
      <c r="FT175" s="133" t="n">
        <f aca="false">FS175*Inputs!$K$14</f>
        <v>9961.55590322914</v>
      </c>
      <c r="FU175" s="84" t="n">
        <f aca="false">FS175-FT175</f>
        <v>39846.2236129165</v>
      </c>
      <c r="FV175" s="133" t="n">
        <f aca="false">FH175+$D175*Inputs!$K$13</f>
        <v>0</v>
      </c>
      <c r="FW175" s="84" t="n">
        <f aca="false">MIN(FT175,FV175)</f>
        <v>0</v>
      </c>
      <c r="FX175" s="84" t="n">
        <f aca="false">FV175-FW175</f>
        <v>0</v>
      </c>
      <c r="FY175" s="84" t="n">
        <f aca="false">FK175+$G175*(FV175+FK175)</f>
        <v>0</v>
      </c>
      <c r="FZ175" s="84" t="n">
        <f aca="false">MIN(FT175-FW175,FY175)</f>
        <v>0</v>
      </c>
      <c r="GA175" s="84" t="n">
        <f aca="false">FY175-FZ175</f>
        <v>0</v>
      </c>
      <c r="GB175" s="84" t="n">
        <f aca="false">IF($H175=1,MIN(FT175-FW175-FZ175,MAX(0,$F175/(1-$F175)*(FP175+FZ175)-FQ175)),0)</f>
        <v>0</v>
      </c>
      <c r="GC175" s="84" t="n">
        <f aca="false">FT175-FW175-FZ175-GB175</f>
        <v>9961.55590322914</v>
      </c>
      <c r="GD175" s="84" t="n">
        <f aca="false">FW175+FZ175+(1-$F175)*GC175</f>
        <v>8467.32251774476</v>
      </c>
      <c r="GE175" s="84" t="n">
        <f aca="false">GB175+$F175*GC175</f>
        <v>1494.23338548437</v>
      </c>
      <c r="GF175" s="84" t="n">
        <f aca="false">FP175+FZ175+(1-$F175)*GC175</f>
        <v>22754.9198863638</v>
      </c>
      <c r="GG175" s="84" t="n">
        <f aca="false">FQ175+GE175</f>
        <v>4015.57409759362</v>
      </c>
      <c r="GH175" s="133" t="n">
        <f aca="false">FU175+$D175*Inputs!$L$13-$D175*$E175</f>
        <v>39576.2236129165</v>
      </c>
      <c r="GI175" s="84" t="n">
        <f aca="false">GH175*(1+$I175)</f>
        <v>51449.0906967915</v>
      </c>
      <c r="GJ175" s="133" t="n">
        <f aca="false">GI175*Inputs!$L$14</f>
        <v>51449.0906967915</v>
      </c>
      <c r="GK175" s="84" t="n">
        <f aca="false">GI175-GJ175</f>
        <v>0</v>
      </c>
      <c r="GL175" s="133" t="n">
        <f aca="false">FX175+$D175*Inputs!$L$13</f>
        <v>0</v>
      </c>
      <c r="GM175" s="84" t="n">
        <f aca="false">MIN(GJ175,GL175)</f>
        <v>0</v>
      </c>
      <c r="GN175" s="84" t="n">
        <f aca="false">GL175-GM175</f>
        <v>0</v>
      </c>
      <c r="GO175" s="84" t="n">
        <f aca="false">GA175+$G175*(GL175+GA175)</f>
        <v>0</v>
      </c>
      <c r="GP175" s="84" t="n">
        <f aca="false">MIN(GJ175-GM175,GO175)</f>
        <v>0</v>
      </c>
      <c r="GQ175" s="84" t="n">
        <f aca="false">GO175-GP175</f>
        <v>0</v>
      </c>
      <c r="GR175" s="84" t="n">
        <f aca="false">IF($H175=1,MIN(GJ175-GM175-GP175,MAX(0,$F175/(1-$F175)*(GF175+GP175)-GG175)),0)</f>
        <v>0</v>
      </c>
      <c r="GS175" s="84" t="n">
        <f aca="false">GJ175-GM175-GP175-GR175</f>
        <v>51449.0906967915</v>
      </c>
      <c r="GT175" s="84" t="n">
        <f aca="false">GM175+GP175+(1-$F175)*GS175</f>
        <v>43731.7270922728</v>
      </c>
      <c r="GU175" s="84" t="n">
        <f aca="false">GR175+$F175*GS175</f>
        <v>7717.36360451872</v>
      </c>
      <c r="GV175" s="84" t="n">
        <f aca="false">GF175+GP175+(1-$F175)*GS175</f>
        <v>66486.6469786366</v>
      </c>
      <c r="GW175" s="84" t="n">
        <f aca="false">GG175+GU175</f>
        <v>11732.9377021123</v>
      </c>
    </row>
    <row r="177" customFormat="false" ht="15" hidden="false" customHeight="false" outlineLevel="0" collapsed="false">
      <c r="A177" s="38" t="s">
        <v>642</v>
      </c>
      <c r="U177" s="46" t="n">
        <f aca="false">SUM(U7:U175)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2026-10-01T05:10:06Z</dcterms:created>
  <dc:creator>openpyxl</dc:creator>
  <dc:description/>
  <dc:language>en-US</dc:language>
  <cp:lastModifiedBy/>
  <dcterms:modified xsi:type="dcterms:W3CDTF">2026-10-01T05:10:11Z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